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بدأ هنا" sheetId="1" state="visible" r:id="rId1"/>
    <sheet name="حاسبة التسعير" sheetId="2" state="visible" r:id="rId2"/>
    <sheet name="الطلبات" sheetId="3" state="visible" r:id="rId3"/>
    <sheet name="المخزون" sheetId="4" state="visible" r:id="rId4"/>
    <sheet name="المصاريف" sheetId="5" state="visible" r:id="rId5"/>
    <sheet name="الإعلانات" sheetId="6" state="visible" r:id="rId6"/>
    <sheet name="الملخ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.00"/>
    <numFmt numFmtId="165" formatCode="#,##0;(#,##0);&quot;-&quot;"/>
    <numFmt numFmtId="166" formatCode="0.000"/>
    <numFmt numFmtId="167" formatCode="#,##0.00 &quot;د.أ&quot;;(#,##0.00) &quot;د.أ&quot;;&quot;-&quot;"/>
    <numFmt numFmtId="168" formatCode="0.0%;(0.0%);&quot;-&quot;"/>
    <numFmt numFmtId="169" formatCode="yyyy-mm-dd"/>
    <numFmt numFmtId="170" formatCode="0.00&quot;x&quot;"/>
    <numFmt numFmtId="171" formatCode="mmm yyyy"/>
  </numFmts>
  <fonts count="10">
    <font>
      <name val="Calibri"/>
      <family val="2"/>
      <color theme="1"/>
      <sz val="11"/>
      <scheme val="minor"/>
    </font>
    <font>
      <name val="Arial"/>
      <b val="1"/>
      <color rgb="000F172A"/>
      <sz val="16"/>
    </font>
    <font>
      <name val="Arial"/>
      <b val="1"/>
      <color rgb="002563EB"/>
      <sz val="12"/>
    </font>
    <font>
      <name val="Arial"/>
      <b val="1"/>
      <color rgb="00000000"/>
      <sz val="11"/>
    </font>
    <font>
      <name val="Arial"/>
      <color rgb="00000000"/>
      <sz val="11"/>
    </font>
    <font>
      <name val="Arial"/>
      <color rgb="000000FF"/>
      <sz val="11"/>
    </font>
    <font>
      <name val="Arial"/>
      <i val="1"/>
      <color rgb="0055627A"/>
      <sz val="9"/>
    </font>
    <font>
      <name val="Arial"/>
      <b val="1"/>
      <color rgb="00FFFFFF"/>
      <sz val="11"/>
    </font>
    <font>
      <name val="Arial"/>
      <color rgb="00008000"/>
      <sz val="11"/>
    </font>
    <font>
      <name val="Arial"/>
      <b val="1"/>
      <color rgb="0000800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1F5F9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4" fillId="0" borderId="0" pivotButton="0" quotePrefix="0" xfId="0"/>
    <xf numFmtId="164" fontId="5" fillId="2" borderId="1" pivotButton="0" quotePrefix="0" xfId="0"/>
    <xf numFmtId="0" fontId="6" fillId="0" borderId="0" pivotButton="0" quotePrefix="0" xfId="0"/>
    <xf numFmtId="165" fontId="5" fillId="2" borderId="1" pivotButton="0" quotePrefix="0" xfId="0"/>
    <xf numFmtId="166" fontId="5" fillId="2" borderId="1" pivotButton="0" quotePrefix="0" xfId="0"/>
    <xf numFmtId="167" fontId="5" fillId="2" borderId="1" pivotButton="0" quotePrefix="0" xfId="0"/>
    <xf numFmtId="168" fontId="5" fillId="2" borderId="1" pivotButton="0" quotePrefix="0" xfId="0"/>
    <xf numFmtId="167" fontId="4" fillId="0" borderId="1" pivotButton="0" quotePrefix="0" xfId="0"/>
    <xf numFmtId="167" fontId="3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167" fontId="3" fillId="0" borderId="1" pivotButton="0" quotePrefix="0" xfId="0"/>
    <xf numFmtId="168" fontId="4" fillId="0" borderId="1" pivotButton="0" quotePrefix="0" xfId="0"/>
    <xf numFmtId="165" fontId="3" fillId="0" borderId="1" pivotButton="0" quotePrefix="0" xfId="0"/>
    <xf numFmtId="169" fontId="4" fillId="0" borderId="1" pivotButton="0" quotePrefix="0" xfId="0"/>
    <xf numFmtId="165" fontId="4" fillId="0" borderId="1" pivotButton="0" quotePrefix="0" xfId="0"/>
    <xf numFmtId="165" fontId="8" fillId="0" borderId="1" pivotButton="0" quotePrefix="0" xfId="0"/>
    <xf numFmtId="165" fontId="3" fillId="3" borderId="1" pivotButton="0" quotePrefix="0" xfId="0"/>
    <xf numFmtId="0" fontId="3" fillId="0" borderId="1" pivotButton="0" quotePrefix="0" xfId="0"/>
    <xf numFmtId="170" fontId="4" fillId="0" borderId="1" pivotButton="0" quotePrefix="0" xfId="0"/>
    <xf numFmtId="170" fontId="3" fillId="0" borderId="1" pivotButton="0" quotePrefix="0" xfId="0"/>
    <xf numFmtId="169" fontId="5" fillId="2" borderId="1" pivotButton="0" quotePrefix="0" xfId="0"/>
    <xf numFmtId="165" fontId="9" fillId="3" borderId="1" pivotButton="0" quotePrefix="0" xfId="0"/>
    <xf numFmtId="167" fontId="9" fillId="3" borderId="1" pivotButton="0" quotePrefix="0" xfId="0"/>
    <xf numFmtId="171" fontId="4" fillId="0" borderId="1" pivotButton="0" quotePrefix="0" xfId="0"/>
  </cellXfs>
  <cellStyles count="1">
    <cellStyle name="Normal" xfId="0" builtinId="0" hidden="0"/>
  </cellStyles>
  <dxfs count="5">
    <dxf>
      <font>
        <name val="Arial"/>
        <b val="1"/>
        <color rgb="00DC2626"/>
      </font>
    </dxf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ont>
        <name val="Arial"/>
        <b val="1"/>
        <color rgb="00DC2626"/>
      </font>
      <fill>
        <patternFill patternType="solid">
          <fgColor rgb="00FEE2E2"/>
        </patternFill>
      </fill>
    </dxf>
    <dxf>
      <font>
        <name val="Arial"/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naqra</author>
  </authors>
  <commentList>
    <comment ref="B4" authorId="0" shapeId="0">
      <text>
        <t>تقدير من منتجات مشابهة على علي بابا (0.50–0.79$ للـ100 قطعة). حط السعر الحقيقي من صفحة المورد.</t>
      </text>
    </comment>
    <comment ref="B5" authorId="0" shapeId="0">
      <text>
        <t>أقل كمية شائعة عند الموردين: 100 قطعة.</t>
      </text>
    </comment>
    <comment ref="B6" authorId="0" shapeId="0">
      <text>
        <t>سعر الصرف الرسمي للدينار الأردني مربوط تقريباً على 0.709.</t>
      </text>
    </comment>
    <comment ref="B7" authorId="0" shapeId="0">
      <text>
        <t>تقدير لشحن سريع 3–5 كغ. تأكد من المورد أو شركة الشحن.</t>
      </text>
    </comment>
    <comment ref="B8" authorId="0" shapeId="0">
      <text>
        <t>تقدير فقط (ضريبة مبيعات عامة 16%). تأكد من شركة الشحن أو مخلّص جمركي.</t>
      </text>
    </comment>
    <comment ref="B9" authorId="0" shapeId="0">
      <text>
        <t>ظرف أو علبة صغيرة + كرت تعليمات.</t>
      </text>
    </comment>
    <comment ref="B10" authorId="0" shapeId="0">
      <text>
        <t>عينات قبل الطلبية الكبيرة. بتنحسب على تكلفة الطلبية الأولى.</t>
      </text>
    </comment>
    <comment ref="B11" authorId="0" shapeId="0">
      <text>
        <t>تقدير لبداية الحملة (2–5 د.أ). حدّثه من صفحة الإعلانات.</t>
      </text>
    </comment>
    <comment ref="B12" authorId="0" shapeId="0">
      <text>
        <t>سعر شركة التوصيل داخل عمّان تقريباً.</t>
      </text>
    </comment>
    <comment ref="B13" authorId="0" shapeId="0">
      <text>
        <t>حطها 0 إذا التوصيل مجاني.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naqra | نقرة — ملف إدارة المشروع</t>
        </is>
      </c>
    </row>
    <row r="3">
      <c r="A3" s="2" t="inlineStr">
        <is>
          <t>كيف تستعمل الملف</t>
        </is>
      </c>
    </row>
    <row r="4">
      <c r="A4" s="3" t="inlineStr">
        <is>
          <t>الخلايا الصفراء بخط أزرق</t>
        </is>
      </c>
      <c r="B4" s="4" t="inlineStr">
        <is>
          <t>هاي المدخلات، إنت بتعبيها أو بتغيرها. باقي الخلايا معادلات بتنحسب لحالها، لا تكتب فوقها.</t>
        </is>
      </c>
    </row>
    <row r="5">
      <c r="A5" s="3" t="inlineStr">
        <is>
          <t>الخط الأخضر</t>
        </is>
      </c>
      <c r="B5" s="4" t="inlineStr">
        <is>
          <t>رقم جاي من صفحة ثانية بالملف.</t>
        </is>
      </c>
    </row>
    <row r="6">
      <c r="A6" s="3" t="inlineStr">
        <is>
          <t>صف المثال</t>
        </is>
      </c>
      <c r="B6" s="4" t="inlineStr">
        <is>
          <t>بأول صف بصفحات الطلبات والمخزون والمصاريف والإعلانات في مثال عشان تشوف طريقة التعبئة. امسحه أو اكتب فوقه.</t>
        </is>
      </c>
    </row>
    <row r="7">
      <c r="A7" s="2" t="inlineStr">
        <is>
          <t>الصفحات</t>
        </is>
      </c>
    </row>
    <row r="8">
      <c r="A8" s="3" t="inlineStr">
        <is>
          <t>حاسبة التسعير</t>
        </is>
      </c>
      <c r="B8" s="4" t="inlineStr">
        <is>
          <t>حط سعر المورد والشحن والجمرك، وبتطلعلك تكلفة الستاند الواحد واصل، والربح لكل باقة، وكم طلب بدك لترجع رأس مالك.</t>
        </is>
      </c>
    </row>
    <row r="9">
      <c r="A9" s="3" t="inlineStr">
        <is>
          <t>الطلبات</t>
        </is>
      </c>
      <c r="B9" s="4" t="inlineStr">
        <is>
          <t>سجل كل طلب: الزبون، المدينة، الباقة، السعر، الحالة، والرابط اللي برمجته. الربح بينحسب لحاله.</t>
        </is>
      </c>
    </row>
    <row r="10">
      <c r="A10" s="3" t="inlineStr">
        <is>
          <t>المخزون</t>
        </is>
      </c>
      <c r="B10" s="4" t="inlineStr">
        <is>
          <t>سجل كل طلبية بتشتريها من المورد. الملف بيطرح المبيعات وبينبهك لما المخزون يقل.</t>
        </is>
      </c>
    </row>
    <row r="11">
      <c r="A11" s="3" t="inlineStr">
        <is>
          <t>المصاريف</t>
        </is>
      </c>
      <c r="B11" s="4" t="inlineStr">
        <is>
          <t>كل دينار بتصرفه: بضاعة، شحن، إعلانات، تغليف، اشتراكات. سجل الإعلانات هون كمان عشان تنحسب بالربح.</t>
        </is>
      </c>
    </row>
    <row r="12">
      <c r="A12" s="3" t="inlineStr">
        <is>
          <t>الإعلانات</t>
        </is>
      </c>
      <c r="B12" s="4" t="inlineStr">
        <is>
          <t>تتبع أداء كل حملة أسبوعياً: الصرف، الرسائل، الطلبات، تكلفة الطلب، والعائد. (للمتابعة بس، الصرف الحقيقي بينحسب من صفحة المصاريف).</t>
        </is>
      </c>
    </row>
    <row r="13">
      <c r="A13" s="3" t="inlineStr">
        <is>
          <t>الملخص</t>
        </is>
      </c>
      <c r="B13" s="4" t="inlineStr">
        <is>
          <t>ملخص شهري تلقائي: عدد الطلبات، المبيعات، المصاريف، وصافي الربح.</t>
        </is>
      </c>
    </row>
    <row r="14">
      <c r="A14" s="3" t="inlineStr">
        <is>
          <t>قاعدة ذهبية</t>
        </is>
      </c>
      <c r="B14" s="4" t="inlineStr">
        <is>
          <t>سجل كل طلب وكل مصروف بنفس اليوم. خمس دقايق باليوم بتوفر عليك ساعات آخر الشهر.</t>
        </is>
      </c>
    </row>
    <row r="16">
      <c r="A16" s="3" t="inlineStr">
        <is>
          <t>مثال خلية إدخال</t>
        </is>
      </c>
      <c r="B16" s="5" t="inlineStr">
        <is>
          <t>اكتب هون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rightToLeft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>
      <c r="A1" s="1" t="inlineStr">
        <is>
          <t>حاسبة التسعير والربح</t>
        </is>
      </c>
    </row>
    <row r="3">
      <c r="A3" s="2" t="inlineStr">
        <is>
          <t>المدخلات (غيّرها حسب الأسعار الحقيقية)</t>
        </is>
      </c>
    </row>
    <row r="4">
      <c r="A4" s="6" t="inlineStr">
        <is>
          <t>سعر الستاند من المورد (دولار)</t>
        </is>
      </c>
      <c r="B4" s="7" t="n">
        <v>0.7</v>
      </c>
      <c r="C4" s="8" t="inlineStr">
        <is>
          <t>تقدير من منتجات مشابهة على علي بابا (0.50–0.79$ للـ100 قطعة). حط السعر الحقيقي من صفحة المورد.</t>
        </is>
      </c>
    </row>
    <row r="5">
      <c r="A5" s="6" t="inlineStr">
        <is>
          <t>عدد القطع بالطلبية</t>
        </is>
      </c>
      <c r="B5" s="9" t="n">
        <v>100</v>
      </c>
      <c r="C5" s="8" t="inlineStr">
        <is>
          <t>أقل كمية شائعة عند الموردين: 100 قطعة.</t>
        </is>
      </c>
    </row>
    <row r="6">
      <c r="A6" s="6" t="inlineStr">
        <is>
          <t>سعر صرف الدولار (دينار)</t>
        </is>
      </c>
      <c r="B6" s="10" t="n">
        <v>0.709</v>
      </c>
      <c r="C6" s="8" t="inlineStr">
        <is>
          <t>سعر الصرف الرسمي للدينار الأردني مربوط تقريباً على 0.709.</t>
        </is>
      </c>
    </row>
    <row r="7">
      <c r="A7" s="6" t="inlineStr">
        <is>
          <t>تكلفة الشحن الكلية للأردن (دينار)</t>
        </is>
      </c>
      <c r="B7" s="11" t="n">
        <v>35</v>
      </c>
      <c r="C7" s="8" t="inlineStr">
        <is>
          <t>تقدير لشحن سريع 3–5 كغ. تأكد من المورد أو شركة الشحن.</t>
        </is>
      </c>
    </row>
    <row r="8">
      <c r="A8" s="6" t="inlineStr">
        <is>
          <t>الجمرك والضريبة (% من البضاعة + الشحن)</t>
        </is>
      </c>
      <c r="B8" s="12" t="n">
        <v>0.16</v>
      </c>
      <c r="C8" s="8" t="inlineStr">
        <is>
          <t>تقدير فقط (ضريبة مبيعات عامة 16%). تأكد من شركة الشحن أو مخلّص جمركي.</t>
        </is>
      </c>
    </row>
    <row r="9">
      <c r="A9" s="6" t="inlineStr">
        <is>
          <t>تغليف وكرت تعليمات للقطعة (دينار)</t>
        </is>
      </c>
      <c r="B9" s="11" t="n">
        <v>0.15</v>
      </c>
      <c r="C9" s="8" t="inlineStr">
        <is>
          <t>ظرف أو علبة صغيرة + كرت تعليمات.</t>
        </is>
      </c>
    </row>
    <row r="10">
      <c r="A10" s="6" t="inlineStr">
        <is>
          <t>تكلفة العينات (دينار)</t>
        </is>
      </c>
      <c r="B10" s="11" t="n">
        <v>25</v>
      </c>
      <c r="C10" s="8" t="inlineStr">
        <is>
          <t>عينات قبل الطلبية الكبيرة. بتنحسب على تكلفة الطلبية الأولى.</t>
        </is>
      </c>
    </row>
    <row r="11">
      <c r="A11" s="6" t="inlineStr">
        <is>
          <t>تكلفة الإعلان المتوقعة لكل طلب (دينار)</t>
        </is>
      </c>
      <c r="B11" s="11" t="n">
        <v>3.5</v>
      </c>
      <c r="C11" s="8" t="inlineStr">
        <is>
          <t>تقدير لبداية الحملة (2–5 د.أ). حدّثه من صفحة الإعلانات.</t>
        </is>
      </c>
    </row>
    <row r="12">
      <c r="A12" s="6" t="inlineStr">
        <is>
          <t>تكلفة التوصيل عليك لكل طلب (دينار)</t>
        </is>
      </c>
      <c r="B12" s="11" t="n">
        <v>2.5</v>
      </c>
      <c r="C12" s="8" t="inlineStr">
        <is>
          <t>سعر شركة التوصيل داخل عمّان تقريباً.</t>
        </is>
      </c>
    </row>
    <row r="13">
      <c r="A13" s="6" t="inlineStr">
        <is>
          <t>رسوم التوصيل اللي بتاخذها من الزبون (دينار)</t>
        </is>
      </c>
      <c r="B13" s="11" t="n">
        <v>2</v>
      </c>
      <c r="C13" s="8" t="inlineStr">
        <is>
          <t>حطها 0 إذا التوصيل مجاني.</t>
        </is>
      </c>
    </row>
    <row r="15">
      <c r="A15" s="2" t="inlineStr">
        <is>
          <t>النتائج</t>
        </is>
      </c>
    </row>
    <row r="16">
      <c r="A16" s="6" t="inlineStr">
        <is>
          <t>تكلفة البضاعة (دينار)</t>
        </is>
      </c>
      <c r="B16" s="13">
        <f>B4*B5*B6</f>
        <v/>
      </c>
    </row>
    <row r="17">
      <c r="A17" s="6" t="inlineStr">
        <is>
          <t>الجمرك والضريبة (دينار)</t>
        </is>
      </c>
      <c r="B17" s="13">
        <f>(B16+B7)*B8</f>
        <v/>
      </c>
    </row>
    <row r="18">
      <c r="A18" s="6" t="inlineStr">
        <is>
          <t>التكلفة الكلية للطلبية (دينار)</t>
        </is>
      </c>
      <c r="B18" s="13">
        <f>B16+B7+B17+B10+B9*B5</f>
        <v/>
      </c>
    </row>
    <row r="19">
      <c r="A19" s="3" t="inlineStr">
        <is>
          <t>تكلفة الستاند الواحد واصل لإيدك (دينار)</t>
        </is>
      </c>
      <c r="B19" s="14">
        <f>IFERROR(B18/B5,0)</f>
        <v/>
      </c>
    </row>
    <row r="21">
      <c r="A21" s="2" t="inlineStr">
        <is>
          <t>الربح لكل باقة (غيّر سعر البيع بالعمود C)</t>
        </is>
      </c>
    </row>
    <row r="22" ht="32" customHeight="1">
      <c r="A22" s="15" t="inlineStr">
        <is>
          <t>الباقة</t>
        </is>
      </c>
      <c r="B22" s="15" t="inlineStr">
        <is>
          <t>عدد الستاندات</t>
        </is>
      </c>
      <c r="C22" s="15" t="inlineStr">
        <is>
          <t>سعر البيع (دينار)</t>
        </is>
      </c>
      <c r="D22" s="15" t="inlineStr">
        <is>
          <t>تكلفة البضاعة</t>
        </is>
      </c>
      <c r="E22" s="15" t="inlineStr">
        <is>
          <t>صافي التوصيل</t>
        </is>
      </c>
      <c r="F22" s="15" t="inlineStr">
        <is>
          <t>تكلفة الإعلان</t>
        </is>
      </c>
      <c r="G22" s="15" t="inlineStr">
        <is>
          <t>الربح الصافي</t>
        </is>
      </c>
      <c r="H22" s="15" t="inlineStr">
        <is>
          <t>هامش الربح</t>
        </is>
      </c>
    </row>
    <row r="23">
      <c r="A23" s="16" t="inlineStr">
        <is>
          <t>ستاند واحد</t>
        </is>
      </c>
      <c r="B23" s="9" t="n">
        <v>1</v>
      </c>
      <c r="C23" s="11" t="n">
        <v>10</v>
      </c>
      <c r="D23" s="13">
        <f>B23*$B$19</f>
        <v/>
      </c>
      <c r="E23" s="13">
        <f>$B$13-$B$12</f>
        <v/>
      </c>
      <c r="F23" s="13">
        <f>$B$11</f>
        <v/>
      </c>
      <c r="G23" s="17">
        <f>C23-D23+E23-F23</f>
        <v/>
      </c>
      <c r="H23" s="18">
        <f>IFERROR(G23/C23,0)</f>
        <v/>
      </c>
    </row>
    <row r="24">
      <c r="A24" s="16" t="inlineStr">
        <is>
          <t>باقة ستاندين</t>
        </is>
      </c>
      <c r="B24" s="9" t="n">
        <v>2</v>
      </c>
      <c r="C24" s="11" t="n">
        <v>17</v>
      </c>
      <c r="D24" s="13">
        <f>B24*$B$19</f>
        <v/>
      </c>
      <c r="E24" s="13">
        <f>$B$13-$B$12</f>
        <v/>
      </c>
      <c r="F24" s="13">
        <f>$B$11</f>
        <v/>
      </c>
      <c r="G24" s="17">
        <f>C24-D24+E24-F24</f>
        <v/>
      </c>
      <c r="H24" s="18">
        <f>IFERROR(G24/C24,0)</f>
        <v/>
      </c>
    </row>
    <row r="25">
      <c r="A25" s="16" t="inlineStr">
        <is>
          <t>باقة 3 ستاندات</t>
        </is>
      </c>
      <c r="B25" s="9" t="n">
        <v>3</v>
      </c>
      <c r="C25" s="11" t="n">
        <v>23</v>
      </c>
      <c r="D25" s="13">
        <f>B25*$B$19</f>
        <v/>
      </c>
      <c r="E25" s="13">
        <f>$B$13-$B$12</f>
        <v/>
      </c>
      <c r="F25" s="13">
        <f>$B$11</f>
        <v/>
      </c>
      <c r="G25" s="17">
        <f>C25-D25+E25-F25</f>
        <v/>
      </c>
      <c r="H25" s="18">
        <f>IFERROR(G25/C25,0)</f>
        <v/>
      </c>
    </row>
    <row r="26">
      <c r="A26" s="16" t="inlineStr">
        <is>
          <t>باقة 5 ستاندات (للفروع)</t>
        </is>
      </c>
      <c r="B26" s="9" t="n">
        <v>5</v>
      </c>
      <c r="C26" s="11" t="n">
        <v>35</v>
      </c>
      <c r="D26" s="13">
        <f>B26*$B$19</f>
        <v/>
      </c>
      <c r="E26" s="13">
        <f>$B$13-$B$12</f>
        <v/>
      </c>
      <c r="F26" s="13">
        <f>$B$11</f>
        <v/>
      </c>
      <c r="G26" s="17">
        <f>C26-D26+E26-F26</f>
        <v/>
      </c>
      <c r="H26" s="18">
        <f>IFERROR(G26/C26,0)</f>
        <v/>
      </c>
    </row>
    <row r="28">
      <c r="A28" s="2" t="inlineStr">
        <is>
          <t>استرجاع رأس المال</t>
        </is>
      </c>
    </row>
    <row r="29">
      <c r="A29" s="16" t="inlineStr">
        <is>
          <t>عدد الطلبات (ستاند واحد) لترجع تكلفة الطلبية</t>
        </is>
      </c>
      <c r="B29" s="19">
        <f>IFERROR(ROUNDUP(B18/G23,0),0)</f>
        <v/>
      </c>
    </row>
    <row r="30">
      <c r="A30" s="16" t="inlineStr">
        <is>
          <t>إذا بعت كل القطع كستاند واحد: المبيعات المتوقعة</t>
        </is>
      </c>
      <c r="B30" s="13">
        <f>B5*C23</f>
        <v/>
      </c>
    </row>
    <row r="31">
      <c r="A31" s="16" t="inlineStr">
        <is>
          <t>الربح الصافي المتوقع من الطلبية كاملة (ستاند واحد)</t>
        </is>
      </c>
      <c r="B31" s="17">
        <f>B5*G23</f>
        <v/>
      </c>
      <c r="C31" s="8" t="inlineStr">
        <is>
          <t>تكلفة العينات داخلة أصلاً بتكلفة القطعة الواحدة.</t>
        </is>
      </c>
    </row>
  </sheetData>
  <conditionalFormatting sqref="G23:G26">
    <cfRule type="cellIs" priority="1" operator="less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04"/>
  <sheetViews>
    <sheetView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15" customWidth="1" min="4" max="4"/>
    <col width="12" customWidth="1" min="5" max="5"/>
    <col width="16" customWidth="1" min="6" max="6"/>
    <col width="14" customWidth="1" min="7" max="7"/>
    <col width="10" customWidth="1" min="8" max="8"/>
    <col width="12" customWidth="1" min="9" max="9"/>
    <col width="12" customWidth="1" min="10" max="10"/>
    <col width="12" customWidth="1" min="11" max="11"/>
    <col width="14" customWidth="1" min="12" max="12"/>
    <col width="14" customWidth="1" min="13" max="13"/>
    <col width="32" customWidth="1" min="14" max="14"/>
    <col width="12" customWidth="1" min="15" max="15"/>
    <col width="12" customWidth="1" min="16" max="16"/>
    <col width="24" customWidth="1" min="17" max="17"/>
  </cols>
  <sheetData>
    <row r="1">
      <c r="A1" s="1" t="inlineStr">
        <is>
          <t>سجل الطلبات</t>
        </is>
      </c>
    </row>
    <row r="2">
      <c r="A2" s="8" t="inlineStr">
        <is>
          <t>عبّي الخلايا البيضاء. أعمدة التكلفة والربح بتنحسب لحالها. الطلب الملغي ما بينحسب.</t>
        </is>
      </c>
    </row>
    <row r="4" ht="32" customHeight="1">
      <c r="A4" s="15" t="inlineStr">
        <is>
          <t>رقم الطلب</t>
        </is>
      </c>
      <c r="B4" s="15" t="inlineStr">
        <is>
          <t>التاريخ</t>
        </is>
      </c>
      <c r="C4" s="15" t="inlineStr">
        <is>
          <t>اسم المحل / الزبون</t>
        </is>
      </c>
      <c r="D4" s="15" t="inlineStr">
        <is>
          <t>رقم الهاتف</t>
        </is>
      </c>
      <c r="E4" s="15" t="inlineStr">
        <is>
          <t>المدينة</t>
        </is>
      </c>
      <c r="F4" s="15" t="inlineStr">
        <is>
          <t>نوع النشاط</t>
        </is>
      </c>
      <c r="G4" s="15" t="inlineStr">
        <is>
          <t>مصدر الطلب</t>
        </is>
      </c>
      <c r="H4" s="15" t="inlineStr">
        <is>
          <t>عدد الستاندات</t>
        </is>
      </c>
      <c r="I4" s="15" t="inlineStr">
        <is>
          <t>سعر البيع (دينار)</t>
        </is>
      </c>
      <c r="J4" s="15" t="inlineStr">
        <is>
          <t>رسوم التوصيل من الزبون</t>
        </is>
      </c>
      <c r="K4" s="15" t="inlineStr">
        <is>
          <t>تكلفة التوصيل عليك</t>
        </is>
      </c>
      <c r="L4" s="15" t="inlineStr">
        <is>
          <t>طريقة الدفع</t>
        </is>
      </c>
      <c r="M4" s="15" t="inlineStr">
        <is>
          <t>الحالة</t>
        </is>
      </c>
      <c r="N4" s="15" t="inlineStr">
        <is>
          <t>رابط التقييم المبرمج</t>
        </is>
      </c>
      <c r="O4" s="15" t="inlineStr">
        <is>
          <t>تكلفة البضاعة</t>
        </is>
      </c>
      <c r="P4" s="15" t="inlineStr">
        <is>
          <t>الربح</t>
        </is>
      </c>
      <c r="Q4" s="15" t="inlineStr">
        <is>
          <t>ملاحظات</t>
        </is>
      </c>
    </row>
    <row r="5">
      <c r="A5" s="16" t="inlineStr">
        <is>
          <t>N-001</t>
        </is>
      </c>
      <c r="B5" s="20" t="n">
        <v>46300</v>
      </c>
      <c r="C5" s="16" t="inlineStr">
        <is>
          <t>كافيه المثال (مثال – امسحه)</t>
        </is>
      </c>
      <c r="D5" s="16" t="inlineStr">
        <is>
          <t>0790000000</t>
        </is>
      </c>
      <c r="E5" s="16" t="inlineStr">
        <is>
          <t>عمّان</t>
        </is>
      </c>
      <c r="F5" s="16" t="inlineStr">
        <is>
          <t>مطعم / كافيه</t>
        </is>
      </c>
      <c r="G5" s="16" t="inlineStr">
        <is>
          <t>انستغرام</t>
        </is>
      </c>
      <c r="H5" s="16" t="n">
        <v>2</v>
      </c>
      <c r="I5" s="13" t="n">
        <v>17</v>
      </c>
      <c r="J5" s="13" t="n">
        <v>2</v>
      </c>
      <c r="K5" s="13" t="n">
        <v>2.5</v>
      </c>
      <c r="L5" s="16" t="inlineStr">
        <is>
          <t>كاش عند الاستلام</t>
        </is>
      </c>
      <c r="M5" s="16" t="inlineStr">
        <is>
          <t>تم التسليم</t>
        </is>
      </c>
      <c r="N5" s="16" t="inlineStr">
        <is>
          <t>naqrajo.com/r/example</t>
        </is>
      </c>
      <c r="O5" s="13">
        <f>IF(OR(H5="",M5="ملغي"),0,H5*'حاسبة التسعير'!$B$19)</f>
        <v/>
      </c>
      <c r="P5" s="13">
        <f>IF(OR(I5="",M5="ملغي"),0,I5+J5-K5-O5)</f>
        <v/>
      </c>
      <c r="Q5" s="16" t="inlineStr">
        <is>
          <t>برمجت الستاندين وجربتهم على آيفون وأندرويد</t>
        </is>
      </c>
    </row>
    <row r="6">
      <c r="A6" s="16" t="n"/>
      <c r="B6" s="20" t="n"/>
      <c r="C6" s="16" t="n"/>
      <c r="D6" s="16" t="n"/>
      <c r="E6" s="16" t="n"/>
      <c r="F6" s="16" t="n"/>
      <c r="G6" s="16" t="n"/>
      <c r="H6" s="16" t="n"/>
      <c r="I6" s="13" t="n"/>
      <c r="J6" s="13" t="n"/>
      <c r="K6" s="13" t="n"/>
      <c r="L6" s="16" t="n"/>
      <c r="M6" s="16" t="n"/>
      <c r="N6" s="16" t="n"/>
      <c r="O6" s="13">
        <f>IF(OR(H6="",M6="ملغي"),0,H6*'حاسبة التسعير'!$B$19)</f>
        <v/>
      </c>
      <c r="P6" s="13">
        <f>IF(OR(I6="",M6="ملغي"),0,I6+J6-K6-O6)</f>
        <v/>
      </c>
      <c r="Q6" s="16" t="n"/>
    </row>
    <row r="7">
      <c r="A7" s="16" t="n"/>
      <c r="B7" s="20" t="n"/>
      <c r="C7" s="16" t="n"/>
      <c r="D7" s="16" t="n"/>
      <c r="E7" s="16" t="n"/>
      <c r="F7" s="16" t="n"/>
      <c r="G7" s="16" t="n"/>
      <c r="H7" s="16" t="n"/>
      <c r="I7" s="13" t="n"/>
      <c r="J7" s="13" t="n"/>
      <c r="K7" s="13" t="n"/>
      <c r="L7" s="16" t="n"/>
      <c r="M7" s="16" t="n"/>
      <c r="N7" s="16" t="n"/>
      <c r="O7" s="13">
        <f>IF(OR(H7="",M7="ملغي"),0,H7*'حاسبة التسعير'!$B$19)</f>
        <v/>
      </c>
      <c r="P7" s="13">
        <f>IF(OR(I7="",M7="ملغي"),0,I7+J7-K7-O7)</f>
        <v/>
      </c>
      <c r="Q7" s="16" t="n"/>
    </row>
    <row r="8">
      <c r="A8" s="16" t="n"/>
      <c r="B8" s="20" t="n"/>
      <c r="C8" s="16" t="n"/>
      <c r="D8" s="16" t="n"/>
      <c r="E8" s="16" t="n"/>
      <c r="F8" s="16" t="n"/>
      <c r="G8" s="16" t="n"/>
      <c r="H8" s="16" t="n"/>
      <c r="I8" s="13" t="n"/>
      <c r="J8" s="13" t="n"/>
      <c r="K8" s="13" t="n"/>
      <c r="L8" s="16" t="n"/>
      <c r="M8" s="16" t="n"/>
      <c r="N8" s="16" t="n"/>
      <c r="O8" s="13">
        <f>IF(OR(H8="",M8="ملغي"),0,H8*'حاسبة التسعير'!$B$19)</f>
        <v/>
      </c>
      <c r="P8" s="13">
        <f>IF(OR(I8="",M8="ملغي"),0,I8+J8-K8-O8)</f>
        <v/>
      </c>
      <c r="Q8" s="16" t="n"/>
    </row>
    <row r="9">
      <c r="A9" s="16" t="n"/>
      <c r="B9" s="20" t="n"/>
      <c r="C9" s="16" t="n"/>
      <c r="D9" s="16" t="n"/>
      <c r="E9" s="16" t="n"/>
      <c r="F9" s="16" t="n"/>
      <c r="G9" s="16" t="n"/>
      <c r="H9" s="16" t="n"/>
      <c r="I9" s="13" t="n"/>
      <c r="J9" s="13" t="n"/>
      <c r="K9" s="13" t="n"/>
      <c r="L9" s="16" t="n"/>
      <c r="M9" s="16" t="n"/>
      <c r="N9" s="16" t="n"/>
      <c r="O9" s="13">
        <f>IF(OR(H9="",M9="ملغي"),0,H9*'حاسبة التسعير'!$B$19)</f>
        <v/>
      </c>
      <c r="P9" s="13">
        <f>IF(OR(I9="",M9="ملغي"),0,I9+J9-K9-O9)</f>
        <v/>
      </c>
      <c r="Q9" s="16" t="n"/>
    </row>
    <row r="10">
      <c r="A10" s="16" t="n"/>
      <c r="B10" s="20" t="n"/>
      <c r="C10" s="16" t="n"/>
      <c r="D10" s="16" t="n"/>
      <c r="E10" s="16" t="n"/>
      <c r="F10" s="16" t="n"/>
      <c r="G10" s="16" t="n"/>
      <c r="H10" s="16" t="n"/>
      <c r="I10" s="13" t="n"/>
      <c r="J10" s="13" t="n"/>
      <c r="K10" s="13" t="n"/>
      <c r="L10" s="16" t="n"/>
      <c r="M10" s="16" t="n"/>
      <c r="N10" s="16" t="n"/>
      <c r="O10" s="13">
        <f>IF(OR(H10="",M10="ملغي"),0,H10*'حاسبة التسعير'!$B$19)</f>
        <v/>
      </c>
      <c r="P10" s="13">
        <f>IF(OR(I10="",M10="ملغي"),0,I10+J10-K10-O10)</f>
        <v/>
      </c>
      <c r="Q10" s="16" t="n"/>
    </row>
    <row r="11">
      <c r="A11" s="16" t="n"/>
      <c r="B11" s="20" t="n"/>
      <c r="C11" s="16" t="n"/>
      <c r="D11" s="16" t="n"/>
      <c r="E11" s="16" t="n"/>
      <c r="F11" s="16" t="n"/>
      <c r="G11" s="16" t="n"/>
      <c r="H11" s="16" t="n"/>
      <c r="I11" s="13" t="n"/>
      <c r="J11" s="13" t="n"/>
      <c r="K11" s="13" t="n"/>
      <c r="L11" s="16" t="n"/>
      <c r="M11" s="16" t="n"/>
      <c r="N11" s="16" t="n"/>
      <c r="O11" s="13">
        <f>IF(OR(H11="",M11="ملغي"),0,H11*'حاسبة التسعير'!$B$19)</f>
        <v/>
      </c>
      <c r="P11" s="13">
        <f>IF(OR(I11="",M11="ملغي"),0,I11+J11-K11-O11)</f>
        <v/>
      </c>
      <c r="Q11" s="16" t="n"/>
    </row>
    <row r="12">
      <c r="A12" s="16" t="n"/>
      <c r="B12" s="20" t="n"/>
      <c r="C12" s="16" t="n"/>
      <c r="D12" s="16" t="n"/>
      <c r="E12" s="16" t="n"/>
      <c r="F12" s="16" t="n"/>
      <c r="G12" s="16" t="n"/>
      <c r="H12" s="16" t="n"/>
      <c r="I12" s="13" t="n"/>
      <c r="J12" s="13" t="n"/>
      <c r="K12" s="13" t="n"/>
      <c r="L12" s="16" t="n"/>
      <c r="M12" s="16" t="n"/>
      <c r="N12" s="16" t="n"/>
      <c r="O12" s="13">
        <f>IF(OR(H12="",M12="ملغي"),0,H12*'حاسبة التسعير'!$B$19)</f>
        <v/>
      </c>
      <c r="P12" s="13">
        <f>IF(OR(I12="",M12="ملغي"),0,I12+J12-K12-O12)</f>
        <v/>
      </c>
      <c r="Q12" s="16" t="n"/>
    </row>
    <row r="13">
      <c r="A13" s="16" t="n"/>
      <c r="B13" s="20" t="n"/>
      <c r="C13" s="16" t="n"/>
      <c r="D13" s="16" t="n"/>
      <c r="E13" s="16" t="n"/>
      <c r="F13" s="16" t="n"/>
      <c r="G13" s="16" t="n"/>
      <c r="H13" s="16" t="n"/>
      <c r="I13" s="13" t="n"/>
      <c r="J13" s="13" t="n"/>
      <c r="K13" s="13" t="n"/>
      <c r="L13" s="16" t="n"/>
      <c r="M13" s="16" t="n"/>
      <c r="N13" s="16" t="n"/>
      <c r="O13" s="13">
        <f>IF(OR(H13="",M13="ملغي"),0,H13*'حاسبة التسعير'!$B$19)</f>
        <v/>
      </c>
      <c r="P13" s="13">
        <f>IF(OR(I13="",M13="ملغي"),0,I13+J13-K13-O13)</f>
        <v/>
      </c>
      <c r="Q13" s="16" t="n"/>
    </row>
    <row r="14">
      <c r="A14" s="16" t="n"/>
      <c r="B14" s="20" t="n"/>
      <c r="C14" s="16" t="n"/>
      <c r="D14" s="16" t="n"/>
      <c r="E14" s="16" t="n"/>
      <c r="F14" s="16" t="n"/>
      <c r="G14" s="16" t="n"/>
      <c r="H14" s="16" t="n"/>
      <c r="I14" s="13" t="n"/>
      <c r="J14" s="13" t="n"/>
      <c r="K14" s="13" t="n"/>
      <c r="L14" s="16" t="n"/>
      <c r="M14" s="16" t="n"/>
      <c r="N14" s="16" t="n"/>
      <c r="O14" s="13">
        <f>IF(OR(H14="",M14="ملغي"),0,H14*'حاسبة التسعير'!$B$19)</f>
        <v/>
      </c>
      <c r="P14" s="13">
        <f>IF(OR(I14="",M14="ملغي"),0,I14+J14-K14-O14)</f>
        <v/>
      </c>
      <c r="Q14" s="16" t="n"/>
    </row>
    <row r="15">
      <c r="A15" s="16" t="n"/>
      <c r="B15" s="20" t="n"/>
      <c r="C15" s="16" t="n"/>
      <c r="D15" s="16" t="n"/>
      <c r="E15" s="16" t="n"/>
      <c r="F15" s="16" t="n"/>
      <c r="G15" s="16" t="n"/>
      <c r="H15" s="16" t="n"/>
      <c r="I15" s="13" t="n"/>
      <c r="J15" s="13" t="n"/>
      <c r="K15" s="13" t="n"/>
      <c r="L15" s="16" t="n"/>
      <c r="M15" s="16" t="n"/>
      <c r="N15" s="16" t="n"/>
      <c r="O15" s="13">
        <f>IF(OR(H15="",M15="ملغي"),0,H15*'حاسبة التسعير'!$B$19)</f>
        <v/>
      </c>
      <c r="P15" s="13">
        <f>IF(OR(I15="",M15="ملغي"),0,I15+J15-K15-O15)</f>
        <v/>
      </c>
      <c r="Q15" s="16" t="n"/>
    </row>
    <row r="16">
      <c r="A16" s="16" t="n"/>
      <c r="B16" s="20" t="n"/>
      <c r="C16" s="16" t="n"/>
      <c r="D16" s="16" t="n"/>
      <c r="E16" s="16" t="n"/>
      <c r="F16" s="16" t="n"/>
      <c r="G16" s="16" t="n"/>
      <c r="H16" s="16" t="n"/>
      <c r="I16" s="13" t="n"/>
      <c r="J16" s="13" t="n"/>
      <c r="K16" s="13" t="n"/>
      <c r="L16" s="16" t="n"/>
      <c r="M16" s="16" t="n"/>
      <c r="N16" s="16" t="n"/>
      <c r="O16" s="13">
        <f>IF(OR(H16="",M16="ملغي"),0,H16*'حاسبة التسعير'!$B$19)</f>
        <v/>
      </c>
      <c r="P16" s="13">
        <f>IF(OR(I16="",M16="ملغي"),0,I16+J16-K16-O16)</f>
        <v/>
      </c>
      <c r="Q16" s="16" t="n"/>
    </row>
    <row r="17">
      <c r="A17" s="16" t="n"/>
      <c r="B17" s="20" t="n"/>
      <c r="C17" s="16" t="n"/>
      <c r="D17" s="16" t="n"/>
      <c r="E17" s="16" t="n"/>
      <c r="F17" s="16" t="n"/>
      <c r="G17" s="16" t="n"/>
      <c r="H17" s="16" t="n"/>
      <c r="I17" s="13" t="n"/>
      <c r="J17" s="13" t="n"/>
      <c r="K17" s="13" t="n"/>
      <c r="L17" s="16" t="n"/>
      <c r="M17" s="16" t="n"/>
      <c r="N17" s="16" t="n"/>
      <c r="O17" s="13">
        <f>IF(OR(H17="",M17="ملغي"),0,H17*'حاسبة التسعير'!$B$19)</f>
        <v/>
      </c>
      <c r="P17" s="13">
        <f>IF(OR(I17="",M17="ملغي"),0,I17+J17-K17-O17)</f>
        <v/>
      </c>
      <c r="Q17" s="16" t="n"/>
    </row>
    <row r="18">
      <c r="A18" s="16" t="n"/>
      <c r="B18" s="20" t="n"/>
      <c r="C18" s="16" t="n"/>
      <c r="D18" s="16" t="n"/>
      <c r="E18" s="16" t="n"/>
      <c r="F18" s="16" t="n"/>
      <c r="G18" s="16" t="n"/>
      <c r="H18" s="16" t="n"/>
      <c r="I18" s="13" t="n"/>
      <c r="J18" s="13" t="n"/>
      <c r="K18" s="13" t="n"/>
      <c r="L18" s="16" t="n"/>
      <c r="M18" s="16" t="n"/>
      <c r="N18" s="16" t="n"/>
      <c r="O18" s="13">
        <f>IF(OR(H18="",M18="ملغي"),0,H18*'حاسبة التسعير'!$B$19)</f>
        <v/>
      </c>
      <c r="P18" s="13">
        <f>IF(OR(I18="",M18="ملغي"),0,I18+J18-K18-O18)</f>
        <v/>
      </c>
      <c r="Q18" s="16" t="n"/>
    </row>
    <row r="19">
      <c r="A19" s="16" t="n"/>
      <c r="B19" s="20" t="n"/>
      <c r="C19" s="16" t="n"/>
      <c r="D19" s="16" t="n"/>
      <c r="E19" s="16" t="n"/>
      <c r="F19" s="16" t="n"/>
      <c r="G19" s="16" t="n"/>
      <c r="H19" s="16" t="n"/>
      <c r="I19" s="13" t="n"/>
      <c r="J19" s="13" t="n"/>
      <c r="K19" s="13" t="n"/>
      <c r="L19" s="16" t="n"/>
      <c r="M19" s="16" t="n"/>
      <c r="N19" s="16" t="n"/>
      <c r="O19" s="13">
        <f>IF(OR(H19="",M19="ملغي"),0,H19*'حاسبة التسعير'!$B$19)</f>
        <v/>
      </c>
      <c r="P19" s="13">
        <f>IF(OR(I19="",M19="ملغي"),0,I19+J19-K19-O19)</f>
        <v/>
      </c>
      <c r="Q19" s="16" t="n"/>
    </row>
    <row r="20">
      <c r="A20" s="16" t="n"/>
      <c r="B20" s="20" t="n"/>
      <c r="C20" s="16" t="n"/>
      <c r="D20" s="16" t="n"/>
      <c r="E20" s="16" t="n"/>
      <c r="F20" s="16" t="n"/>
      <c r="G20" s="16" t="n"/>
      <c r="H20" s="16" t="n"/>
      <c r="I20" s="13" t="n"/>
      <c r="J20" s="13" t="n"/>
      <c r="K20" s="13" t="n"/>
      <c r="L20" s="16" t="n"/>
      <c r="M20" s="16" t="n"/>
      <c r="N20" s="16" t="n"/>
      <c r="O20" s="13">
        <f>IF(OR(H20="",M20="ملغي"),0,H20*'حاسبة التسعير'!$B$19)</f>
        <v/>
      </c>
      <c r="P20" s="13">
        <f>IF(OR(I20="",M20="ملغي"),0,I20+J20-K20-O20)</f>
        <v/>
      </c>
      <c r="Q20" s="16" t="n"/>
    </row>
    <row r="21">
      <c r="A21" s="16" t="n"/>
      <c r="B21" s="20" t="n"/>
      <c r="C21" s="16" t="n"/>
      <c r="D21" s="16" t="n"/>
      <c r="E21" s="16" t="n"/>
      <c r="F21" s="16" t="n"/>
      <c r="G21" s="16" t="n"/>
      <c r="H21" s="16" t="n"/>
      <c r="I21" s="13" t="n"/>
      <c r="J21" s="13" t="n"/>
      <c r="K21" s="13" t="n"/>
      <c r="L21" s="16" t="n"/>
      <c r="M21" s="16" t="n"/>
      <c r="N21" s="16" t="n"/>
      <c r="O21" s="13">
        <f>IF(OR(H21="",M21="ملغي"),0,H21*'حاسبة التسعير'!$B$19)</f>
        <v/>
      </c>
      <c r="P21" s="13">
        <f>IF(OR(I21="",M21="ملغي"),0,I21+J21-K21-O21)</f>
        <v/>
      </c>
      <c r="Q21" s="16" t="n"/>
    </row>
    <row r="22">
      <c r="A22" s="16" t="n"/>
      <c r="B22" s="20" t="n"/>
      <c r="C22" s="16" t="n"/>
      <c r="D22" s="16" t="n"/>
      <c r="E22" s="16" t="n"/>
      <c r="F22" s="16" t="n"/>
      <c r="G22" s="16" t="n"/>
      <c r="H22" s="16" t="n"/>
      <c r="I22" s="13" t="n"/>
      <c r="J22" s="13" t="n"/>
      <c r="K22" s="13" t="n"/>
      <c r="L22" s="16" t="n"/>
      <c r="M22" s="16" t="n"/>
      <c r="N22" s="16" t="n"/>
      <c r="O22" s="13">
        <f>IF(OR(H22="",M22="ملغي"),0,H22*'حاسبة التسعير'!$B$19)</f>
        <v/>
      </c>
      <c r="P22" s="13">
        <f>IF(OR(I22="",M22="ملغي"),0,I22+J22-K22-O22)</f>
        <v/>
      </c>
      <c r="Q22" s="16" t="n"/>
    </row>
    <row r="23">
      <c r="A23" s="16" t="n"/>
      <c r="B23" s="20" t="n"/>
      <c r="C23" s="16" t="n"/>
      <c r="D23" s="16" t="n"/>
      <c r="E23" s="16" t="n"/>
      <c r="F23" s="16" t="n"/>
      <c r="G23" s="16" t="n"/>
      <c r="H23" s="16" t="n"/>
      <c r="I23" s="13" t="n"/>
      <c r="J23" s="13" t="n"/>
      <c r="K23" s="13" t="n"/>
      <c r="L23" s="16" t="n"/>
      <c r="M23" s="16" t="n"/>
      <c r="N23" s="16" t="n"/>
      <c r="O23" s="13">
        <f>IF(OR(H23="",M23="ملغي"),0,H23*'حاسبة التسعير'!$B$19)</f>
        <v/>
      </c>
      <c r="P23" s="13">
        <f>IF(OR(I23="",M23="ملغي"),0,I23+J23-K23-O23)</f>
        <v/>
      </c>
      <c r="Q23" s="16" t="n"/>
    </row>
    <row r="24">
      <c r="A24" s="16" t="n"/>
      <c r="B24" s="20" t="n"/>
      <c r="C24" s="16" t="n"/>
      <c r="D24" s="16" t="n"/>
      <c r="E24" s="16" t="n"/>
      <c r="F24" s="16" t="n"/>
      <c r="G24" s="16" t="n"/>
      <c r="H24" s="16" t="n"/>
      <c r="I24" s="13" t="n"/>
      <c r="J24" s="13" t="n"/>
      <c r="K24" s="13" t="n"/>
      <c r="L24" s="16" t="n"/>
      <c r="M24" s="16" t="n"/>
      <c r="N24" s="16" t="n"/>
      <c r="O24" s="13">
        <f>IF(OR(H24="",M24="ملغي"),0,H24*'حاسبة التسعير'!$B$19)</f>
        <v/>
      </c>
      <c r="P24" s="13">
        <f>IF(OR(I24="",M24="ملغي"),0,I24+J24-K24-O24)</f>
        <v/>
      </c>
      <c r="Q24" s="16" t="n"/>
    </row>
    <row r="25">
      <c r="A25" s="16" t="n"/>
      <c r="B25" s="20" t="n"/>
      <c r="C25" s="16" t="n"/>
      <c r="D25" s="16" t="n"/>
      <c r="E25" s="16" t="n"/>
      <c r="F25" s="16" t="n"/>
      <c r="G25" s="16" t="n"/>
      <c r="H25" s="16" t="n"/>
      <c r="I25" s="13" t="n"/>
      <c r="J25" s="13" t="n"/>
      <c r="K25" s="13" t="n"/>
      <c r="L25" s="16" t="n"/>
      <c r="M25" s="16" t="n"/>
      <c r="N25" s="16" t="n"/>
      <c r="O25" s="13">
        <f>IF(OR(H25="",M25="ملغي"),0,H25*'حاسبة التسعير'!$B$19)</f>
        <v/>
      </c>
      <c r="P25" s="13">
        <f>IF(OR(I25="",M25="ملغي"),0,I25+J25-K25-O25)</f>
        <v/>
      </c>
      <c r="Q25" s="16" t="n"/>
    </row>
    <row r="26">
      <c r="A26" s="16" t="n"/>
      <c r="B26" s="20" t="n"/>
      <c r="C26" s="16" t="n"/>
      <c r="D26" s="16" t="n"/>
      <c r="E26" s="16" t="n"/>
      <c r="F26" s="16" t="n"/>
      <c r="G26" s="16" t="n"/>
      <c r="H26" s="16" t="n"/>
      <c r="I26" s="13" t="n"/>
      <c r="J26" s="13" t="n"/>
      <c r="K26" s="13" t="n"/>
      <c r="L26" s="16" t="n"/>
      <c r="M26" s="16" t="n"/>
      <c r="N26" s="16" t="n"/>
      <c r="O26" s="13">
        <f>IF(OR(H26="",M26="ملغي"),0,H26*'حاسبة التسعير'!$B$19)</f>
        <v/>
      </c>
      <c r="P26" s="13">
        <f>IF(OR(I26="",M26="ملغي"),0,I26+J26-K26-O26)</f>
        <v/>
      </c>
      <c r="Q26" s="16" t="n"/>
    </row>
    <row r="27">
      <c r="A27" s="16" t="n"/>
      <c r="B27" s="20" t="n"/>
      <c r="C27" s="16" t="n"/>
      <c r="D27" s="16" t="n"/>
      <c r="E27" s="16" t="n"/>
      <c r="F27" s="16" t="n"/>
      <c r="G27" s="16" t="n"/>
      <c r="H27" s="16" t="n"/>
      <c r="I27" s="13" t="n"/>
      <c r="J27" s="13" t="n"/>
      <c r="K27" s="13" t="n"/>
      <c r="L27" s="16" t="n"/>
      <c r="M27" s="16" t="n"/>
      <c r="N27" s="16" t="n"/>
      <c r="O27" s="13">
        <f>IF(OR(H27="",M27="ملغي"),0,H27*'حاسبة التسعير'!$B$19)</f>
        <v/>
      </c>
      <c r="P27" s="13">
        <f>IF(OR(I27="",M27="ملغي"),0,I27+J27-K27-O27)</f>
        <v/>
      </c>
      <c r="Q27" s="16" t="n"/>
    </row>
    <row r="28">
      <c r="A28" s="16" t="n"/>
      <c r="B28" s="20" t="n"/>
      <c r="C28" s="16" t="n"/>
      <c r="D28" s="16" t="n"/>
      <c r="E28" s="16" t="n"/>
      <c r="F28" s="16" t="n"/>
      <c r="G28" s="16" t="n"/>
      <c r="H28" s="16" t="n"/>
      <c r="I28" s="13" t="n"/>
      <c r="J28" s="13" t="n"/>
      <c r="K28" s="13" t="n"/>
      <c r="L28" s="16" t="n"/>
      <c r="M28" s="16" t="n"/>
      <c r="N28" s="16" t="n"/>
      <c r="O28" s="13">
        <f>IF(OR(H28="",M28="ملغي"),0,H28*'حاسبة التسعير'!$B$19)</f>
        <v/>
      </c>
      <c r="P28" s="13">
        <f>IF(OR(I28="",M28="ملغي"),0,I28+J28-K28-O28)</f>
        <v/>
      </c>
      <c r="Q28" s="16" t="n"/>
    </row>
    <row r="29">
      <c r="A29" s="16" t="n"/>
      <c r="B29" s="20" t="n"/>
      <c r="C29" s="16" t="n"/>
      <c r="D29" s="16" t="n"/>
      <c r="E29" s="16" t="n"/>
      <c r="F29" s="16" t="n"/>
      <c r="G29" s="16" t="n"/>
      <c r="H29" s="16" t="n"/>
      <c r="I29" s="13" t="n"/>
      <c r="J29" s="13" t="n"/>
      <c r="K29" s="13" t="n"/>
      <c r="L29" s="16" t="n"/>
      <c r="M29" s="16" t="n"/>
      <c r="N29" s="16" t="n"/>
      <c r="O29" s="13">
        <f>IF(OR(H29="",M29="ملغي"),0,H29*'حاسبة التسعير'!$B$19)</f>
        <v/>
      </c>
      <c r="P29" s="13">
        <f>IF(OR(I29="",M29="ملغي"),0,I29+J29-K29-O29)</f>
        <v/>
      </c>
      <c r="Q29" s="16" t="n"/>
    </row>
    <row r="30">
      <c r="A30" s="16" t="n"/>
      <c r="B30" s="20" t="n"/>
      <c r="C30" s="16" t="n"/>
      <c r="D30" s="16" t="n"/>
      <c r="E30" s="16" t="n"/>
      <c r="F30" s="16" t="n"/>
      <c r="G30" s="16" t="n"/>
      <c r="H30" s="16" t="n"/>
      <c r="I30" s="13" t="n"/>
      <c r="J30" s="13" t="n"/>
      <c r="K30" s="13" t="n"/>
      <c r="L30" s="16" t="n"/>
      <c r="M30" s="16" t="n"/>
      <c r="N30" s="16" t="n"/>
      <c r="O30" s="13">
        <f>IF(OR(H30="",M30="ملغي"),0,H30*'حاسبة التسعير'!$B$19)</f>
        <v/>
      </c>
      <c r="P30" s="13">
        <f>IF(OR(I30="",M30="ملغي"),0,I30+J30-K30-O30)</f>
        <v/>
      </c>
      <c r="Q30" s="16" t="n"/>
    </row>
    <row r="31">
      <c r="A31" s="16" t="n"/>
      <c r="B31" s="20" t="n"/>
      <c r="C31" s="16" t="n"/>
      <c r="D31" s="16" t="n"/>
      <c r="E31" s="16" t="n"/>
      <c r="F31" s="16" t="n"/>
      <c r="G31" s="16" t="n"/>
      <c r="H31" s="16" t="n"/>
      <c r="I31" s="13" t="n"/>
      <c r="J31" s="13" t="n"/>
      <c r="K31" s="13" t="n"/>
      <c r="L31" s="16" t="n"/>
      <c r="M31" s="16" t="n"/>
      <c r="N31" s="16" t="n"/>
      <c r="O31" s="13">
        <f>IF(OR(H31="",M31="ملغي"),0,H31*'حاسبة التسعير'!$B$19)</f>
        <v/>
      </c>
      <c r="P31" s="13">
        <f>IF(OR(I31="",M31="ملغي"),0,I31+J31-K31-O31)</f>
        <v/>
      </c>
      <c r="Q31" s="16" t="n"/>
    </row>
    <row r="32">
      <c r="A32" s="16" t="n"/>
      <c r="B32" s="20" t="n"/>
      <c r="C32" s="16" t="n"/>
      <c r="D32" s="16" t="n"/>
      <c r="E32" s="16" t="n"/>
      <c r="F32" s="16" t="n"/>
      <c r="G32" s="16" t="n"/>
      <c r="H32" s="16" t="n"/>
      <c r="I32" s="13" t="n"/>
      <c r="J32" s="13" t="n"/>
      <c r="K32" s="13" t="n"/>
      <c r="L32" s="16" t="n"/>
      <c r="M32" s="16" t="n"/>
      <c r="N32" s="16" t="n"/>
      <c r="O32" s="13">
        <f>IF(OR(H32="",M32="ملغي"),0,H32*'حاسبة التسعير'!$B$19)</f>
        <v/>
      </c>
      <c r="P32" s="13">
        <f>IF(OR(I32="",M32="ملغي"),0,I32+J32-K32-O32)</f>
        <v/>
      </c>
      <c r="Q32" s="16" t="n"/>
    </row>
    <row r="33">
      <c r="A33" s="16" t="n"/>
      <c r="B33" s="20" t="n"/>
      <c r="C33" s="16" t="n"/>
      <c r="D33" s="16" t="n"/>
      <c r="E33" s="16" t="n"/>
      <c r="F33" s="16" t="n"/>
      <c r="G33" s="16" t="n"/>
      <c r="H33" s="16" t="n"/>
      <c r="I33" s="13" t="n"/>
      <c r="J33" s="13" t="n"/>
      <c r="K33" s="13" t="n"/>
      <c r="L33" s="16" t="n"/>
      <c r="M33" s="16" t="n"/>
      <c r="N33" s="16" t="n"/>
      <c r="O33" s="13">
        <f>IF(OR(H33="",M33="ملغي"),0,H33*'حاسبة التسعير'!$B$19)</f>
        <v/>
      </c>
      <c r="P33" s="13">
        <f>IF(OR(I33="",M33="ملغي"),0,I33+J33-K33-O33)</f>
        <v/>
      </c>
      <c r="Q33" s="16" t="n"/>
    </row>
    <row r="34">
      <c r="A34" s="16" t="n"/>
      <c r="B34" s="20" t="n"/>
      <c r="C34" s="16" t="n"/>
      <c r="D34" s="16" t="n"/>
      <c r="E34" s="16" t="n"/>
      <c r="F34" s="16" t="n"/>
      <c r="G34" s="16" t="n"/>
      <c r="H34" s="16" t="n"/>
      <c r="I34" s="13" t="n"/>
      <c r="J34" s="13" t="n"/>
      <c r="K34" s="13" t="n"/>
      <c r="L34" s="16" t="n"/>
      <c r="M34" s="16" t="n"/>
      <c r="N34" s="16" t="n"/>
      <c r="O34" s="13">
        <f>IF(OR(H34="",M34="ملغي"),0,H34*'حاسبة التسعير'!$B$19)</f>
        <v/>
      </c>
      <c r="P34" s="13">
        <f>IF(OR(I34="",M34="ملغي"),0,I34+J34-K34-O34)</f>
        <v/>
      </c>
      <c r="Q34" s="16" t="n"/>
    </row>
    <row r="35">
      <c r="A35" s="16" t="n"/>
      <c r="B35" s="20" t="n"/>
      <c r="C35" s="16" t="n"/>
      <c r="D35" s="16" t="n"/>
      <c r="E35" s="16" t="n"/>
      <c r="F35" s="16" t="n"/>
      <c r="G35" s="16" t="n"/>
      <c r="H35" s="16" t="n"/>
      <c r="I35" s="13" t="n"/>
      <c r="J35" s="13" t="n"/>
      <c r="K35" s="13" t="n"/>
      <c r="L35" s="16" t="n"/>
      <c r="M35" s="16" t="n"/>
      <c r="N35" s="16" t="n"/>
      <c r="O35" s="13">
        <f>IF(OR(H35="",M35="ملغي"),0,H35*'حاسبة التسعير'!$B$19)</f>
        <v/>
      </c>
      <c r="P35" s="13">
        <f>IF(OR(I35="",M35="ملغي"),0,I35+J35-K35-O35)</f>
        <v/>
      </c>
      <c r="Q35" s="16" t="n"/>
    </row>
    <row r="36">
      <c r="A36" s="16" t="n"/>
      <c r="B36" s="20" t="n"/>
      <c r="C36" s="16" t="n"/>
      <c r="D36" s="16" t="n"/>
      <c r="E36" s="16" t="n"/>
      <c r="F36" s="16" t="n"/>
      <c r="G36" s="16" t="n"/>
      <c r="H36" s="16" t="n"/>
      <c r="I36" s="13" t="n"/>
      <c r="J36" s="13" t="n"/>
      <c r="K36" s="13" t="n"/>
      <c r="L36" s="16" t="n"/>
      <c r="M36" s="16" t="n"/>
      <c r="N36" s="16" t="n"/>
      <c r="O36" s="13">
        <f>IF(OR(H36="",M36="ملغي"),0,H36*'حاسبة التسعير'!$B$19)</f>
        <v/>
      </c>
      <c r="P36" s="13">
        <f>IF(OR(I36="",M36="ملغي"),0,I36+J36-K36-O36)</f>
        <v/>
      </c>
      <c r="Q36" s="16" t="n"/>
    </row>
    <row r="37">
      <c r="A37" s="16" t="n"/>
      <c r="B37" s="20" t="n"/>
      <c r="C37" s="16" t="n"/>
      <c r="D37" s="16" t="n"/>
      <c r="E37" s="16" t="n"/>
      <c r="F37" s="16" t="n"/>
      <c r="G37" s="16" t="n"/>
      <c r="H37" s="16" t="n"/>
      <c r="I37" s="13" t="n"/>
      <c r="J37" s="13" t="n"/>
      <c r="K37" s="13" t="n"/>
      <c r="L37" s="16" t="n"/>
      <c r="M37" s="16" t="n"/>
      <c r="N37" s="16" t="n"/>
      <c r="O37" s="13">
        <f>IF(OR(H37="",M37="ملغي"),0,H37*'حاسبة التسعير'!$B$19)</f>
        <v/>
      </c>
      <c r="P37" s="13">
        <f>IF(OR(I37="",M37="ملغي"),0,I37+J37-K37-O37)</f>
        <v/>
      </c>
      <c r="Q37" s="16" t="n"/>
    </row>
    <row r="38">
      <c r="A38" s="16" t="n"/>
      <c r="B38" s="20" t="n"/>
      <c r="C38" s="16" t="n"/>
      <c r="D38" s="16" t="n"/>
      <c r="E38" s="16" t="n"/>
      <c r="F38" s="16" t="n"/>
      <c r="G38" s="16" t="n"/>
      <c r="H38" s="16" t="n"/>
      <c r="I38" s="13" t="n"/>
      <c r="J38" s="13" t="n"/>
      <c r="K38" s="13" t="n"/>
      <c r="L38" s="16" t="n"/>
      <c r="M38" s="16" t="n"/>
      <c r="N38" s="16" t="n"/>
      <c r="O38" s="13">
        <f>IF(OR(H38="",M38="ملغي"),0,H38*'حاسبة التسعير'!$B$19)</f>
        <v/>
      </c>
      <c r="P38" s="13">
        <f>IF(OR(I38="",M38="ملغي"),0,I38+J38-K38-O38)</f>
        <v/>
      </c>
      <c r="Q38" s="16" t="n"/>
    </row>
    <row r="39">
      <c r="A39" s="16" t="n"/>
      <c r="B39" s="20" t="n"/>
      <c r="C39" s="16" t="n"/>
      <c r="D39" s="16" t="n"/>
      <c r="E39" s="16" t="n"/>
      <c r="F39" s="16" t="n"/>
      <c r="G39" s="16" t="n"/>
      <c r="H39" s="16" t="n"/>
      <c r="I39" s="13" t="n"/>
      <c r="J39" s="13" t="n"/>
      <c r="K39" s="13" t="n"/>
      <c r="L39" s="16" t="n"/>
      <c r="M39" s="16" t="n"/>
      <c r="N39" s="16" t="n"/>
      <c r="O39" s="13">
        <f>IF(OR(H39="",M39="ملغي"),0,H39*'حاسبة التسعير'!$B$19)</f>
        <v/>
      </c>
      <c r="P39" s="13">
        <f>IF(OR(I39="",M39="ملغي"),0,I39+J39-K39-O39)</f>
        <v/>
      </c>
      <c r="Q39" s="16" t="n"/>
    </row>
    <row r="40">
      <c r="A40" s="16" t="n"/>
      <c r="B40" s="20" t="n"/>
      <c r="C40" s="16" t="n"/>
      <c r="D40" s="16" t="n"/>
      <c r="E40" s="16" t="n"/>
      <c r="F40" s="16" t="n"/>
      <c r="G40" s="16" t="n"/>
      <c r="H40" s="16" t="n"/>
      <c r="I40" s="13" t="n"/>
      <c r="J40" s="13" t="n"/>
      <c r="K40" s="13" t="n"/>
      <c r="L40" s="16" t="n"/>
      <c r="M40" s="16" t="n"/>
      <c r="N40" s="16" t="n"/>
      <c r="O40" s="13">
        <f>IF(OR(H40="",M40="ملغي"),0,H40*'حاسبة التسعير'!$B$19)</f>
        <v/>
      </c>
      <c r="P40" s="13">
        <f>IF(OR(I40="",M40="ملغي"),0,I40+J40-K40-O40)</f>
        <v/>
      </c>
      <c r="Q40" s="16" t="n"/>
    </row>
    <row r="41">
      <c r="A41" s="16" t="n"/>
      <c r="B41" s="20" t="n"/>
      <c r="C41" s="16" t="n"/>
      <c r="D41" s="16" t="n"/>
      <c r="E41" s="16" t="n"/>
      <c r="F41" s="16" t="n"/>
      <c r="G41" s="16" t="n"/>
      <c r="H41" s="16" t="n"/>
      <c r="I41" s="13" t="n"/>
      <c r="J41" s="13" t="n"/>
      <c r="K41" s="13" t="n"/>
      <c r="L41" s="16" t="n"/>
      <c r="M41" s="16" t="n"/>
      <c r="N41" s="16" t="n"/>
      <c r="O41" s="13">
        <f>IF(OR(H41="",M41="ملغي"),0,H41*'حاسبة التسعير'!$B$19)</f>
        <v/>
      </c>
      <c r="P41" s="13">
        <f>IF(OR(I41="",M41="ملغي"),0,I41+J41-K41-O41)</f>
        <v/>
      </c>
      <c r="Q41" s="16" t="n"/>
    </row>
    <row r="42">
      <c r="A42" s="16" t="n"/>
      <c r="B42" s="20" t="n"/>
      <c r="C42" s="16" t="n"/>
      <c r="D42" s="16" t="n"/>
      <c r="E42" s="16" t="n"/>
      <c r="F42" s="16" t="n"/>
      <c r="G42" s="16" t="n"/>
      <c r="H42" s="16" t="n"/>
      <c r="I42" s="13" t="n"/>
      <c r="J42" s="13" t="n"/>
      <c r="K42" s="13" t="n"/>
      <c r="L42" s="16" t="n"/>
      <c r="M42" s="16" t="n"/>
      <c r="N42" s="16" t="n"/>
      <c r="O42" s="13">
        <f>IF(OR(H42="",M42="ملغي"),0,H42*'حاسبة التسعير'!$B$19)</f>
        <v/>
      </c>
      <c r="P42" s="13">
        <f>IF(OR(I42="",M42="ملغي"),0,I42+J42-K42-O42)</f>
        <v/>
      </c>
      <c r="Q42" s="16" t="n"/>
    </row>
    <row r="43">
      <c r="A43" s="16" t="n"/>
      <c r="B43" s="20" t="n"/>
      <c r="C43" s="16" t="n"/>
      <c r="D43" s="16" t="n"/>
      <c r="E43" s="16" t="n"/>
      <c r="F43" s="16" t="n"/>
      <c r="G43" s="16" t="n"/>
      <c r="H43" s="16" t="n"/>
      <c r="I43" s="13" t="n"/>
      <c r="J43" s="13" t="n"/>
      <c r="K43" s="13" t="n"/>
      <c r="L43" s="16" t="n"/>
      <c r="M43" s="16" t="n"/>
      <c r="N43" s="16" t="n"/>
      <c r="O43" s="13">
        <f>IF(OR(H43="",M43="ملغي"),0,H43*'حاسبة التسعير'!$B$19)</f>
        <v/>
      </c>
      <c r="P43" s="13">
        <f>IF(OR(I43="",M43="ملغي"),0,I43+J43-K43-O43)</f>
        <v/>
      </c>
      <c r="Q43" s="16" t="n"/>
    </row>
    <row r="44">
      <c r="A44" s="16" t="n"/>
      <c r="B44" s="20" t="n"/>
      <c r="C44" s="16" t="n"/>
      <c r="D44" s="16" t="n"/>
      <c r="E44" s="16" t="n"/>
      <c r="F44" s="16" t="n"/>
      <c r="G44" s="16" t="n"/>
      <c r="H44" s="16" t="n"/>
      <c r="I44" s="13" t="n"/>
      <c r="J44" s="13" t="n"/>
      <c r="K44" s="13" t="n"/>
      <c r="L44" s="16" t="n"/>
      <c r="M44" s="16" t="n"/>
      <c r="N44" s="16" t="n"/>
      <c r="O44" s="13">
        <f>IF(OR(H44="",M44="ملغي"),0,H44*'حاسبة التسعير'!$B$19)</f>
        <v/>
      </c>
      <c r="P44" s="13">
        <f>IF(OR(I44="",M44="ملغي"),0,I44+J44-K44-O44)</f>
        <v/>
      </c>
      <c r="Q44" s="16" t="n"/>
    </row>
    <row r="45">
      <c r="A45" s="16" t="n"/>
      <c r="B45" s="20" t="n"/>
      <c r="C45" s="16" t="n"/>
      <c r="D45" s="16" t="n"/>
      <c r="E45" s="16" t="n"/>
      <c r="F45" s="16" t="n"/>
      <c r="G45" s="16" t="n"/>
      <c r="H45" s="16" t="n"/>
      <c r="I45" s="13" t="n"/>
      <c r="J45" s="13" t="n"/>
      <c r="K45" s="13" t="n"/>
      <c r="L45" s="16" t="n"/>
      <c r="M45" s="16" t="n"/>
      <c r="N45" s="16" t="n"/>
      <c r="O45" s="13">
        <f>IF(OR(H45="",M45="ملغي"),0,H45*'حاسبة التسعير'!$B$19)</f>
        <v/>
      </c>
      <c r="P45" s="13">
        <f>IF(OR(I45="",M45="ملغي"),0,I45+J45-K45-O45)</f>
        <v/>
      </c>
      <c r="Q45" s="16" t="n"/>
    </row>
    <row r="46">
      <c r="A46" s="16" t="n"/>
      <c r="B46" s="20" t="n"/>
      <c r="C46" s="16" t="n"/>
      <c r="D46" s="16" t="n"/>
      <c r="E46" s="16" t="n"/>
      <c r="F46" s="16" t="n"/>
      <c r="G46" s="16" t="n"/>
      <c r="H46" s="16" t="n"/>
      <c r="I46" s="13" t="n"/>
      <c r="J46" s="13" t="n"/>
      <c r="K46" s="13" t="n"/>
      <c r="L46" s="16" t="n"/>
      <c r="M46" s="16" t="n"/>
      <c r="N46" s="16" t="n"/>
      <c r="O46" s="13">
        <f>IF(OR(H46="",M46="ملغي"),0,H46*'حاسبة التسعير'!$B$19)</f>
        <v/>
      </c>
      <c r="P46" s="13">
        <f>IF(OR(I46="",M46="ملغي"),0,I46+J46-K46-O46)</f>
        <v/>
      </c>
      <c r="Q46" s="16" t="n"/>
    </row>
    <row r="47">
      <c r="A47" s="16" t="n"/>
      <c r="B47" s="20" t="n"/>
      <c r="C47" s="16" t="n"/>
      <c r="D47" s="16" t="n"/>
      <c r="E47" s="16" t="n"/>
      <c r="F47" s="16" t="n"/>
      <c r="G47" s="16" t="n"/>
      <c r="H47" s="16" t="n"/>
      <c r="I47" s="13" t="n"/>
      <c r="J47" s="13" t="n"/>
      <c r="K47" s="13" t="n"/>
      <c r="L47" s="16" t="n"/>
      <c r="M47" s="16" t="n"/>
      <c r="N47" s="16" t="n"/>
      <c r="O47" s="13">
        <f>IF(OR(H47="",M47="ملغي"),0,H47*'حاسبة التسعير'!$B$19)</f>
        <v/>
      </c>
      <c r="P47" s="13">
        <f>IF(OR(I47="",M47="ملغي"),0,I47+J47-K47-O47)</f>
        <v/>
      </c>
      <c r="Q47" s="16" t="n"/>
    </row>
    <row r="48">
      <c r="A48" s="16" t="n"/>
      <c r="B48" s="20" t="n"/>
      <c r="C48" s="16" t="n"/>
      <c r="D48" s="16" t="n"/>
      <c r="E48" s="16" t="n"/>
      <c r="F48" s="16" t="n"/>
      <c r="G48" s="16" t="n"/>
      <c r="H48" s="16" t="n"/>
      <c r="I48" s="13" t="n"/>
      <c r="J48" s="13" t="n"/>
      <c r="K48" s="13" t="n"/>
      <c r="L48" s="16" t="n"/>
      <c r="M48" s="16" t="n"/>
      <c r="N48" s="16" t="n"/>
      <c r="O48" s="13">
        <f>IF(OR(H48="",M48="ملغي"),0,H48*'حاسبة التسعير'!$B$19)</f>
        <v/>
      </c>
      <c r="P48" s="13">
        <f>IF(OR(I48="",M48="ملغي"),0,I48+J48-K48-O48)</f>
        <v/>
      </c>
      <c r="Q48" s="16" t="n"/>
    </row>
    <row r="49">
      <c r="A49" s="16" t="n"/>
      <c r="B49" s="20" t="n"/>
      <c r="C49" s="16" t="n"/>
      <c r="D49" s="16" t="n"/>
      <c r="E49" s="16" t="n"/>
      <c r="F49" s="16" t="n"/>
      <c r="G49" s="16" t="n"/>
      <c r="H49" s="16" t="n"/>
      <c r="I49" s="13" t="n"/>
      <c r="J49" s="13" t="n"/>
      <c r="K49" s="13" t="n"/>
      <c r="L49" s="16" t="n"/>
      <c r="M49" s="16" t="n"/>
      <c r="N49" s="16" t="n"/>
      <c r="O49" s="13">
        <f>IF(OR(H49="",M49="ملغي"),0,H49*'حاسبة التسعير'!$B$19)</f>
        <v/>
      </c>
      <c r="P49" s="13">
        <f>IF(OR(I49="",M49="ملغي"),0,I49+J49-K49-O49)</f>
        <v/>
      </c>
      <c r="Q49" s="16" t="n"/>
    </row>
    <row r="50">
      <c r="A50" s="16" t="n"/>
      <c r="B50" s="20" t="n"/>
      <c r="C50" s="16" t="n"/>
      <c r="D50" s="16" t="n"/>
      <c r="E50" s="16" t="n"/>
      <c r="F50" s="16" t="n"/>
      <c r="G50" s="16" t="n"/>
      <c r="H50" s="16" t="n"/>
      <c r="I50" s="13" t="n"/>
      <c r="J50" s="13" t="n"/>
      <c r="K50" s="13" t="n"/>
      <c r="L50" s="16" t="n"/>
      <c r="M50" s="16" t="n"/>
      <c r="N50" s="16" t="n"/>
      <c r="O50" s="13">
        <f>IF(OR(H50="",M50="ملغي"),0,H50*'حاسبة التسعير'!$B$19)</f>
        <v/>
      </c>
      <c r="P50" s="13">
        <f>IF(OR(I50="",M50="ملغي"),0,I50+J50-K50-O50)</f>
        <v/>
      </c>
      <c r="Q50" s="16" t="n"/>
    </row>
    <row r="51">
      <c r="A51" s="16" t="n"/>
      <c r="B51" s="20" t="n"/>
      <c r="C51" s="16" t="n"/>
      <c r="D51" s="16" t="n"/>
      <c r="E51" s="16" t="n"/>
      <c r="F51" s="16" t="n"/>
      <c r="G51" s="16" t="n"/>
      <c r="H51" s="16" t="n"/>
      <c r="I51" s="13" t="n"/>
      <c r="J51" s="13" t="n"/>
      <c r="K51" s="13" t="n"/>
      <c r="L51" s="16" t="n"/>
      <c r="M51" s="16" t="n"/>
      <c r="N51" s="16" t="n"/>
      <c r="O51" s="13">
        <f>IF(OR(H51="",M51="ملغي"),0,H51*'حاسبة التسعير'!$B$19)</f>
        <v/>
      </c>
      <c r="P51" s="13">
        <f>IF(OR(I51="",M51="ملغي"),0,I51+J51-K51-O51)</f>
        <v/>
      </c>
      <c r="Q51" s="16" t="n"/>
    </row>
    <row r="52">
      <c r="A52" s="16" t="n"/>
      <c r="B52" s="20" t="n"/>
      <c r="C52" s="16" t="n"/>
      <c r="D52" s="16" t="n"/>
      <c r="E52" s="16" t="n"/>
      <c r="F52" s="16" t="n"/>
      <c r="G52" s="16" t="n"/>
      <c r="H52" s="16" t="n"/>
      <c r="I52" s="13" t="n"/>
      <c r="J52" s="13" t="n"/>
      <c r="K52" s="13" t="n"/>
      <c r="L52" s="16" t="n"/>
      <c r="M52" s="16" t="n"/>
      <c r="N52" s="16" t="n"/>
      <c r="O52" s="13">
        <f>IF(OR(H52="",M52="ملغي"),0,H52*'حاسبة التسعير'!$B$19)</f>
        <v/>
      </c>
      <c r="P52" s="13">
        <f>IF(OR(I52="",M52="ملغي"),0,I52+J52-K52-O52)</f>
        <v/>
      </c>
      <c r="Q52" s="16" t="n"/>
    </row>
    <row r="53">
      <c r="A53" s="16" t="n"/>
      <c r="B53" s="20" t="n"/>
      <c r="C53" s="16" t="n"/>
      <c r="D53" s="16" t="n"/>
      <c r="E53" s="16" t="n"/>
      <c r="F53" s="16" t="n"/>
      <c r="G53" s="16" t="n"/>
      <c r="H53" s="16" t="n"/>
      <c r="I53" s="13" t="n"/>
      <c r="J53" s="13" t="n"/>
      <c r="K53" s="13" t="n"/>
      <c r="L53" s="16" t="n"/>
      <c r="M53" s="16" t="n"/>
      <c r="N53" s="16" t="n"/>
      <c r="O53" s="13">
        <f>IF(OR(H53="",M53="ملغي"),0,H53*'حاسبة التسعير'!$B$19)</f>
        <v/>
      </c>
      <c r="P53" s="13">
        <f>IF(OR(I53="",M53="ملغي"),0,I53+J53-K53-O53)</f>
        <v/>
      </c>
      <c r="Q53" s="16" t="n"/>
    </row>
    <row r="54">
      <c r="A54" s="16" t="n"/>
      <c r="B54" s="20" t="n"/>
      <c r="C54" s="16" t="n"/>
      <c r="D54" s="16" t="n"/>
      <c r="E54" s="16" t="n"/>
      <c r="F54" s="16" t="n"/>
      <c r="G54" s="16" t="n"/>
      <c r="H54" s="16" t="n"/>
      <c r="I54" s="13" t="n"/>
      <c r="J54" s="13" t="n"/>
      <c r="K54" s="13" t="n"/>
      <c r="L54" s="16" t="n"/>
      <c r="M54" s="16" t="n"/>
      <c r="N54" s="16" t="n"/>
      <c r="O54" s="13">
        <f>IF(OR(H54="",M54="ملغي"),0,H54*'حاسبة التسعير'!$B$19)</f>
        <v/>
      </c>
      <c r="P54" s="13">
        <f>IF(OR(I54="",M54="ملغي"),0,I54+J54-K54-O54)</f>
        <v/>
      </c>
      <c r="Q54" s="16" t="n"/>
    </row>
    <row r="55">
      <c r="A55" s="16" t="n"/>
      <c r="B55" s="20" t="n"/>
      <c r="C55" s="16" t="n"/>
      <c r="D55" s="16" t="n"/>
      <c r="E55" s="16" t="n"/>
      <c r="F55" s="16" t="n"/>
      <c r="G55" s="16" t="n"/>
      <c r="H55" s="16" t="n"/>
      <c r="I55" s="13" t="n"/>
      <c r="J55" s="13" t="n"/>
      <c r="K55" s="13" t="n"/>
      <c r="L55" s="16" t="n"/>
      <c r="M55" s="16" t="n"/>
      <c r="N55" s="16" t="n"/>
      <c r="O55" s="13">
        <f>IF(OR(H55="",M55="ملغي"),0,H55*'حاسبة التسعير'!$B$19)</f>
        <v/>
      </c>
      <c r="P55" s="13">
        <f>IF(OR(I55="",M55="ملغي"),0,I55+J55-K55-O55)</f>
        <v/>
      </c>
      <c r="Q55" s="16" t="n"/>
    </row>
    <row r="56">
      <c r="A56" s="16" t="n"/>
      <c r="B56" s="20" t="n"/>
      <c r="C56" s="16" t="n"/>
      <c r="D56" s="16" t="n"/>
      <c r="E56" s="16" t="n"/>
      <c r="F56" s="16" t="n"/>
      <c r="G56" s="16" t="n"/>
      <c r="H56" s="16" t="n"/>
      <c r="I56" s="13" t="n"/>
      <c r="J56" s="13" t="n"/>
      <c r="K56" s="13" t="n"/>
      <c r="L56" s="16" t="n"/>
      <c r="M56" s="16" t="n"/>
      <c r="N56" s="16" t="n"/>
      <c r="O56" s="13">
        <f>IF(OR(H56="",M56="ملغي"),0,H56*'حاسبة التسعير'!$B$19)</f>
        <v/>
      </c>
      <c r="P56" s="13">
        <f>IF(OR(I56="",M56="ملغي"),0,I56+J56-K56-O56)</f>
        <v/>
      </c>
      <c r="Q56" s="16" t="n"/>
    </row>
    <row r="57">
      <c r="A57" s="16" t="n"/>
      <c r="B57" s="20" t="n"/>
      <c r="C57" s="16" t="n"/>
      <c r="D57" s="16" t="n"/>
      <c r="E57" s="16" t="n"/>
      <c r="F57" s="16" t="n"/>
      <c r="G57" s="16" t="n"/>
      <c r="H57" s="16" t="n"/>
      <c r="I57" s="13" t="n"/>
      <c r="J57" s="13" t="n"/>
      <c r="K57" s="13" t="n"/>
      <c r="L57" s="16" t="n"/>
      <c r="M57" s="16" t="n"/>
      <c r="N57" s="16" t="n"/>
      <c r="O57" s="13">
        <f>IF(OR(H57="",M57="ملغي"),0,H57*'حاسبة التسعير'!$B$19)</f>
        <v/>
      </c>
      <c r="P57" s="13">
        <f>IF(OR(I57="",M57="ملغي"),0,I57+J57-K57-O57)</f>
        <v/>
      </c>
      <c r="Q57" s="16" t="n"/>
    </row>
    <row r="58">
      <c r="A58" s="16" t="n"/>
      <c r="B58" s="20" t="n"/>
      <c r="C58" s="16" t="n"/>
      <c r="D58" s="16" t="n"/>
      <c r="E58" s="16" t="n"/>
      <c r="F58" s="16" t="n"/>
      <c r="G58" s="16" t="n"/>
      <c r="H58" s="16" t="n"/>
      <c r="I58" s="13" t="n"/>
      <c r="J58" s="13" t="n"/>
      <c r="K58" s="13" t="n"/>
      <c r="L58" s="16" t="n"/>
      <c r="M58" s="16" t="n"/>
      <c r="N58" s="16" t="n"/>
      <c r="O58" s="13">
        <f>IF(OR(H58="",M58="ملغي"),0,H58*'حاسبة التسعير'!$B$19)</f>
        <v/>
      </c>
      <c r="P58" s="13">
        <f>IF(OR(I58="",M58="ملغي"),0,I58+J58-K58-O58)</f>
        <v/>
      </c>
      <c r="Q58" s="16" t="n"/>
    </row>
    <row r="59">
      <c r="A59" s="16" t="n"/>
      <c r="B59" s="20" t="n"/>
      <c r="C59" s="16" t="n"/>
      <c r="D59" s="16" t="n"/>
      <c r="E59" s="16" t="n"/>
      <c r="F59" s="16" t="n"/>
      <c r="G59" s="16" t="n"/>
      <c r="H59" s="16" t="n"/>
      <c r="I59" s="13" t="n"/>
      <c r="J59" s="13" t="n"/>
      <c r="K59" s="13" t="n"/>
      <c r="L59" s="16" t="n"/>
      <c r="M59" s="16" t="n"/>
      <c r="N59" s="16" t="n"/>
      <c r="O59" s="13">
        <f>IF(OR(H59="",M59="ملغي"),0,H59*'حاسبة التسعير'!$B$19)</f>
        <v/>
      </c>
      <c r="P59" s="13">
        <f>IF(OR(I59="",M59="ملغي"),0,I59+J59-K59-O59)</f>
        <v/>
      </c>
      <c r="Q59" s="16" t="n"/>
    </row>
    <row r="60">
      <c r="A60" s="16" t="n"/>
      <c r="B60" s="20" t="n"/>
      <c r="C60" s="16" t="n"/>
      <c r="D60" s="16" t="n"/>
      <c r="E60" s="16" t="n"/>
      <c r="F60" s="16" t="n"/>
      <c r="G60" s="16" t="n"/>
      <c r="H60" s="16" t="n"/>
      <c r="I60" s="13" t="n"/>
      <c r="J60" s="13" t="n"/>
      <c r="K60" s="13" t="n"/>
      <c r="L60" s="16" t="n"/>
      <c r="M60" s="16" t="n"/>
      <c r="N60" s="16" t="n"/>
      <c r="O60" s="13">
        <f>IF(OR(H60="",M60="ملغي"),0,H60*'حاسبة التسعير'!$B$19)</f>
        <v/>
      </c>
      <c r="P60" s="13">
        <f>IF(OR(I60="",M60="ملغي"),0,I60+J60-K60-O60)</f>
        <v/>
      </c>
      <c r="Q60" s="16" t="n"/>
    </row>
    <row r="61">
      <c r="A61" s="16" t="n"/>
      <c r="B61" s="20" t="n"/>
      <c r="C61" s="16" t="n"/>
      <c r="D61" s="16" t="n"/>
      <c r="E61" s="16" t="n"/>
      <c r="F61" s="16" t="n"/>
      <c r="G61" s="16" t="n"/>
      <c r="H61" s="16" t="n"/>
      <c r="I61" s="13" t="n"/>
      <c r="J61" s="13" t="n"/>
      <c r="K61" s="13" t="n"/>
      <c r="L61" s="16" t="n"/>
      <c r="M61" s="16" t="n"/>
      <c r="N61" s="16" t="n"/>
      <c r="O61" s="13">
        <f>IF(OR(H61="",M61="ملغي"),0,H61*'حاسبة التسعير'!$B$19)</f>
        <v/>
      </c>
      <c r="P61" s="13">
        <f>IF(OR(I61="",M61="ملغي"),0,I61+J61-K61-O61)</f>
        <v/>
      </c>
      <c r="Q61" s="16" t="n"/>
    </row>
    <row r="62">
      <c r="A62" s="16" t="n"/>
      <c r="B62" s="20" t="n"/>
      <c r="C62" s="16" t="n"/>
      <c r="D62" s="16" t="n"/>
      <c r="E62" s="16" t="n"/>
      <c r="F62" s="16" t="n"/>
      <c r="G62" s="16" t="n"/>
      <c r="H62" s="16" t="n"/>
      <c r="I62" s="13" t="n"/>
      <c r="J62" s="13" t="n"/>
      <c r="K62" s="13" t="n"/>
      <c r="L62" s="16" t="n"/>
      <c r="M62" s="16" t="n"/>
      <c r="N62" s="16" t="n"/>
      <c r="O62" s="13">
        <f>IF(OR(H62="",M62="ملغي"),0,H62*'حاسبة التسعير'!$B$19)</f>
        <v/>
      </c>
      <c r="P62" s="13">
        <f>IF(OR(I62="",M62="ملغي"),0,I62+J62-K62-O62)</f>
        <v/>
      </c>
      <c r="Q62" s="16" t="n"/>
    </row>
    <row r="63">
      <c r="A63" s="16" t="n"/>
      <c r="B63" s="20" t="n"/>
      <c r="C63" s="16" t="n"/>
      <c r="D63" s="16" t="n"/>
      <c r="E63" s="16" t="n"/>
      <c r="F63" s="16" t="n"/>
      <c r="G63" s="16" t="n"/>
      <c r="H63" s="16" t="n"/>
      <c r="I63" s="13" t="n"/>
      <c r="J63" s="13" t="n"/>
      <c r="K63" s="13" t="n"/>
      <c r="L63" s="16" t="n"/>
      <c r="M63" s="16" t="n"/>
      <c r="N63" s="16" t="n"/>
      <c r="O63" s="13">
        <f>IF(OR(H63="",M63="ملغي"),0,H63*'حاسبة التسعير'!$B$19)</f>
        <v/>
      </c>
      <c r="P63" s="13">
        <f>IF(OR(I63="",M63="ملغي"),0,I63+J63-K63-O63)</f>
        <v/>
      </c>
      <c r="Q63" s="16" t="n"/>
    </row>
    <row r="64">
      <c r="A64" s="16" t="n"/>
      <c r="B64" s="20" t="n"/>
      <c r="C64" s="16" t="n"/>
      <c r="D64" s="16" t="n"/>
      <c r="E64" s="16" t="n"/>
      <c r="F64" s="16" t="n"/>
      <c r="G64" s="16" t="n"/>
      <c r="H64" s="16" t="n"/>
      <c r="I64" s="13" t="n"/>
      <c r="J64" s="13" t="n"/>
      <c r="K64" s="13" t="n"/>
      <c r="L64" s="16" t="n"/>
      <c r="M64" s="16" t="n"/>
      <c r="N64" s="16" t="n"/>
      <c r="O64" s="13">
        <f>IF(OR(H64="",M64="ملغي"),0,H64*'حاسبة التسعير'!$B$19)</f>
        <v/>
      </c>
      <c r="P64" s="13">
        <f>IF(OR(I64="",M64="ملغي"),0,I64+J64-K64-O64)</f>
        <v/>
      </c>
      <c r="Q64" s="16" t="n"/>
    </row>
    <row r="65">
      <c r="A65" s="16" t="n"/>
      <c r="B65" s="20" t="n"/>
      <c r="C65" s="16" t="n"/>
      <c r="D65" s="16" t="n"/>
      <c r="E65" s="16" t="n"/>
      <c r="F65" s="16" t="n"/>
      <c r="G65" s="16" t="n"/>
      <c r="H65" s="16" t="n"/>
      <c r="I65" s="13" t="n"/>
      <c r="J65" s="13" t="n"/>
      <c r="K65" s="13" t="n"/>
      <c r="L65" s="16" t="n"/>
      <c r="M65" s="16" t="n"/>
      <c r="N65" s="16" t="n"/>
      <c r="O65" s="13">
        <f>IF(OR(H65="",M65="ملغي"),0,H65*'حاسبة التسعير'!$B$19)</f>
        <v/>
      </c>
      <c r="P65" s="13">
        <f>IF(OR(I65="",M65="ملغي"),0,I65+J65-K65-O65)</f>
        <v/>
      </c>
      <c r="Q65" s="16" t="n"/>
    </row>
    <row r="66">
      <c r="A66" s="16" t="n"/>
      <c r="B66" s="20" t="n"/>
      <c r="C66" s="16" t="n"/>
      <c r="D66" s="16" t="n"/>
      <c r="E66" s="16" t="n"/>
      <c r="F66" s="16" t="n"/>
      <c r="G66" s="16" t="n"/>
      <c r="H66" s="16" t="n"/>
      <c r="I66" s="13" t="n"/>
      <c r="J66" s="13" t="n"/>
      <c r="K66" s="13" t="n"/>
      <c r="L66" s="16" t="n"/>
      <c r="M66" s="16" t="n"/>
      <c r="N66" s="16" t="n"/>
      <c r="O66" s="13">
        <f>IF(OR(H66="",M66="ملغي"),0,H66*'حاسبة التسعير'!$B$19)</f>
        <v/>
      </c>
      <c r="P66" s="13">
        <f>IF(OR(I66="",M66="ملغي"),0,I66+J66-K66-O66)</f>
        <v/>
      </c>
      <c r="Q66" s="16" t="n"/>
    </row>
    <row r="67">
      <c r="A67" s="16" t="n"/>
      <c r="B67" s="20" t="n"/>
      <c r="C67" s="16" t="n"/>
      <c r="D67" s="16" t="n"/>
      <c r="E67" s="16" t="n"/>
      <c r="F67" s="16" t="n"/>
      <c r="G67" s="16" t="n"/>
      <c r="H67" s="16" t="n"/>
      <c r="I67" s="13" t="n"/>
      <c r="J67" s="13" t="n"/>
      <c r="K67" s="13" t="n"/>
      <c r="L67" s="16" t="n"/>
      <c r="M67" s="16" t="n"/>
      <c r="N67" s="16" t="n"/>
      <c r="O67" s="13">
        <f>IF(OR(H67="",M67="ملغي"),0,H67*'حاسبة التسعير'!$B$19)</f>
        <v/>
      </c>
      <c r="P67" s="13">
        <f>IF(OR(I67="",M67="ملغي"),0,I67+J67-K67-O67)</f>
        <v/>
      </c>
      <c r="Q67" s="16" t="n"/>
    </row>
    <row r="68">
      <c r="A68" s="16" t="n"/>
      <c r="B68" s="20" t="n"/>
      <c r="C68" s="16" t="n"/>
      <c r="D68" s="16" t="n"/>
      <c r="E68" s="16" t="n"/>
      <c r="F68" s="16" t="n"/>
      <c r="G68" s="16" t="n"/>
      <c r="H68" s="16" t="n"/>
      <c r="I68" s="13" t="n"/>
      <c r="J68" s="13" t="n"/>
      <c r="K68" s="13" t="n"/>
      <c r="L68" s="16" t="n"/>
      <c r="M68" s="16" t="n"/>
      <c r="N68" s="16" t="n"/>
      <c r="O68" s="13">
        <f>IF(OR(H68="",M68="ملغي"),0,H68*'حاسبة التسعير'!$B$19)</f>
        <v/>
      </c>
      <c r="P68" s="13">
        <f>IF(OR(I68="",M68="ملغي"),0,I68+J68-K68-O68)</f>
        <v/>
      </c>
      <c r="Q68" s="16" t="n"/>
    </row>
    <row r="69">
      <c r="A69" s="16" t="n"/>
      <c r="B69" s="20" t="n"/>
      <c r="C69" s="16" t="n"/>
      <c r="D69" s="16" t="n"/>
      <c r="E69" s="16" t="n"/>
      <c r="F69" s="16" t="n"/>
      <c r="G69" s="16" t="n"/>
      <c r="H69" s="16" t="n"/>
      <c r="I69" s="13" t="n"/>
      <c r="J69" s="13" t="n"/>
      <c r="K69" s="13" t="n"/>
      <c r="L69" s="16" t="n"/>
      <c r="M69" s="16" t="n"/>
      <c r="N69" s="16" t="n"/>
      <c r="O69" s="13">
        <f>IF(OR(H69="",M69="ملغي"),0,H69*'حاسبة التسعير'!$B$19)</f>
        <v/>
      </c>
      <c r="P69" s="13">
        <f>IF(OR(I69="",M69="ملغي"),0,I69+J69-K69-O69)</f>
        <v/>
      </c>
      <c r="Q69" s="16" t="n"/>
    </row>
    <row r="70">
      <c r="A70" s="16" t="n"/>
      <c r="B70" s="20" t="n"/>
      <c r="C70" s="16" t="n"/>
      <c r="D70" s="16" t="n"/>
      <c r="E70" s="16" t="n"/>
      <c r="F70" s="16" t="n"/>
      <c r="G70" s="16" t="n"/>
      <c r="H70" s="16" t="n"/>
      <c r="I70" s="13" t="n"/>
      <c r="J70" s="13" t="n"/>
      <c r="K70" s="13" t="n"/>
      <c r="L70" s="16" t="n"/>
      <c r="M70" s="16" t="n"/>
      <c r="N70" s="16" t="n"/>
      <c r="O70" s="13">
        <f>IF(OR(H70="",M70="ملغي"),0,H70*'حاسبة التسعير'!$B$19)</f>
        <v/>
      </c>
      <c r="P70" s="13">
        <f>IF(OR(I70="",M70="ملغي"),0,I70+J70-K70-O70)</f>
        <v/>
      </c>
      <c r="Q70" s="16" t="n"/>
    </row>
    <row r="71">
      <c r="A71" s="16" t="n"/>
      <c r="B71" s="20" t="n"/>
      <c r="C71" s="16" t="n"/>
      <c r="D71" s="16" t="n"/>
      <c r="E71" s="16" t="n"/>
      <c r="F71" s="16" t="n"/>
      <c r="G71" s="16" t="n"/>
      <c r="H71" s="16" t="n"/>
      <c r="I71" s="13" t="n"/>
      <c r="J71" s="13" t="n"/>
      <c r="K71" s="13" t="n"/>
      <c r="L71" s="16" t="n"/>
      <c r="M71" s="16" t="n"/>
      <c r="N71" s="16" t="n"/>
      <c r="O71" s="13">
        <f>IF(OR(H71="",M71="ملغي"),0,H71*'حاسبة التسعير'!$B$19)</f>
        <v/>
      </c>
      <c r="P71" s="13">
        <f>IF(OR(I71="",M71="ملغي"),0,I71+J71-K71-O71)</f>
        <v/>
      </c>
      <c r="Q71" s="16" t="n"/>
    </row>
    <row r="72">
      <c r="A72" s="16" t="n"/>
      <c r="B72" s="20" t="n"/>
      <c r="C72" s="16" t="n"/>
      <c r="D72" s="16" t="n"/>
      <c r="E72" s="16" t="n"/>
      <c r="F72" s="16" t="n"/>
      <c r="G72" s="16" t="n"/>
      <c r="H72" s="16" t="n"/>
      <c r="I72" s="13" t="n"/>
      <c r="J72" s="13" t="n"/>
      <c r="K72" s="13" t="n"/>
      <c r="L72" s="16" t="n"/>
      <c r="M72" s="16" t="n"/>
      <c r="N72" s="16" t="n"/>
      <c r="O72" s="13">
        <f>IF(OR(H72="",M72="ملغي"),0,H72*'حاسبة التسعير'!$B$19)</f>
        <v/>
      </c>
      <c r="P72" s="13">
        <f>IF(OR(I72="",M72="ملغي"),0,I72+J72-K72-O72)</f>
        <v/>
      </c>
      <c r="Q72" s="16" t="n"/>
    </row>
    <row r="73">
      <c r="A73" s="16" t="n"/>
      <c r="B73" s="20" t="n"/>
      <c r="C73" s="16" t="n"/>
      <c r="D73" s="16" t="n"/>
      <c r="E73" s="16" t="n"/>
      <c r="F73" s="16" t="n"/>
      <c r="G73" s="16" t="n"/>
      <c r="H73" s="16" t="n"/>
      <c r="I73" s="13" t="n"/>
      <c r="J73" s="13" t="n"/>
      <c r="K73" s="13" t="n"/>
      <c r="L73" s="16" t="n"/>
      <c r="M73" s="16" t="n"/>
      <c r="N73" s="16" t="n"/>
      <c r="O73" s="13">
        <f>IF(OR(H73="",M73="ملغي"),0,H73*'حاسبة التسعير'!$B$19)</f>
        <v/>
      </c>
      <c r="P73" s="13">
        <f>IF(OR(I73="",M73="ملغي"),0,I73+J73-K73-O73)</f>
        <v/>
      </c>
      <c r="Q73" s="16" t="n"/>
    </row>
    <row r="74">
      <c r="A74" s="16" t="n"/>
      <c r="B74" s="20" t="n"/>
      <c r="C74" s="16" t="n"/>
      <c r="D74" s="16" t="n"/>
      <c r="E74" s="16" t="n"/>
      <c r="F74" s="16" t="n"/>
      <c r="G74" s="16" t="n"/>
      <c r="H74" s="16" t="n"/>
      <c r="I74" s="13" t="n"/>
      <c r="J74" s="13" t="n"/>
      <c r="K74" s="13" t="n"/>
      <c r="L74" s="16" t="n"/>
      <c r="M74" s="16" t="n"/>
      <c r="N74" s="16" t="n"/>
      <c r="O74" s="13">
        <f>IF(OR(H74="",M74="ملغي"),0,H74*'حاسبة التسعير'!$B$19)</f>
        <v/>
      </c>
      <c r="P74" s="13">
        <f>IF(OR(I74="",M74="ملغي"),0,I74+J74-K74-O74)</f>
        <v/>
      </c>
      <c r="Q74" s="16" t="n"/>
    </row>
    <row r="75">
      <c r="A75" s="16" t="n"/>
      <c r="B75" s="20" t="n"/>
      <c r="C75" s="16" t="n"/>
      <c r="D75" s="16" t="n"/>
      <c r="E75" s="16" t="n"/>
      <c r="F75" s="16" t="n"/>
      <c r="G75" s="16" t="n"/>
      <c r="H75" s="16" t="n"/>
      <c r="I75" s="13" t="n"/>
      <c r="J75" s="13" t="n"/>
      <c r="K75" s="13" t="n"/>
      <c r="L75" s="16" t="n"/>
      <c r="M75" s="16" t="n"/>
      <c r="N75" s="16" t="n"/>
      <c r="O75" s="13">
        <f>IF(OR(H75="",M75="ملغي"),0,H75*'حاسبة التسعير'!$B$19)</f>
        <v/>
      </c>
      <c r="P75" s="13">
        <f>IF(OR(I75="",M75="ملغي"),0,I75+J75-K75-O75)</f>
        <v/>
      </c>
      <c r="Q75" s="16" t="n"/>
    </row>
    <row r="76">
      <c r="A76" s="16" t="n"/>
      <c r="B76" s="20" t="n"/>
      <c r="C76" s="16" t="n"/>
      <c r="D76" s="16" t="n"/>
      <c r="E76" s="16" t="n"/>
      <c r="F76" s="16" t="n"/>
      <c r="G76" s="16" t="n"/>
      <c r="H76" s="16" t="n"/>
      <c r="I76" s="13" t="n"/>
      <c r="J76" s="13" t="n"/>
      <c r="K76" s="13" t="n"/>
      <c r="L76" s="16" t="n"/>
      <c r="M76" s="16" t="n"/>
      <c r="N76" s="16" t="n"/>
      <c r="O76" s="13">
        <f>IF(OR(H76="",M76="ملغي"),0,H76*'حاسبة التسعير'!$B$19)</f>
        <v/>
      </c>
      <c r="P76" s="13">
        <f>IF(OR(I76="",M76="ملغي"),0,I76+J76-K76-O76)</f>
        <v/>
      </c>
      <c r="Q76" s="16" t="n"/>
    </row>
    <row r="77">
      <c r="A77" s="16" t="n"/>
      <c r="B77" s="20" t="n"/>
      <c r="C77" s="16" t="n"/>
      <c r="D77" s="16" t="n"/>
      <c r="E77" s="16" t="n"/>
      <c r="F77" s="16" t="n"/>
      <c r="G77" s="16" t="n"/>
      <c r="H77" s="16" t="n"/>
      <c r="I77" s="13" t="n"/>
      <c r="J77" s="13" t="n"/>
      <c r="K77" s="13" t="n"/>
      <c r="L77" s="16" t="n"/>
      <c r="M77" s="16" t="n"/>
      <c r="N77" s="16" t="n"/>
      <c r="O77" s="13">
        <f>IF(OR(H77="",M77="ملغي"),0,H77*'حاسبة التسعير'!$B$19)</f>
        <v/>
      </c>
      <c r="P77" s="13">
        <f>IF(OR(I77="",M77="ملغي"),0,I77+J77-K77-O77)</f>
        <v/>
      </c>
      <c r="Q77" s="16" t="n"/>
    </row>
    <row r="78">
      <c r="A78" s="16" t="n"/>
      <c r="B78" s="20" t="n"/>
      <c r="C78" s="16" t="n"/>
      <c r="D78" s="16" t="n"/>
      <c r="E78" s="16" t="n"/>
      <c r="F78" s="16" t="n"/>
      <c r="G78" s="16" t="n"/>
      <c r="H78" s="16" t="n"/>
      <c r="I78" s="13" t="n"/>
      <c r="J78" s="13" t="n"/>
      <c r="K78" s="13" t="n"/>
      <c r="L78" s="16" t="n"/>
      <c r="M78" s="16" t="n"/>
      <c r="N78" s="16" t="n"/>
      <c r="O78" s="13">
        <f>IF(OR(H78="",M78="ملغي"),0,H78*'حاسبة التسعير'!$B$19)</f>
        <v/>
      </c>
      <c r="P78" s="13">
        <f>IF(OR(I78="",M78="ملغي"),0,I78+J78-K78-O78)</f>
        <v/>
      </c>
      <c r="Q78" s="16" t="n"/>
    </row>
    <row r="79">
      <c r="A79" s="16" t="n"/>
      <c r="B79" s="20" t="n"/>
      <c r="C79" s="16" t="n"/>
      <c r="D79" s="16" t="n"/>
      <c r="E79" s="16" t="n"/>
      <c r="F79" s="16" t="n"/>
      <c r="G79" s="16" t="n"/>
      <c r="H79" s="16" t="n"/>
      <c r="I79" s="13" t="n"/>
      <c r="J79" s="13" t="n"/>
      <c r="K79" s="13" t="n"/>
      <c r="L79" s="16" t="n"/>
      <c r="M79" s="16" t="n"/>
      <c r="N79" s="16" t="n"/>
      <c r="O79" s="13">
        <f>IF(OR(H79="",M79="ملغي"),0,H79*'حاسبة التسعير'!$B$19)</f>
        <v/>
      </c>
      <c r="P79" s="13">
        <f>IF(OR(I79="",M79="ملغي"),0,I79+J79-K79-O79)</f>
        <v/>
      </c>
      <c r="Q79" s="16" t="n"/>
    </row>
    <row r="80">
      <c r="A80" s="16" t="n"/>
      <c r="B80" s="20" t="n"/>
      <c r="C80" s="16" t="n"/>
      <c r="D80" s="16" t="n"/>
      <c r="E80" s="16" t="n"/>
      <c r="F80" s="16" t="n"/>
      <c r="G80" s="16" t="n"/>
      <c r="H80" s="16" t="n"/>
      <c r="I80" s="13" t="n"/>
      <c r="J80" s="13" t="n"/>
      <c r="K80" s="13" t="n"/>
      <c r="L80" s="16" t="n"/>
      <c r="M80" s="16" t="n"/>
      <c r="N80" s="16" t="n"/>
      <c r="O80" s="13">
        <f>IF(OR(H80="",M80="ملغي"),0,H80*'حاسبة التسعير'!$B$19)</f>
        <v/>
      </c>
      <c r="P80" s="13">
        <f>IF(OR(I80="",M80="ملغي"),0,I80+J80-K80-O80)</f>
        <v/>
      </c>
      <c r="Q80" s="16" t="n"/>
    </row>
    <row r="81">
      <c r="A81" s="16" t="n"/>
      <c r="B81" s="20" t="n"/>
      <c r="C81" s="16" t="n"/>
      <c r="D81" s="16" t="n"/>
      <c r="E81" s="16" t="n"/>
      <c r="F81" s="16" t="n"/>
      <c r="G81" s="16" t="n"/>
      <c r="H81" s="16" t="n"/>
      <c r="I81" s="13" t="n"/>
      <c r="J81" s="13" t="n"/>
      <c r="K81" s="13" t="n"/>
      <c r="L81" s="16" t="n"/>
      <c r="M81" s="16" t="n"/>
      <c r="N81" s="16" t="n"/>
      <c r="O81" s="13">
        <f>IF(OR(H81="",M81="ملغي"),0,H81*'حاسبة التسعير'!$B$19)</f>
        <v/>
      </c>
      <c r="P81" s="13">
        <f>IF(OR(I81="",M81="ملغي"),0,I81+J81-K81-O81)</f>
        <v/>
      </c>
      <c r="Q81" s="16" t="n"/>
    </row>
    <row r="82">
      <c r="A82" s="16" t="n"/>
      <c r="B82" s="20" t="n"/>
      <c r="C82" s="16" t="n"/>
      <c r="D82" s="16" t="n"/>
      <c r="E82" s="16" t="n"/>
      <c r="F82" s="16" t="n"/>
      <c r="G82" s="16" t="n"/>
      <c r="H82" s="16" t="n"/>
      <c r="I82" s="13" t="n"/>
      <c r="J82" s="13" t="n"/>
      <c r="K82" s="13" t="n"/>
      <c r="L82" s="16" t="n"/>
      <c r="M82" s="16" t="n"/>
      <c r="N82" s="16" t="n"/>
      <c r="O82" s="13">
        <f>IF(OR(H82="",M82="ملغي"),0,H82*'حاسبة التسعير'!$B$19)</f>
        <v/>
      </c>
      <c r="P82" s="13">
        <f>IF(OR(I82="",M82="ملغي"),0,I82+J82-K82-O82)</f>
        <v/>
      </c>
      <c r="Q82" s="16" t="n"/>
    </row>
    <row r="83">
      <c r="A83" s="16" t="n"/>
      <c r="B83" s="20" t="n"/>
      <c r="C83" s="16" t="n"/>
      <c r="D83" s="16" t="n"/>
      <c r="E83" s="16" t="n"/>
      <c r="F83" s="16" t="n"/>
      <c r="G83" s="16" t="n"/>
      <c r="H83" s="16" t="n"/>
      <c r="I83" s="13" t="n"/>
      <c r="J83" s="13" t="n"/>
      <c r="K83" s="13" t="n"/>
      <c r="L83" s="16" t="n"/>
      <c r="M83" s="16" t="n"/>
      <c r="N83" s="16" t="n"/>
      <c r="O83" s="13">
        <f>IF(OR(H83="",M83="ملغي"),0,H83*'حاسبة التسعير'!$B$19)</f>
        <v/>
      </c>
      <c r="P83" s="13">
        <f>IF(OR(I83="",M83="ملغي"),0,I83+J83-K83-O83)</f>
        <v/>
      </c>
      <c r="Q83" s="16" t="n"/>
    </row>
    <row r="84">
      <c r="A84" s="16" t="n"/>
      <c r="B84" s="20" t="n"/>
      <c r="C84" s="16" t="n"/>
      <c r="D84" s="16" t="n"/>
      <c r="E84" s="16" t="n"/>
      <c r="F84" s="16" t="n"/>
      <c r="G84" s="16" t="n"/>
      <c r="H84" s="16" t="n"/>
      <c r="I84" s="13" t="n"/>
      <c r="J84" s="13" t="n"/>
      <c r="K84" s="13" t="n"/>
      <c r="L84" s="16" t="n"/>
      <c r="M84" s="16" t="n"/>
      <c r="N84" s="16" t="n"/>
      <c r="O84" s="13">
        <f>IF(OR(H84="",M84="ملغي"),0,H84*'حاسبة التسعير'!$B$19)</f>
        <v/>
      </c>
      <c r="P84" s="13">
        <f>IF(OR(I84="",M84="ملغي"),0,I84+J84-K84-O84)</f>
        <v/>
      </c>
      <c r="Q84" s="16" t="n"/>
    </row>
    <row r="85">
      <c r="A85" s="16" t="n"/>
      <c r="B85" s="20" t="n"/>
      <c r="C85" s="16" t="n"/>
      <c r="D85" s="16" t="n"/>
      <c r="E85" s="16" t="n"/>
      <c r="F85" s="16" t="n"/>
      <c r="G85" s="16" t="n"/>
      <c r="H85" s="16" t="n"/>
      <c r="I85" s="13" t="n"/>
      <c r="J85" s="13" t="n"/>
      <c r="K85" s="13" t="n"/>
      <c r="L85" s="16" t="n"/>
      <c r="M85" s="16" t="n"/>
      <c r="N85" s="16" t="n"/>
      <c r="O85" s="13">
        <f>IF(OR(H85="",M85="ملغي"),0,H85*'حاسبة التسعير'!$B$19)</f>
        <v/>
      </c>
      <c r="P85" s="13">
        <f>IF(OR(I85="",M85="ملغي"),0,I85+J85-K85-O85)</f>
        <v/>
      </c>
      <c r="Q85" s="16" t="n"/>
    </row>
    <row r="86">
      <c r="A86" s="16" t="n"/>
      <c r="B86" s="20" t="n"/>
      <c r="C86" s="16" t="n"/>
      <c r="D86" s="16" t="n"/>
      <c r="E86" s="16" t="n"/>
      <c r="F86" s="16" t="n"/>
      <c r="G86" s="16" t="n"/>
      <c r="H86" s="16" t="n"/>
      <c r="I86" s="13" t="n"/>
      <c r="J86" s="13" t="n"/>
      <c r="K86" s="13" t="n"/>
      <c r="L86" s="16" t="n"/>
      <c r="M86" s="16" t="n"/>
      <c r="N86" s="16" t="n"/>
      <c r="O86" s="13">
        <f>IF(OR(H86="",M86="ملغي"),0,H86*'حاسبة التسعير'!$B$19)</f>
        <v/>
      </c>
      <c r="P86" s="13">
        <f>IF(OR(I86="",M86="ملغي"),0,I86+J86-K86-O86)</f>
        <v/>
      </c>
      <c r="Q86" s="16" t="n"/>
    </row>
    <row r="87">
      <c r="A87" s="16" t="n"/>
      <c r="B87" s="20" t="n"/>
      <c r="C87" s="16" t="n"/>
      <c r="D87" s="16" t="n"/>
      <c r="E87" s="16" t="n"/>
      <c r="F87" s="16" t="n"/>
      <c r="G87" s="16" t="n"/>
      <c r="H87" s="16" t="n"/>
      <c r="I87" s="13" t="n"/>
      <c r="J87" s="13" t="n"/>
      <c r="K87" s="13" t="n"/>
      <c r="L87" s="16" t="n"/>
      <c r="M87" s="16" t="n"/>
      <c r="N87" s="16" t="n"/>
      <c r="O87" s="13">
        <f>IF(OR(H87="",M87="ملغي"),0,H87*'حاسبة التسعير'!$B$19)</f>
        <v/>
      </c>
      <c r="P87" s="13">
        <f>IF(OR(I87="",M87="ملغي"),0,I87+J87-K87-O87)</f>
        <v/>
      </c>
      <c r="Q87" s="16" t="n"/>
    </row>
    <row r="88">
      <c r="A88" s="16" t="n"/>
      <c r="B88" s="20" t="n"/>
      <c r="C88" s="16" t="n"/>
      <c r="D88" s="16" t="n"/>
      <c r="E88" s="16" t="n"/>
      <c r="F88" s="16" t="n"/>
      <c r="G88" s="16" t="n"/>
      <c r="H88" s="16" t="n"/>
      <c r="I88" s="13" t="n"/>
      <c r="J88" s="13" t="n"/>
      <c r="K88" s="13" t="n"/>
      <c r="L88" s="16" t="n"/>
      <c r="M88" s="16" t="n"/>
      <c r="N88" s="16" t="n"/>
      <c r="O88" s="13">
        <f>IF(OR(H88="",M88="ملغي"),0,H88*'حاسبة التسعير'!$B$19)</f>
        <v/>
      </c>
      <c r="P88" s="13">
        <f>IF(OR(I88="",M88="ملغي"),0,I88+J88-K88-O88)</f>
        <v/>
      </c>
      <c r="Q88" s="16" t="n"/>
    </row>
    <row r="89">
      <c r="A89" s="16" t="n"/>
      <c r="B89" s="20" t="n"/>
      <c r="C89" s="16" t="n"/>
      <c r="D89" s="16" t="n"/>
      <c r="E89" s="16" t="n"/>
      <c r="F89" s="16" t="n"/>
      <c r="G89" s="16" t="n"/>
      <c r="H89" s="16" t="n"/>
      <c r="I89" s="13" t="n"/>
      <c r="J89" s="13" t="n"/>
      <c r="K89" s="13" t="n"/>
      <c r="L89" s="16" t="n"/>
      <c r="M89" s="16" t="n"/>
      <c r="N89" s="16" t="n"/>
      <c r="O89" s="13">
        <f>IF(OR(H89="",M89="ملغي"),0,H89*'حاسبة التسعير'!$B$19)</f>
        <v/>
      </c>
      <c r="P89" s="13">
        <f>IF(OR(I89="",M89="ملغي"),0,I89+J89-K89-O89)</f>
        <v/>
      </c>
      <c r="Q89" s="16" t="n"/>
    </row>
    <row r="90">
      <c r="A90" s="16" t="n"/>
      <c r="B90" s="20" t="n"/>
      <c r="C90" s="16" t="n"/>
      <c r="D90" s="16" t="n"/>
      <c r="E90" s="16" t="n"/>
      <c r="F90" s="16" t="n"/>
      <c r="G90" s="16" t="n"/>
      <c r="H90" s="16" t="n"/>
      <c r="I90" s="13" t="n"/>
      <c r="J90" s="13" t="n"/>
      <c r="K90" s="13" t="n"/>
      <c r="L90" s="16" t="n"/>
      <c r="M90" s="16" t="n"/>
      <c r="N90" s="16" t="n"/>
      <c r="O90" s="13">
        <f>IF(OR(H90="",M90="ملغي"),0,H90*'حاسبة التسعير'!$B$19)</f>
        <v/>
      </c>
      <c r="P90" s="13">
        <f>IF(OR(I90="",M90="ملغي"),0,I90+J90-K90-O90)</f>
        <v/>
      </c>
      <c r="Q90" s="16" t="n"/>
    </row>
    <row r="91">
      <c r="A91" s="16" t="n"/>
      <c r="B91" s="20" t="n"/>
      <c r="C91" s="16" t="n"/>
      <c r="D91" s="16" t="n"/>
      <c r="E91" s="16" t="n"/>
      <c r="F91" s="16" t="n"/>
      <c r="G91" s="16" t="n"/>
      <c r="H91" s="16" t="n"/>
      <c r="I91" s="13" t="n"/>
      <c r="J91" s="13" t="n"/>
      <c r="K91" s="13" t="n"/>
      <c r="L91" s="16" t="n"/>
      <c r="M91" s="16" t="n"/>
      <c r="N91" s="16" t="n"/>
      <c r="O91" s="13">
        <f>IF(OR(H91="",M91="ملغي"),0,H91*'حاسبة التسعير'!$B$19)</f>
        <v/>
      </c>
      <c r="P91" s="13">
        <f>IF(OR(I91="",M91="ملغي"),0,I91+J91-K91-O91)</f>
        <v/>
      </c>
      <c r="Q91" s="16" t="n"/>
    </row>
    <row r="92">
      <c r="A92" s="16" t="n"/>
      <c r="B92" s="20" t="n"/>
      <c r="C92" s="16" t="n"/>
      <c r="D92" s="16" t="n"/>
      <c r="E92" s="16" t="n"/>
      <c r="F92" s="16" t="n"/>
      <c r="G92" s="16" t="n"/>
      <c r="H92" s="16" t="n"/>
      <c r="I92" s="13" t="n"/>
      <c r="J92" s="13" t="n"/>
      <c r="K92" s="13" t="n"/>
      <c r="L92" s="16" t="n"/>
      <c r="M92" s="16" t="n"/>
      <c r="N92" s="16" t="n"/>
      <c r="O92" s="13">
        <f>IF(OR(H92="",M92="ملغي"),0,H92*'حاسبة التسعير'!$B$19)</f>
        <v/>
      </c>
      <c r="P92" s="13">
        <f>IF(OR(I92="",M92="ملغي"),0,I92+J92-K92-O92)</f>
        <v/>
      </c>
      <c r="Q92" s="16" t="n"/>
    </row>
    <row r="93">
      <c r="A93" s="16" t="n"/>
      <c r="B93" s="20" t="n"/>
      <c r="C93" s="16" t="n"/>
      <c r="D93" s="16" t="n"/>
      <c r="E93" s="16" t="n"/>
      <c r="F93" s="16" t="n"/>
      <c r="G93" s="16" t="n"/>
      <c r="H93" s="16" t="n"/>
      <c r="I93" s="13" t="n"/>
      <c r="J93" s="13" t="n"/>
      <c r="K93" s="13" t="n"/>
      <c r="L93" s="16" t="n"/>
      <c r="M93" s="16" t="n"/>
      <c r="N93" s="16" t="n"/>
      <c r="O93" s="13">
        <f>IF(OR(H93="",M93="ملغي"),0,H93*'حاسبة التسعير'!$B$19)</f>
        <v/>
      </c>
      <c r="P93" s="13">
        <f>IF(OR(I93="",M93="ملغي"),0,I93+J93-K93-O93)</f>
        <v/>
      </c>
      <c r="Q93" s="16" t="n"/>
    </row>
    <row r="94">
      <c r="A94" s="16" t="n"/>
      <c r="B94" s="20" t="n"/>
      <c r="C94" s="16" t="n"/>
      <c r="D94" s="16" t="n"/>
      <c r="E94" s="16" t="n"/>
      <c r="F94" s="16" t="n"/>
      <c r="G94" s="16" t="n"/>
      <c r="H94" s="16" t="n"/>
      <c r="I94" s="13" t="n"/>
      <c r="J94" s="13" t="n"/>
      <c r="K94" s="13" t="n"/>
      <c r="L94" s="16" t="n"/>
      <c r="M94" s="16" t="n"/>
      <c r="N94" s="16" t="n"/>
      <c r="O94" s="13">
        <f>IF(OR(H94="",M94="ملغي"),0,H94*'حاسبة التسعير'!$B$19)</f>
        <v/>
      </c>
      <c r="P94" s="13">
        <f>IF(OR(I94="",M94="ملغي"),0,I94+J94-K94-O94)</f>
        <v/>
      </c>
      <c r="Q94" s="16" t="n"/>
    </row>
    <row r="95">
      <c r="A95" s="16" t="n"/>
      <c r="B95" s="20" t="n"/>
      <c r="C95" s="16" t="n"/>
      <c r="D95" s="16" t="n"/>
      <c r="E95" s="16" t="n"/>
      <c r="F95" s="16" t="n"/>
      <c r="G95" s="16" t="n"/>
      <c r="H95" s="16" t="n"/>
      <c r="I95" s="13" t="n"/>
      <c r="J95" s="13" t="n"/>
      <c r="K95" s="13" t="n"/>
      <c r="L95" s="16" t="n"/>
      <c r="M95" s="16" t="n"/>
      <c r="N95" s="16" t="n"/>
      <c r="O95" s="13">
        <f>IF(OR(H95="",M95="ملغي"),0,H95*'حاسبة التسعير'!$B$19)</f>
        <v/>
      </c>
      <c r="P95" s="13">
        <f>IF(OR(I95="",M95="ملغي"),0,I95+J95-K95-O95)</f>
        <v/>
      </c>
      <c r="Q95" s="16" t="n"/>
    </row>
    <row r="96">
      <c r="A96" s="16" t="n"/>
      <c r="B96" s="20" t="n"/>
      <c r="C96" s="16" t="n"/>
      <c r="D96" s="16" t="n"/>
      <c r="E96" s="16" t="n"/>
      <c r="F96" s="16" t="n"/>
      <c r="G96" s="16" t="n"/>
      <c r="H96" s="16" t="n"/>
      <c r="I96" s="13" t="n"/>
      <c r="J96" s="13" t="n"/>
      <c r="K96" s="13" t="n"/>
      <c r="L96" s="16" t="n"/>
      <c r="M96" s="16" t="n"/>
      <c r="N96" s="16" t="n"/>
      <c r="O96" s="13">
        <f>IF(OR(H96="",M96="ملغي"),0,H96*'حاسبة التسعير'!$B$19)</f>
        <v/>
      </c>
      <c r="P96" s="13">
        <f>IF(OR(I96="",M96="ملغي"),0,I96+J96-K96-O96)</f>
        <v/>
      </c>
      <c r="Q96" s="16" t="n"/>
    </row>
    <row r="97">
      <c r="A97" s="16" t="n"/>
      <c r="B97" s="20" t="n"/>
      <c r="C97" s="16" t="n"/>
      <c r="D97" s="16" t="n"/>
      <c r="E97" s="16" t="n"/>
      <c r="F97" s="16" t="n"/>
      <c r="G97" s="16" t="n"/>
      <c r="H97" s="16" t="n"/>
      <c r="I97" s="13" t="n"/>
      <c r="J97" s="13" t="n"/>
      <c r="K97" s="13" t="n"/>
      <c r="L97" s="16" t="n"/>
      <c r="M97" s="16" t="n"/>
      <c r="N97" s="16" t="n"/>
      <c r="O97" s="13">
        <f>IF(OR(H97="",M97="ملغي"),0,H97*'حاسبة التسعير'!$B$19)</f>
        <v/>
      </c>
      <c r="P97" s="13">
        <f>IF(OR(I97="",M97="ملغي"),0,I97+J97-K97-O97)</f>
        <v/>
      </c>
      <c r="Q97" s="16" t="n"/>
    </row>
    <row r="98">
      <c r="A98" s="16" t="n"/>
      <c r="B98" s="20" t="n"/>
      <c r="C98" s="16" t="n"/>
      <c r="D98" s="16" t="n"/>
      <c r="E98" s="16" t="n"/>
      <c r="F98" s="16" t="n"/>
      <c r="G98" s="16" t="n"/>
      <c r="H98" s="16" t="n"/>
      <c r="I98" s="13" t="n"/>
      <c r="J98" s="13" t="n"/>
      <c r="K98" s="13" t="n"/>
      <c r="L98" s="16" t="n"/>
      <c r="M98" s="16" t="n"/>
      <c r="N98" s="16" t="n"/>
      <c r="O98" s="13">
        <f>IF(OR(H98="",M98="ملغي"),0,H98*'حاسبة التسعير'!$B$19)</f>
        <v/>
      </c>
      <c r="P98" s="13">
        <f>IF(OR(I98="",M98="ملغي"),0,I98+J98-K98-O98)</f>
        <v/>
      </c>
      <c r="Q98" s="16" t="n"/>
    </row>
    <row r="99">
      <c r="A99" s="16" t="n"/>
      <c r="B99" s="20" t="n"/>
      <c r="C99" s="16" t="n"/>
      <c r="D99" s="16" t="n"/>
      <c r="E99" s="16" t="n"/>
      <c r="F99" s="16" t="n"/>
      <c r="G99" s="16" t="n"/>
      <c r="H99" s="16" t="n"/>
      <c r="I99" s="13" t="n"/>
      <c r="J99" s="13" t="n"/>
      <c r="K99" s="13" t="n"/>
      <c r="L99" s="16" t="n"/>
      <c r="M99" s="16" t="n"/>
      <c r="N99" s="16" t="n"/>
      <c r="O99" s="13">
        <f>IF(OR(H99="",M99="ملغي"),0,H99*'حاسبة التسعير'!$B$19)</f>
        <v/>
      </c>
      <c r="P99" s="13">
        <f>IF(OR(I99="",M99="ملغي"),0,I99+J99-K99-O99)</f>
        <v/>
      </c>
      <c r="Q99" s="16" t="n"/>
    </row>
    <row r="100">
      <c r="A100" s="16" t="n"/>
      <c r="B100" s="20" t="n"/>
      <c r="C100" s="16" t="n"/>
      <c r="D100" s="16" t="n"/>
      <c r="E100" s="16" t="n"/>
      <c r="F100" s="16" t="n"/>
      <c r="G100" s="16" t="n"/>
      <c r="H100" s="16" t="n"/>
      <c r="I100" s="13" t="n"/>
      <c r="J100" s="13" t="n"/>
      <c r="K100" s="13" t="n"/>
      <c r="L100" s="16" t="n"/>
      <c r="M100" s="16" t="n"/>
      <c r="N100" s="16" t="n"/>
      <c r="O100" s="13">
        <f>IF(OR(H100="",M100="ملغي"),0,H100*'حاسبة التسعير'!$B$19)</f>
        <v/>
      </c>
      <c r="P100" s="13">
        <f>IF(OR(I100="",M100="ملغي"),0,I100+J100-K100-O100)</f>
        <v/>
      </c>
      <c r="Q100" s="16" t="n"/>
    </row>
    <row r="101">
      <c r="A101" s="16" t="n"/>
      <c r="B101" s="20" t="n"/>
      <c r="C101" s="16" t="n"/>
      <c r="D101" s="16" t="n"/>
      <c r="E101" s="16" t="n"/>
      <c r="F101" s="16" t="n"/>
      <c r="G101" s="16" t="n"/>
      <c r="H101" s="16" t="n"/>
      <c r="I101" s="13" t="n"/>
      <c r="J101" s="13" t="n"/>
      <c r="K101" s="13" t="n"/>
      <c r="L101" s="16" t="n"/>
      <c r="M101" s="16" t="n"/>
      <c r="N101" s="16" t="n"/>
      <c r="O101" s="13">
        <f>IF(OR(H101="",M101="ملغي"),0,H101*'حاسبة التسعير'!$B$19)</f>
        <v/>
      </c>
      <c r="P101" s="13">
        <f>IF(OR(I101="",M101="ملغي"),0,I101+J101-K101-O101)</f>
        <v/>
      </c>
      <c r="Q101" s="16" t="n"/>
    </row>
    <row r="102">
      <c r="A102" s="16" t="n"/>
      <c r="B102" s="20" t="n"/>
      <c r="C102" s="16" t="n"/>
      <c r="D102" s="16" t="n"/>
      <c r="E102" s="16" t="n"/>
      <c r="F102" s="16" t="n"/>
      <c r="G102" s="16" t="n"/>
      <c r="H102" s="16" t="n"/>
      <c r="I102" s="13" t="n"/>
      <c r="J102" s="13" t="n"/>
      <c r="K102" s="13" t="n"/>
      <c r="L102" s="16" t="n"/>
      <c r="M102" s="16" t="n"/>
      <c r="N102" s="16" t="n"/>
      <c r="O102" s="13">
        <f>IF(OR(H102="",M102="ملغي"),0,H102*'حاسبة التسعير'!$B$19)</f>
        <v/>
      </c>
      <c r="P102" s="13">
        <f>IF(OR(I102="",M102="ملغي"),0,I102+J102-K102-O102)</f>
        <v/>
      </c>
      <c r="Q102" s="16" t="n"/>
    </row>
    <row r="103">
      <c r="A103" s="16" t="n"/>
      <c r="B103" s="20" t="n"/>
      <c r="C103" s="16" t="n"/>
      <c r="D103" s="16" t="n"/>
      <c r="E103" s="16" t="n"/>
      <c r="F103" s="16" t="n"/>
      <c r="G103" s="16" t="n"/>
      <c r="H103" s="16" t="n"/>
      <c r="I103" s="13" t="n"/>
      <c r="J103" s="13" t="n"/>
      <c r="K103" s="13" t="n"/>
      <c r="L103" s="16" t="n"/>
      <c r="M103" s="16" t="n"/>
      <c r="N103" s="16" t="n"/>
      <c r="O103" s="13">
        <f>IF(OR(H103="",M103="ملغي"),0,H103*'حاسبة التسعير'!$B$19)</f>
        <v/>
      </c>
      <c r="P103" s="13">
        <f>IF(OR(I103="",M103="ملغي"),0,I103+J103-K103-O103)</f>
        <v/>
      </c>
      <c r="Q103" s="16" t="n"/>
    </row>
    <row r="104">
      <c r="A104" s="16" t="n"/>
      <c r="B104" s="20" t="n"/>
      <c r="C104" s="16" t="n"/>
      <c r="D104" s="16" t="n"/>
      <c r="E104" s="16" t="n"/>
      <c r="F104" s="16" t="n"/>
      <c r="G104" s="16" t="n"/>
      <c r="H104" s="16" t="n"/>
      <c r="I104" s="13" t="n"/>
      <c r="J104" s="13" t="n"/>
      <c r="K104" s="13" t="n"/>
      <c r="L104" s="16" t="n"/>
      <c r="M104" s="16" t="n"/>
      <c r="N104" s="16" t="n"/>
      <c r="O104" s="13">
        <f>IF(OR(H104="",M104="ملغي"),0,H104*'حاسبة التسعير'!$B$19)</f>
        <v/>
      </c>
      <c r="P104" s="13">
        <f>IF(OR(I104="",M104="ملغي"),0,I104+J104-K104-O104)</f>
        <v/>
      </c>
      <c r="Q104" s="16" t="n"/>
    </row>
    <row r="105">
      <c r="A105" s="16" t="n"/>
      <c r="B105" s="20" t="n"/>
      <c r="C105" s="16" t="n"/>
      <c r="D105" s="16" t="n"/>
      <c r="E105" s="16" t="n"/>
      <c r="F105" s="16" t="n"/>
      <c r="G105" s="16" t="n"/>
      <c r="H105" s="16" t="n"/>
      <c r="I105" s="13" t="n"/>
      <c r="J105" s="13" t="n"/>
      <c r="K105" s="13" t="n"/>
      <c r="L105" s="16" t="n"/>
      <c r="M105" s="16" t="n"/>
      <c r="N105" s="16" t="n"/>
      <c r="O105" s="13">
        <f>IF(OR(H105="",M105="ملغي"),0,H105*'حاسبة التسعير'!$B$19)</f>
        <v/>
      </c>
      <c r="P105" s="13">
        <f>IF(OR(I105="",M105="ملغي"),0,I105+J105-K105-O105)</f>
        <v/>
      </c>
      <c r="Q105" s="16" t="n"/>
    </row>
    <row r="106">
      <c r="A106" s="16" t="n"/>
      <c r="B106" s="20" t="n"/>
      <c r="C106" s="16" t="n"/>
      <c r="D106" s="16" t="n"/>
      <c r="E106" s="16" t="n"/>
      <c r="F106" s="16" t="n"/>
      <c r="G106" s="16" t="n"/>
      <c r="H106" s="16" t="n"/>
      <c r="I106" s="13" t="n"/>
      <c r="J106" s="13" t="n"/>
      <c r="K106" s="13" t="n"/>
      <c r="L106" s="16" t="n"/>
      <c r="M106" s="16" t="n"/>
      <c r="N106" s="16" t="n"/>
      <c r="O106" s="13">
        <f>IF(OR(H106="",M106="ملغي"),0,H106*'حاسبة التسعير'!$B$19)</f>
        <v/>
      </c>
      <c r="P106" s="13">
        <f>IF(OR(I106="",M106="ملغي"),0,I106+J106-K106-O106)</f>
        <v/>
      </c>
      <c r="Q106" s="16" t="n"/>
    </row>
    <row r="107">
      <c r="A107" s="16" t="n"/>
      <c r="B107" s="20" t="n"/>
      <c r="C107" s="16" t="n"/>
      <c r="D107" s="16" t="n"/>
      <c r="E107" s="16" t="n"/>
      <c r="F107" s="16" t="n"/>
      <c r="G107" s="16" t="n"/>
      <c r="H107" s="16" t="n"/>
      <c r="I107" s="13" t="n"/>
      <c r="J107" s="13" t="n"/>
      <c r="K107" s="13" t="n"/>
      <c r="L107" s="16" t="n"/>
      <c r="M107" s="16" t="n"/>
      <c r="N107" s="16" t="n"/>
      <c r="O107" s="13">
        <f>IF(OR(H107="",M107="ملغي"),0,H107*'حاسبة التسعير'!$B$19)</f>
        <v/>
      </c>
      <c r="P107" s="13">
        <f>IF(OR(I107="",M107="ملغي"),0,I107+J107-K107-O107)</f>
        <v/>
      </c>
      <c r="Q107" s="16" t="n"/>
    </row>
    <row r="108">
      <c r="A108" s="16" t="n"/>
      <c r="B108" s="20" t="n"/>
      <c r="C108" s="16" t="n"/>
      <c r="D108" s="16" t="n"/>
      <c r="E108" s="16" t="n"/>
      <c r="F108" s="16" t="n"/>
      <c r="G108" s="16" t="n"/>
      <c r="H108" s="16" t="n"/>
      <c r="I108" s="13" t="n"/>
      <c r="J108" s="13" t="n"/>
      <c r="K108" s="13" t="n"/>
      <c r="L108" s="16" t="n"/>
      <c r="M108" s="16" t="n"/>
      <c r="N108" s="16" t="n"/>
      <c r="O108" s="13">
        <f>IF(OR(H108="",M108="ملغي"),0,H108*'حاسبة التسعير'!$B$19)</f>
        <v/>
      </c>
      <c r="P108" s="13">
        <f>IF(OR(I108="",M108="ملغي"),0,I108+J108-K108-O108)</f>
        <v/>
      </c>
      <c r="Q108" s="16" t="n"/>
    </row>
    <row r="109">
      <c r="A109" s="16" t="n"/>
      <c r="B109" s="20" t="n"/>
      <c r="C109" s="16" t="n"/>
      <c r="D109" s="16" t="n"/>
      <c r="E109" s="16" t="n"/>
      <c r="F109" s="16" t="n"/>
      <c r="G109" s="16" t="n"/>
      <c r="H109" s="16" t="n"/>
      <c r="I109" s="13" t="n"/>
      <c r="J109" s="13" t="n"/>
      <c r="K109" s="13" t="n"/>
      <c r="L109" s="16" t="n"/>
      <c r="M109" s="16" t="n"/>
      <c r="N109" s="16" t="n"/>
      <c r="O109" s="13">
        <f>IF(OR(H109="",M109="ملغي"),0,H109*'حاسبة التسعير'!$B$19)</f>
        <v/>
      </c>
      <c r="P109" s="13">
        <f>IF(OR(I109="",M109="ملغي"),0,I109+J109-K109-O109)</f>
        <v/>
      </c>
      <c r="Q109" s="16" t="n"/>
    </row>
    <row r="110">
      <c r="A110" s="16" t="n"/>
      <c r="B110" s="20" t="n"/>
      <c r="C110" s="16" t="n"/>
      <c r="D110" s="16" t="n"/>
      <c r="E110" s="16" t="n"/>
      <c r="F110" s="16" t="n"/>
      <c r="G110" s="16" t="n"/>
      <c r="H110" s="16" t="n"/>
      <c r="I110" s="13" t="n"/>
      <c r="J110" s="13" t="n"/>
      <c r="K110" s="13" t="n"/>
      <c r="L110" s="16" t="n"/>
      <c r="M110" s="16" t="n"/>
      <c r="N110" s="16" t="n"/>
      <c r="O110" s="13">
        <f>IF(OR(H110="",M110="ملغي"),0,H110*'حاسبة التسعير'!$B$19)</f>
        <v/>
      </c>
      <c r="P110" s="13">
        <f>IF(OR(I110="",M110="ملغي"),0,I110+J110-K110-O110)</f>
        <v/>
      </c>
      <c r="Q110" s="16" t="n"/>
    </row>
    <row r="111">
      <c r="A111" s="16" t="n"/>
      <c r="B111" s="20" t="n"/>
      <c r="C111" s="16" t="n"/>
      <c r="D111" s="16" t="n"/>
      <c r="E111" s="16" t="n"/>
      <c r="F111" s="16" t="n"/>
      <c r="G111" s="16" t="n"/>
      <c r="H111" s="16" t="n"/>
      <c r="I111" s="13" t="n"/>
      <c r="J111" s="13" t="n"/>
      <c r="K111" s="13" t="n"/>
      <c r="L111" s="16" t="n"/>
      <c r="M111" s="16" t="n"/>
      <c r="N111" s="16" t="n"/>
      <c r="O111" s="13">
        <f>IF(OR(H111="",M111="ملغي"),0,H111*'حاسبة التسعير'!$B$19)</f>
        <v/>
      </c>
      <c r="P111" s="13">
        <f>IF(OR(I111="",M111="ملغي"),0,I111+J111-K111-O111)</f>
        <v/>
      </c>
      <c r="Q111" s="16" t="n"/>
    </row>
    <row r="112">
      <c r="A112" s="16" t="n"/>
      <c r="B112" s="20" t="n"/>
      <c r="C112" s="16" t="n"/>
      <c r="D112" s="16" t="n"/>
      <c r="E112" s="16" t="n"/>
      <c r="F112" s="16" t="n"/>
      <c r="G112" s="16" t="n"/>
      <c r="H112" s="16" t="n"/>
      <c r="I112" s="13" t="n"/>
      <c r="J112" s="13" t="n"/>
      <c r="K112" s="13" t="n"/>
      <c r="L112" s="16" t="n"/>
      <c r="M112" s="16" t="n"/>
      <c r="N112" s="16" t="n"/>
      <c r="O112" s="13">
        <f>IF(OR(H112="",M112="ملغي"),0,H112*'حاسبة التسعير'!$B$19)</f>
        <v/>
      </c>
      <c r="P112" s="13">
        <f>IF(OR(I112="",M112="ملغي"),0,I112+J112-K112-O112)</f>
        <v/>
      </c>
      <c r="Q112" s="16" t="n"/>
    </row>
    <row r="113">
      <c r="A113" s="16" t="n"/>
      <c r="B113" s="20" t="n"/>
      <c r="C113" s="16" t="n"/>
      <c r="D113" s="16" t="n"/>
      <c r="E113" s="16" t="n"/>
      <c r="F113" s="16" t="n"/>
      <c r="G113" s="16" t="n"/>
      <c r="H113" s="16" t="n"/>
      <c r="I113" s="13" t="n"/>
      <c r="J113" s="13" t="n"/>
      <c r="K113" s="13" t="n"/>
      <c r="L113" s="16" t="n"/>
      <c r="M113" s="16" t="n"/>
      <c r="N113" s="16" t="n"/>
      <c r="O113" s="13">
        <f>IF(OR(H113="",M113="ملغي"),0,H113*'حاسبة التسعير'!$B$19)</f>
        <v/>
      </c>
      <c r="P113" s="13">
        <f>IF(OR(I113="",M113="ملغي"),0,I113+J113-K113-O113)</f>
        <v/>
      </c>
      <c r="Q113" s="16" t="n"/>
    </row>
    <row r="114">
      <c r="A114" s="16" t="n"/>
      <c r="B114" s="20" t="n"/>
      <c r="C114" s="16" t="n"/>
      <c r="D114" s="16" t="n"/>
      <c r="E114" s="16" t="n"/>
      <c r="F114" s="16" t="n"/>
      <c r="G114" s="16" t="n"/>
      <c r="H114" s="16" t="n"/>
      <c r="I114" s="13" t="n"/>
      <c r="J114" s="13" t="n"/>
      <c r="K114" s="13" t="n"/>
      <c r="L114" s="16" t="n"/>
      <c r="M114" s="16" t="n"/>
      <c r="N114" s="16" t="n"/>
      <c r="O114" s="13">
        <f>IF(OR(H114="",M114="ملغي"),0,H114*'حاسبة التسعير'!$B$19)</f>
        <v/>
      </c>
      <c r="P114" s="13">
        <f>IF(OR(I114="",M114="ملغي"),0,I114+J114-K114-O114)</f>
        <v/>
      </c>
      <c r="Q114" s="16" t="n"/>
    </row>
    <row r="115">
      <c r="A115" s="16" t="n"/>
      <c r="B115" s="20" t="n"/>
      <c r="C115" s="16" t="n"/>
      <c r="D115" s="16" t="n"/>
      <c r="E115" s="16" t="n"/>
      <c r="F115" s="16" t="n"/>
      <c r="G115" s="16" t="n"/>
      <c r="H115" s="16" t="n"/>
      <c r="I115" s="13" t="n"/>
      <c r="J115" s="13" t="n"/>
      <c r="K115" s="13" t="n"/>
      <c r="L115" s="16" t="n"/>
      <c r="M115" s="16" t="n"/>
      <c r="N115" s="16" t="n"/>
      <c r="O115" s="13">
        <f>IF(OR(H115="",M115="ملغي"),0,H115*'حاسبة التسعير'!$B$19)</f>
        <v/>
      </c>
      <c r="P115" s="13">
        <f>IF(OR(I115="",M115="ملغي"),0,I115+J115-K115-O115)</f>
        <v/>
      </c>
      <c r="Q115" s="16" t="n"/>
    </row>
    <row r="116">
      <c r="A116" s="16" t="n"/>
      <c r="B116" s="20" t="n"/>
      <c r="C116" s="16" t="n"/>
      <c r="D116" s="16" t="n"/>
      <c r="E116" s="16" t="n"/>
      <c r="F116" s="16" t="n"/>
      <c r="G116" s="16" t="n"/>
      <c r="H116" s="16" t="n"/>
      <c r="I116" s="13" t="n"/>
      <c r="J116" s="13" t="n"/>
      <c r="K116" s="13" t="n"/>
      <c r="L116" s="16" t="n"/>
      <c r="M116" s="16" t="n"/>
      <c r="N116" s="16" t="n"/>
      <c r="O116" s="13">
        <f>IF(OR(H116="",M116="ملغي"),0,H116*'حاسبة التسعير'!$B$19)</f>
        <v/>
      </c>
      <c r="P116" s="13">
        <f>IF(OR(I116="",M116="ملغي"),0,I116+J116-K116-O116)</f>
        <v/>
      </c>
      <c r="Q116" s="16" t="n"/>
    </row>
    <row r="117">
      <c r="A117" s="16" t="n"/>
      <c r="B117" s="20" t="n"/>
      <c r="C117" s="16" t="n"/>
      <c r="D117" s="16" t="n"/>
      <c r="E117" s="16" t="n"/>
      <c r="F117" s="16" t="n"/>
      <c r="G117" s="16" t="n"/>
      <c r="H117" s="16" t="n"/>
      <c r="I117" s="13" t="n"/>
      <c r="J117" s="13" t="n"/>
      <c r="K117" s="13" t="n"/>
      <c r="L117" s="16" t="n"/>
      <c r="M117" s="16" t="n"/>
      <c r="N117" s="16" t="n"/>
      <c r="O117" s="13">
        <f>IF(OR(H117="",M117="ملغي"),0,H117*'حاسبة التسعير'!$B$19)</f>
        <v/>
      </c>
      <c r="P117" s="13">
        <f>IF(OR(I117="",M117="ملغي"),0,I117+J117-K117-O117)</f>
        <v/>
      </c>
      <c r="Q117" s="16" t="n"/>
    </row>
    <row r="118">
      <c r="A118" s="16" t="n"/>
      <c r="B118" s="20" t="n"/>
      <c r="C118" s="16" t="n"/>
      <c r="D118" s="16" t="n"/>
      <c r="E118" s="16" t="n"/>
      <c r="F118" s="16" t="n"/>
      <c r="G118" s="16" t="n"/>
      <c r="H118" s="16" t="n"/>
      <c r="I118" s="13" t="n"/>
      <c r="J118" s="13" t="n"/>
      <c r="K118" s="13" t="n"/>
      <c r="L118" s="16" t="n"/>
      <c r="M118" s="16" t="n"/>
      <c r="N118" s="16" t="n"/>
      <c r="O118" s="13">
        <f>IF(OR(H118="",M118="ملغي"),0,H118*'حاسبة التسعير'!$B$19)</f>
        <v/>
      </c>
      <c r="P118" s="13">
        <f>IF(OR(I118="",M118="ملغي"),0,I118+J118-K118-O118)</f>
        <v/>
      </c>
      <c r="Q118" s="16" t="n"/>
    </row>
    <row r="119">
      <c r="A119" s="16" t="n"/>
      <c r="B119" s="20" t="n"/>
      <c r="C119" s="16" t="n"/>
      <c r="D119" s="16" t="n"/>
      <c r="E119" s="16" t="n"/>
      <c r="F119" s="16" t="n"/>
      <c r="G119" s="16" t="n"/>
      <c r="H119" s="16" t="n"/>
      <c r="I119" s="13" t="n"/>
      <c r="J119" s="13" t="n"/>
      <c r="K119" s="13" t="n"/>
      <c r="L119" s="16" t="n"/>
      <c r="M119" s="16" t="n"/>
      <c r="N119" s="16" t="n"/>
      <c r="O119" s="13">
        <f>IF(OR(H119="",M119="ملغي"),0,H119*'حاسبة التسعير'!$B$19)</f>
        <v/>
      </c>
      <c r="P119" s="13">
        <f>IF(OR(I119="",M119="ملغي"),0,I119+J119-K119-O119)</f>
        <v/>
      </c>
      <c r="Q119" s="16" t="n"/>
    </row>
    <row r="120">
      <c r="A120" s="16" t="n"/>
      <c r="B120" s="20" t="n"/>
      <c r="C120" s="16" t="n"/>
      <c r="D120" s="16" t="n"/>
      <c r="E120" s="16" t="n"/>
      <c r="F120" s="16" t="n"/>
      <c r="G120" s="16" t="n"/>
      <c r="H120" s="16" t="n"/>
      <c r="I120" s="13" t="n"/>
      <c r="J120" s="13" t="n"/>
      <c r="K120" s="13" t="n"/>
      <c r="L120" s="16" t="n"/>
      <c r="M120" s="16" t="n"/>
      <c r="N120" s="16" t="n"/>
      <c r="O120" s="13">
        <f>IF(OR(H120="",M120="ملغي"),0,H120*'حاسبة التسعير'!$B$19)</f>
        <v/>
      </c>
      <c r="P120" s="13">
        <f>IF(OR(I120="",M120="ملغي"),0,I120+J120-K120-O120)</f>
        <v/>
      </c>
      <c r="Q120" s="16" t="n"/>
    </row>
    <row r="121">
      <c r="A121" s="16" t="n"/>
      <c r="B121" s="20" t="n"/>
      <c r="C121" s="16" t="n"/>
      <c r="D121" s="16" t="n"/>
      <c r="E121" s="16" t="n"/>
      <c r="F121" s="16" t="n"/>
      <c r="G121" s="16" t="n"/>
      <c r="H121" s="16" t="n"/>
      <c r="I121" s="13" t="n"/>
      <c r="J121" s="13" t="n"/>
      <c r="K121" s="13" t="n"/>
      <c r="L121" s="16" t="n"/>
      <c r="M121" s="16" t="n"/>
      <c r="N121" s="16" t="n"/>
      <c r="O121" s="13">
        <f>IF(OR(H121="",M121="ملغي"),0,H121*'حاسبة التسعير'!$B$19)</f>
        <v/>
      </c>
      <c r="P121" s="13">
        <f>IF(OR(I121="",M121="ملغي"),0,I121+J121-K121-O121)</f>
        <v/>
      </c>
      <c r="Q121" s="16" t="n"/>
    </row>
    <row r="122">
      <c r="A122" s="16" t="n"/>
      <c r="B122" s="20" t="n"/>
      <c r="C122" s="16" t="n"/>
      <c r="D122" s="16" t="n"/>
      <c r="E122" s="16" t="n"/>
      <c r="F122" s="16" t="n"/>
      <c r="G122" s="16" t="n"/>
      <c r="H122" s="16" t="n"/>
      <c r="I122" s="13" t="n"/>
      <c r="J122" s="13" t="n"/>
      <c r="K122" s="13" t="n"/>
      <c r="L122" s="16" t="n"/>
      <c r="M122" s="16" t="n"/>
      <c r="N122" s="16" t="n"/>
      <c r="O122" s="13">
        <f>IF(OR(H122="",M122="ملغي"),0,H122*'حاسبة التسعير'!$B$19)</f>
        <v/>
      </c>
      <c r="P122" s="13">
        <f>IF(OR(I122="",M122="ملغي"),0,I122+J122-K122-O122)</f>
        <v/>
      </c>
      <c r="Q122" s="16" t="n"/>
    </row>
    <row r="123">
      <c r="A123" s="16" t="n"/>
      <c r="B123" s="20" t="n"/>
      <c r="C123" s="16" t="n"/>
      <c r="D123" s="16" t="n"/>
      <c r="E123" s="16" t="n"/>
      <c r="F123" s="16" t="n"/>
      <c r="G123" s="16" t="n"/>
      <c r="H123" s="16" t="n"/>
      <c r="I123" s="13" t="n"/>
      <c r="J123" s="13" t="n"/>
      <c r="K123" s="13" t="n"/>
      <c r="L123" s="16" t="n"/>
      <c r="M123" s="16" t="n"/>
      <c r="N123" s="16" t="n"/>
      <c r="O123" s="13">
        <f>IF(OR(H123="",M123="ملغي"),0,H123*'حاسبة التسعير'!$B$19)</f>
        <v/>
      </c>
      <c r="P123" s="13">
        <f>IF(OR(I123="",M123="ملغي"),0,I123+J123-K123-O123)</f>
        <v/>
      </c>
      <c r="Q123" s="16" t="n"/>
    </row>
    <row r="124">
      <c r="A124" s="16" t="n"/>
      <c r="B124" s="20" t="n"/>
      <c r="C124" s="16" t="n"/>
      <c r="D124" s="16" t="n"/>
      <c r="E124" s="16" t="n"/>
      <c r="F124" s="16" t="n"/>
      <c r="G124" s="16" t="n"/>
      <c r="H124" s="16" t="n"/>
      <c r="I124" s="13" t="n"/>
      <c r="J124" s="13" t="n"/>
      <c r="K124" s="13" t="n"/>
      <c r="L124" s="16" t="n"/>
      <c r="M124" s="16" t="n"/>
      <c r="N124" s="16" t="n"/>
      <c r="O124" s="13">
        <f>IF(OR(H124="",M124="ملغي"),0,H124*'حاسبة التسعير'!$B$19)</f>
        <v/>
      </c>
      <c r="P124" s="13">
        <f>IF(OR(I124="",M124="ملغي"),0,I124+J124-K124-O124)</f>
        <v/>
      </c>
      <c r="Q124" s="16" t="n"/>
    </row>
    <row r="125">
      <c r="A125" s="16" t="n"/>
      <c r="B125" s="20" t="n"/>
      <c r="C125" s="16" t="n"/>
      <c r="D125" s="16" t="n"/>
      <c r="E125" s="16" t="n"/>
      <c r="F125" s="16" t="n"/>
      <c r="G125" s="16" t="n"/>
      <c r="H125" s="16" t="n"/>
      <c r="I125" s="13" t="n"/>
      <c r="J125" s="13" t="n"/>
      <c r="K125" s="13" t="n"/>
      <c r="L125" s="16" t="n"/>
      <c r="M125" s="16" t="n"/>
      <c r="N125" s="16" t="n"/>
      <c r="O125" s="13">
        <f>IF(OR(H125="",M125="ملغي"),0,H125*'حاسبة التسعير'!$B$19)</f>
        <v/>
      </c>
      <c r="P125" s="13">
        <f>IF(OR(I125="",M125="ملغي"),0,I125+J125-K125-O125)</f>
        <v/>
      </c>
      <c r="Q125" s="16" t="n"/>
    </row>
    <row r="126">
      <c r="A126" s="16" t="n"/>
      <c r="B126" s="20" t="n"/>
      <c r="C126" s="16" t="n"/>
      <c r="D126" s="16" t="n"/>
      <c r="E126" s="16" t="n"/>
      <c r="F126" s="16" t="n"/>
      <c r="G126" s="16" t="n"/>
      <c r="H126" s="16" t="n"/>
      <c r="I126" s="13" t="n"/>
      <c r="J126" s="13" t="n"/>
      <c r="K126" s="13" t="n"/>
      <c r="L126" s="16" t="n"/>
      <c r="M126" s="16" t="n"/>
      <c r="N126" s="16" t="n"/>
      <c r="O126" s="13">
        <f>IF(OR(H126="",M126="ملغي"),0,H126*'حاسبة التسعير'!$B$19)</f>
        <v/>
      </c>
      <c r="P126" s="13">
        <f>IF(OR(I126="",M126="ملغي"),0,I126+J126-K126-O126)</f>
        <v/>
      </c>
      <c r="Q126" s="16" t="n"/>
    </row>
    <row r="127">
      <c r="A127" s="16" t="n"/>
      <c r="B127" s="20" t="n"/>
      <c r="C127" s="16" t="n"/>
      <c r="D127" s="16" t="n"/>
      <c r="E127" s="16" t="n"/>
      <c r="F127" s="16" t="n"/>
      <c r="G127" s="16" t="n"/>
      <c r="H127" s="16" t="n"/>
      <c r="I127" s="13" t="n"/>
      <c r="J127" s="13" t="n"/>
      <c r="K127" s="13" t="n"/>
      <c r="L127" s="16" t="n"/>
      <c r="M127" s="16" t="n"/>
      <c r="N127" s="16" t="n"/>
      <c r="O127" s="13">
        <f>IF(OR(H127="",M127="ملغي"),0,H127*'حاسبة التسعير'!$B$19)</f>
        <v/>
      </c>
      <c r="P127" s="13">
        <f>IF(OR(I127="",M127="ملغي"),0,I127+J127-K127-O127)</f>
        <v/>
      </c>
      <c r="Q127" s="16" t="n"/>
    </row>
    <row r="128">
      <c r="A128" s="16" t="n"/>
      <c r="B128" s="20" t="n"/>
      <c r="C128" s="16" t="n"/>
      <c r="D128" s="16" t="n"/>
      <c r="E128" s="16" t="n"/>
      <c r="F128" s="16" t="n"/>
      <c r="G128" s="16" t="n"/>
      <c r="H128" s="16" t="n"/>
      <c r="I128" s="13" t="n"/>
      <c r="J128" s="13" t="n"/>
      <c r="K128" s="13" t="n"/>
      <c r="L128" s="16" t="n"/>
      <c r="M128" s="16" t="n"/>
      <c r="N128" s="16" t="n"/>
      <c r="O128" s="13">
        <f>IF(OR(H128="",M128="ملغي"),0,H128*'حاسبة التسعير'!$B$19)</f>
        <v/>
      </c>
      <c r="P128" s="13">
        <f>IF(OR(I128="",M128="ملغي"),0,I128+J128-K128-O128)</f>
        <v/>
      </c>
      <c r="Q128" s="16" t="n"/>
    </row>
    <row r="129">
      <c r="A129" s="16" t="n"/>
      <c r="B129" s="20" t="n"/>
      <c r="C129" s="16" t="n"/>
      <c r="D129" s="16" t="n"/>
      <c r="E129" s="16" t="n"/>
      <c r="F129" s="16" t="n"/>
      <c r="G129" s="16" t="n"/>
      <c r="H129" s="16" t="n"/>
      <c r="I129" s="13" t="n"/>
      <c r="J129" s="13" t="n"/>
      <c r="K129" s="13" t="n"/>
      <c r="L129" s="16" t="n"/>
      <c r="M129" s="16" t="n"/>
      <c r="N129" s="16" t="n"/>
      <c r="O129" s="13">
        <f>IF(OR(H129="",M129="ملغي"),0,H129*'حاسبة التسعير'!$B$19)</f>
        <v/>
      </c>
      <c r="P129" s="13">
        <f>IF(OR(I129="",M129="ملغي"),0,I129+J129-K129-O129)</f>
        <v/>
      </c>
      <c r="Q129" s="16" t="n"/>
    </row>
    <row r="130">
      <c r="A130" s="16" t="n"/>
      <c r="B130" s="20" t="n"/>
      <c r="C130" s="16" t="n"/>
      <c r="D130" s="16" t="n"/>
      <c r="E130" s="16" t="n"/>
      <c r="F130" s="16" t="n"/>
      <c r="G130" s="16" t="n"/>
      <c r="H130" s="16" t="n"/>
      <c r="I130" s="13" t="n"/>
      <c r="J130" s="13" t="n"/>
      <c r="K130" s="13" t="n"/>
      <c r="L130" s="16" t="n"/>
      <c r="M130" s="16" t="n"/>
      <c r="N130" s="16" t="n"/>
      <c r="O130" s="13">
        <f>IF(OR(H130="",M130="ملغي"),0,H130*'حاسبة التسعير'!$B$19)</f>
        <v/>
      </c>
      <c r="P130" s="13">
        <f>IF(OR(I130="",M130="ملغي"),0,I130+J130-K130-O130)</f>
        <v/>
      </c>
      <c r="Q130" s="16" t="n"/>
    </row>
    <row r="131">
      <c r="A131" s="16" t="n"/>
      <c r="B131" s="20" t="n"/>
      <c r="C131" s="16" t="n"/>
      <c r="D131" s="16" t="n"/>
      <c r="E131" s="16" t="n"/>
      <c r="F131" s="16" t="n"/>
      <c r="G131" s="16" t="n"/>
      <c r="H131" s="16" t="n"/>
      <c r="I131" s="13" t="n"/>
      <c r="J131" s="13" t="n"/>
      <c r="K131" s="13" t="n"/>
      <c r="L131" s="16" t="n"/>
      <c r="M131" s="16" t="n"/>
      <c r="N131" s="16" t="n"/>
      <c r="O131" s="13">
        <f>IF(OR(H131="",M131="ملغي"),0,H131*'حاسبة التسعير'!$B$19)</f>
        <v/>
      </c>
      <c r="P131" s="13">
        <f>IF(OR(I131="",M131="ملغي"),0,I131+J131-K131-O131)</f>
        <v/>
      </c>
      <c r="Q131" s="16" t="n"/>
    </row>
    <row r="132">
      <c r="A132" s="16" t="n"/>
      <c r="B132" s="20" t="n"/>
      <c r="C132" s="16" t="n"/>
      <c r="D132" s="16" t="n"/>
      <c r="E132" s="16" t="n"/>
      <c r="F132" s="16" t="n"/>
      <c r="G132" s="16" t="n"/>
      <c r="H132" s="16" t="n"/>
      <c r="I132" s="13" t="n"/>
      <c r="J132" s="13" t="n"/>
      <c r="K132" s="13" t="n"/>
      <c r="L132" s="16" t="n"/>
      <c r="M132" s="16" t="n"/>
      <c r="N132" s="16" t="n"/>
      <c r="O132" s="13">
        <f>IF(OR(H132="",M132="ملغي"),0,H132*'حاسبة التسعير'!$B$19)</f>
        <v/>
      </c>
      <c r="P132" s="13">
        <f>IF(OR(I132="",M132="ملغي"),0,I132+J132-K132-O132)</f>
        <v/>
      </c>
      <c r="Q132" s="16" t="n"/>
    </row>
    <row r="133">
      <c r="A133" s="16" t="n"/>
      <c r="B133" s="20" t="n"/>
      <c r="C133" s="16" t="n"/>
      <c r="D133" s="16" t="n"/>
      <c r="E133" s="16" t="n"/>
      <c r="F133" s="16" t="n"/>
      <c r="G133" s="16" t="n"/>
      <c r="H133" s="16" t="n"/>
      <c r="I133" s="13" t="n"/>
      <c r="J133" s="13" t="n"/>
      <c r="K133" s="13" t="n"/>
      <c r="L133" s="16" t="n"/>
      <c r="M133" s="16" t="n"/>
      <c r="N133" s="16" t="n"/>
      <c r="O133" s="13">
        <f>IF(OR(H133="",M133="ملغي"),0,H133*'حاسبة التسعير'!$B$19)</f>
        <v/>
      </c>
      <c r="P133" s="13">
        <f>IF(OR(I133="",M133="ملغي"),0,I133+J133-K133-O133)</f>
        <v/>
      </c>
      <c r="Q133" s="16" t="n"/>
    </row>
    <row r="134">
      <c r="A134" s="16" t="n"/>
      <c r="B134" s="20" t="n"/>
      <c r="C134" s="16" t="n"/>
      <c r="D134" s="16" t="n"/>
      <c r="E134" s="16" t="n"/>
      <c r="F134" s="16" t="n"/>
      <c r="G134" s="16" t="n"/>
      <c r="H134" s="16" t="n"/>
      <c r="I134" s="13" t="n"/>
      <c r="J134" s="13" t="n"/>
      <c r="K134" s="13" t="n"/>
      <c r="L134" s="16" t="n"/>
      <c r="M134" s="16" t="n"/>
      <c r="N134" s="16" t="n"/>
      <c r="O134" s="13">
        <f>IF(OR(H134="",M134="ملغي"),0,H134*'حاسبة التسعير'!$B$19)</f>
        <v/>
      </c>
      <c r="P134" s="13">
        <f>IF(OR(I134="",M134="ملغي"),0,I134+J134-K134-O134)</f>
        <v/>
      </c>
      <c r="Q134" s="16" t="n"/>
    </row>
    <row r="135">
      <c r="A135" s="16" t="n"/>
      <c r="B135" s="20" t="n"/>
      <c r="C135" s="16" t="n"/>
      <c r="D135" s="16" t="n"/>
      <c r="E135" s="16" t="n"/>
      <c r="F135" s="16" t="n"/>
      <c r="G135" s="16" t="n"/>
      <c r="H135" s="16" t="n"/>
      <c r="I135" s="13" t="n"/>
      <c r="J135" s="13" t="n"/>
      <c r="K135" s="13" t="n"/>
      <c r="L135" s="16" t="n"/>
      <c r="M135" s="16" t="n"/>
      <c r="N135" s="16" t="n"/>
      <c r="O135" s="13">
        <f>IF(OR(H135="",M135="ملغي"),0,H135*'حاسبة التسعير'!$B$19)</f>
        <v/>
      </c>
      <c r="P135" s="13">
        <f>IF(OR(I135="",M135="ملغي"),0,I135+J135-K135-O135)</f>
        <v/>
      </c>
      <c r="Q135" s="16" t="n"/>
    </row>
    <row r="136">
      <c r="A136" s="16" t="n"/>
      <c r="B136" s="20" t="n"/>
      <c r="C136" s="16" t="n"/>
      <c r="D136" s="16" t="n"/>
      <c r="E136" s="16" t="n"/>
      <c r="F136" s="16" t="n"/>
      <c r="G136" s="16" t="n"/>
      <c r="H136" s="16" t="n"/>
      <c r="I136" s="13" t="n"/>
      <c r="J136" s="13" t="n"/>
      <c r="K136" s="13" t="n"/>
      <c r="L136" s="16" t="n"/>
      <c r="M136" s="16" t="n"/>
      <c r="N136" s="16" t="n"/>
      <c r="O136" s="13">
        <f>IF(OR(H136="",M136="ملغي"),0,H136*'حاسبة التسعير'!$B$19)</f>
        <v/>
      </c>
      <c r="P136" s="13">
        <f>IF(OR(I136="",M136="ملغي"),0,I136+J136-K136-O136)</f>
        <v/>
      </c>
      <c r="Q136" s="16" t="n"/>
    </row>
    <row r="137">
      <c r="A137" s="16" t="n"/>
      <c r="B137" s="20" t="n"/>
      <c r="C137" s="16" t="n"/>
      <c r="D137" s="16" t="n"/>
      <c r="E137" s="16" t="n"/>
      <c r="F137" s="16" t="n"/>
      <c r="G137" s="16" t="n"/>
      <c r="H137" s="16" t="n"/>
      <c r="I137" s="13" t="n"/>
      <c r="J137" s="13" t="n"/>
      <c r="K137" s="13" t="n"/>
      <c r="L137" s="16" t="n"/>
      <c r="M137" s="16" t="n"/>
      <c r="N137" s="16" t="n"/>
      <c r="O137" s="13">
        <f>IF(OR(H137="",M137="ملغي"),0,H137*'حاسبة التسعير'!$B$19)</f>
        <v/>
      </c>
      <c r="P137" s="13">
        <f>IF(OR(I137="",M137="ملغي"),0,I137+J137-K137-O137)</f>
        <v/>
      </c>
      <c r="Q137" s="16" t="n"/>
    </row>
    <row r="138">
      <c r="A138" s="16" t="n"/>
      <c r="B138" s="20" t="n"/>
      <c r="C138" s="16" t="n"/>
      <c r="D138" s="16" t="n"/>
      <c r="E138" s="16" t="n"/>
      <c r="F138" s="16" t="n"/>
      <c r="G138" s="16" t="n"/>
      <c r="H138" s="16" t="n"/>
      <c r="I138" s="13" t="n"/>
      <c r="J138" s="13" t="n"/>
      <c r="K138" s="13" t="n"/>
      <c r="L138" s="16" t="n"/>
      <c r="M138" s="16" t="n"/>
      <c r="N138" s="16" t="n"/>
      <c r="O138" s="13">
        <f>IF(OR(H138="",M138="ملغي"),0,H138*'حاسبة التسعير'!$B$19)</f>
        <v/>
      </c>
      <c r="P138" s="13">
        <f>IF(OR(I138="",M138="ملغي"),0,I138+J138-K138-O138)</f>
        <v/>
      </c>
      <c r="Q138" s="16" t="n"/>
    </row>
    <row r="139">
      <c r="A139" s="16" t="n"/>
      <c r="B139" s="20" t="n"/>
      <c r="C139" s="16" t="n"/>
      <c r="D139" s="16" t="n"/>
      <c r="E139" s="16" t="n"/>
      <c r="F139" s="16" t="n"/>
      <c r="G139" s="16" t="n"/>
      <c r="H139" s="16" t="n"/>
      <c r="I139" s="13" t="n"/>
      <c r="J139" s="13" t="n"/>
      <c r="K139" s="13" t="n"/>
      <c r="L139" s="16" t="n"/>
      <c r="M139" s="16" t="n"/>
      <c r="N139" s="16" t="n"/>
      <c r="O139" s="13">
        <f>IF(OR(H139="",M139="ملغي"),0,H139*'حاسبة التسعير'!$B$19)</f>
        <v/>
      </c>
      <c r="P139" s="13">
        <f>IF(OR(I139="",M139="ملغي"),0,I139+J139-K139-O139)</f>
        <v/>
      </c>
      <c r="Q139" s="16" t="n"/>
    </row>
    <row r="140">
      <c r="A140" s="16" t="n"/>
      <c r="B140" s="20" t="n"/>
      <c r="C140" s="16" t="n"/>
      <c r="D140" s="16" t="n"/>
      <c r="E140" s="16" t="n"/>
      <c r="F140" s="16" t="n"/>
      <c r="G140" s="16" t="n"/>
      <c r="H140" s="16" t="n"/>
      <c r="I140" s="13" t="n"/>
      <c r="J140" s="13" t="n"/>
      <c r="K140" s="13" t="n"/>
      <c r="L140" s="16" t="n"/>
      <c r="M140" s="16" t="n"/>
      <c r="N140" s="16" t="n"/>
      <c r="O140" s="13">
        <f>IF(OR(H140="",M140="ملغي"),0,H140*'حاسبة التسعير'!$B$19)</f>
        <v/>
      </c>
      <c r="P140" s="13">
        <f>IF(OR(I140="",M140="ملغي"),0,I140+J140-K140-O140)</f>
        <v/>
      </c>
      <c r="Q140" s="16" t="n"/>
    </row>
    <row r="141">
      <c r="A141" s="16" t="n"/>
      <c r="B141" s="20" t="n"/>
      <c r="C141" s="16" t="n"/>
      <c r="D141" s="16" t="n"/>
      <c r="E141" s="16" t="n"/>
      <c r="F141" s="16" t="n"/>
      <c r="G141" s="16" t="n"/>
      <c r="H141" s="16" t="n"/>
      <c r="I141" s="13" t="n"/>
      <c r="J141" s="13" t="n"/>
      <c r="K141" s="13" t="n"/>
      <c r="L141" s="16" t="n"/>
      <c r="M141" s="16" t="n"/>
      <c r="N141" s="16" t="n"/>
      <c r="O141" s="13">
        <f>IF(OR(H141="",M141="ملغي"),0,H141*'حاسبة التسعير'!$B$19)</f>
        <v/>
      </c>
      <c r="P141" s="13">
        <f>IF(OR(I141="",M141="ملغي"),0,I141+J141-K141-O141)</f>
        <v/>
      </c>
      <c r="Q141" s="16" t="n"/>
    </row>
    <row r="142">
      <c r="A142" s="16" t="n"/>
      <c r="B142" s="20" t="n"/>
      <c r="C142" s="16" t="n"/>
      <c r="D142" s="16" t="n"/>
      <c r="E142" s="16" t="n"/>
      <c r="F142" s="16" t="n"/>
      <c r="G142" s="16" t="n"/>
      <c r="H142" s="16" t="n"/>
      <c r="I142" s="13" t="n"/>
      <c r="J142" s="13" t="n"/>
      <c r="K142" s="13" t="n"/>
      <c r="L142" s="16" t="n"/>
      <c r="M142" s="16" t="n"/>
      <c r="N142" s="16" t="n"/>
      <c r="O142" s="13">
        <f>IF(OR(H142="",M142="ملغي"),0,H142*'حاسبة التسعير'!$B$19)</f>
        <v/>
      </c>
      <c r="P142" s="13">
        <f>IF(OR(I142="",M142="ملغي"),0,I142+J142-K142-O142)</f>
        <v/>
      </c>
      <c r="Q142" s="16" t="n"/>
    </row>
    <row r="143">
      <c r="A143" s="16" t="n"/>
      <c r="B143" s="20" t="n"/>
      <c r="C143" s="16" t="n"/>
      <c r="D143" s="16" t="n"/>
      <c r="E143" s="16" t="n"/>
      <c r="F143" s="16" t="n"/>
      <c r="G143" s="16" t="n"/>
      <c r="H143" s="16" t="n"/>
      <c r="I143" s="13" t="n"/>
      <c r="J143" s="13" t="n"/>
      <c r="K143" s="13" t="n"/>
      <c r="L143" s="16" t="n"/>
      <c r="M143" s="16" t="n"/>
      <c r="N143" s="16" t="n"/>
      <c r="O143" s="13">
        <f>IF(OR(H143="",M143="ملغي"),0,H143*'حاسبة التسعير'!$B$19)</f>
        <v/>
      </c>
      <c r="P143" s="13">
        <f>IF(OR(I143="",M143="ملغي"),0,I143+J143-K143-O143)</f>
        <v/>
      </c>
      <c r="Q143" s="16" t="n"/>
    </row>
    <row r="144">
      <c r="A144" s="16" t="n"/>
      <c r="B144" s="20" t="n"/>
      <c r="C144" s="16" t="n"/>
      <c r="D144" s="16" t="n"/>
      <c r="E144" s="16" t="n"/>
      <c r="F144" s="16" t="n"/>
      <c r="G144" s="16" t="n"/>
      <c r="H144" s="16" t="n"/>
      <c r="I144" s="13" t="n"/>
      <c r="J144" s="13" t="n"/>
      <c r="K144" s="13" t="n"/>
      <c r="L144" s="16" t="n"/>
      <c r="M144" s="16" t="n"/>
      <c r="N144" s="16" t="n"/>
      <c r="O144" s="13">
        <f>IF(OR(H144="",M144="ملغي"),0,H144*'حاسبة التسعير'!$B$19)</f>
        <v/>
      </c>
      <c r="P144" s="13">
        <f>IF(OR(I144="",M144="ملغي"),0,I144+J144-K144-O144)</f>
        <v/>
      </c>
      <c r="Q144" s="16" t="n"/>
    </row>
    <row r="145">
      <c r="A145" s="16" t="n"/>
      <c r="B145" s="20" t="n"/>
      <c r="C145" s="16" t="n"/>
      <c r="D145" s="16" t="n"/>
      <c r="E145" s="16" t="n"/>
      <c r="F145" s="16" t="n"/>
      <c r="G145" s="16" t="n"/>
      <c r="H145" s="16" t="n"/>
      <c r="I145" s="13" t="n"/>
      <c r="J145" s="13" t="n"/>
      <c r="K145" s="13" t="n"/>
      <c r="L145" s="16" t="n"/>
      <c r="M145" s="16" t="n"/>
      <c r="N145" s="16" t="n"/>
      <c r="O145" s="13">
        <f>IF(OR(H145="",M145="ملغي"),0,H145*'حاسبة التسعير'!$B$19)</f>
        <v/>
      </c>
      <c r="P145" s="13">
        <f>IF(OR(I145="",M145="ملغي"),0,I145+J145-K145-O145)</f>
        <v/>
      </c>
      <c r="Q145" s="16" t="n"/>
    </row>
    <row r="146">
      <c r="A146" s="16" t="n"/>
      <c r="B146" s="20" t="n"/>
      <c r="C146" s="16" t="n"/>
      <c r="D146" s="16" t="n"/>
      <c r="E146" s="16" t="n"/>
      <c r="F146" s="16" t="n"/>
      <c r="G146" s="16" t="n"/>
      <c r="H146" s="16" t="n"/>
      <c r="I146" s="13" t="n"/>
      <c r="J146" s="13" t="n"/>
      <c r="K146" s="13" t="n"/>
      <c r="L146" s="16" t="n"/>
      <c r="M146" s="16" t="n"/>
      <c r="N146" s="16" t="n"/>
      <c r="O146" s="13">
        <f>IF(OR(H146="",M146="ملغي"),0,H146*'حاسبة التسعير'!$B$19)</f>
        <v/>
      </c>
      <c r="P146" s="13">
        <f>IF(OR(I146="",M146="ملغي"),0,I146+J146-K146-O146)</f>
        <v/>
      </c>
      <c r="Q146" s="16" t="n"/>
    </row>
    <row r="147">
      <c r="A147" s="16" t="n"/>
      <c r="B147" s="20" t="n"/>
      <c r="C147" s="16" t="n"/>
      <c r="D147" s="16" t="n"/>
      <c r="E147" s="16" t="n"/>
      <c r="F147" s="16" t="n"/>
      <c r="G147" s="16" t="n"/>
      <c r="H147" s="16" t="n"/>
      <c r="I147" s="13" t="n"/>
      <c r="J147" s="13" t="n"/>
      <c r="K147" s="13" t="n"/>
      <c r="L147" s="16" t="n"/>
      <c r="M147" s="16" t="n"/>
      <c r="N147" s="16" t="n"/>
      <c r="O147" s="13">
        <f>IF(OR(H147="",M147="ملغي"),0,H147*'حاسبة التسعير'!$B$19)</f>
        <v/>
      </c>
      <c r="P147" s="13">
        <f>IF(OR(I147="",M147="ملغي"),0,I147+J147-K147-O147)</f>
        <v/>
      </c>
      <c r="Q147" s="16" t="n"/>
    </row>
    <row r="148">
      <c r="A148" s="16" t="n"/>
      <c r="B148" s="20" t="n"/>
      <c r="C148" s="16" t="n"/>
      <c r="D148" s="16" t="n"/>
      <c r="E148" s="16" t="n"/>
      <c r="F148" s="16" t="n"/>
      <c r="G148" s="16" t="n"/>
      <c r="H148" s="16" t="n"/>
      <c r="I148" s="13" t="n"/>
      <c r="J148" s="13" t="n"/>
      <c r="K148" s="13" t="n"/>
      <c r="L148" s="16" t="n"/>
      <c r="M148" s="16" t="n"/>
      <c r="N148" s="16" t="n"/>
      <c r="O148" s="13">
        <f>IF(OR(H148="",M148="ملغي"),0,H148*'حاسبة التسعير'!$B$19)</f>
        <v/>
      </c>
      <c r="P148" s="13">
        <f>IF(OR(I148="",M148="ملغي"),0,I148+J148-K148-O148)</f>
        <v/>
      </c>
      <c r="Q148" s="16" t="n"/>
    </row>
    <row r="149">
      <c r="A149" s="16" t="n"/>
      <c r="B149" s="20" t="n"/>
      <c r="C149" s="16" t="n"/>
      <c r="D149" s="16" t="n"/>
      <c r="E149" s="16" t="n"/>
      <c r="F149" s="16" t="n"/>
      <c r="G149" s="16" t="n"/>
      <c r="H149" s="16" t="n"/>
      <c r="I149" s="13" t="n"/>
      <c r="J149" s="13" t="n"/>
      <c r="K149" s="13" t="n"/>
      <c r="L149" s="16" t="n"/>
      <c r="M149" s="16" t="n"/>
      <c r="N149" s="16" t="n"/>
      <c r="O149" s="13">
        <f>IF(OR(H149="",M149="ملغي"),0,H149*'حاسبة التسعير'!$B$19)</f>
        <v/>
      </c>
      <c r="P149" s="13">
        <f>IF(OR(I149="",M149="ملغي"),0,I149+J149-K149-O149)</f>
        <v/>
      </c>
      <c r="Q149" s="16" t="n"/>
    </row>
    <row r="150">
      <c r="A150" s="16" t="n"/>
      <c r="B150" s="20" t="n"/>
      <c r="C150" s="16" t="n"/>
      <c r="D150" s="16" t="n"/>
      <c r="E150" s="16" t="n"/>
      <c r="F150" s="16" t="n"/>
      <c r="G150" s="16" t="n"/>
      <c r="H150" s="16" t="n"/>
      <c r="I150" s="13" t="n"/>
      <c r="J150" s="13" t="n"/>
      <c r="K150" s="13" t="n"/>
      <c r="L150" s="16" t="n"/>
      <c r="M150" s="16" t="n"/>
      <c r="N150" s="16" t="n"/>
      <c r="O150" s="13">
        <f>IF(OR(H150="",M150="ملغي"),0,H150*'حاسبة التسعير'!$B$19)</f>
        <v/>
      </c>
      <c r="P150" s="13">
        <f>IF(OR(I150="",M150="ملغي"),0,I150+J150-K150-O150)</f>
        <v/>
      </c>
      <c r="Q150" s="16" t="n"/>
    </row>
    <row r="151">
      <c r="A151" s="16" t="n"/>
      <c r="B151" s="20" t="n"/>
      <c r="C151" s="16" t="n"/>
      <c r="D151" s="16" t="n"/>
      <c r="E151" s="16" t="n"/>
      <c r="F151" s="16" t="n"/>
      <c r="G151" s="16" t="n"/>
      <c r="H151" s="16" t="n"/>
      <c r="I151" s="13" t="n"/>
      <c r="J151" s="13" t="n"/>
      <c r="K151" s="13" t="n"/>
      <c r="L151" s="16" t="n"/>
      <c r="M151" s="16" t="n"/>
      <c r="N151" s="16" t="n"/>
      <c r="O151" s="13">
        <f>IF(OR(H151="",M151="ملغي"),0,H151*'حاسبة التسعير'!$B$19)</f>
        <v/>
      </c>
      <c r="P151" s="13">
        <f>IF(OR(I151="",M151="ملغي"),0,I151+J151-K151-O151)</f>
        <v/>
      </c>
      <c r="Q151" s="16" t="n"/>
    </row>
    <row r="152">
      <c r="A152" s="16" t="n"/>
      <c r="B152" s="20" t="n"/>
      <c r="C152" s="16" t="n"/>
      <c r="D152" s="16" t="n"/>
      <c r="E152" s="16" t="n"/>
      <c r="F152" s="16" t="n"/>
      <c r="G152" s="16" t="n"/>
      <c r="H152" s="16" t="n"/>
      <c r="I152" s="13" t="n"/>
      <c r="J152" s="13" t="n"/>
      <c r="K152" s="13" t="n"/>
      <c r="L152" s="16" t="n"/>
      <c r="M152" s="16" t="n"/>
      <c r="N152" s="16" t="n"/>
      <c r="O152" s="13">
        <f>IF(OR(H152="",M152="ملغي"),0,H152*'حاسبة التسعير'!$B$19)</f>
        <v/>
      </c>
      <c r="P152" s="13">
        <f>IF(OR(I152="",M152="ملغي"),0,I152+J152-K152-O152)</f>
        <v/>
      </c>
      <c r="Q152" s="16" t="n"/>
    </row>
    <row r="153">
      <c r="A153" s="16" t="n"/>
      <c r="B153" s="20" t="n"/>
      <c r="C153" s="16" t="n"/>
      <c r="D153" s="16" t="n"/>
      <c r="E153" s="16" t="n"/>
      <c r="F153" s="16" t="n"/>
      <c r="G153" s="16" t="n"/>
      <c r="H153" s="16" t="n"/>
      <c r="I153" s="13" t="n"/>
      <c r="J153" s="13" t="n"/>
      <c r="K153" s="13" t="n"/>
      <c r="L153" s="16" t="n"/>
      <c r="M153" s="16" t="n"/>
      <c r="N153" s="16" t="n"/>
      <c r="O153" s="13">
        <f>IF(OR(H153="",M153="ملغي"),0,H153*'حاسبة التسعير'!$B$19)</f>
        <v/>
      </c>
      <c r="P153" s="13">
        <f>IF(OR(I153="",M153="ملغي"),0,I153+J153-K153-O153)</f>
        <v/>
      </c>
      <c r="Q153" s="16" t="n"/>
    </row>
    <row r="154">
      <c r="A154" s="16" t="n"/>
      <c r="B154" s="20" t="n"/>
      <c r="C154" s="16" t="n"/>
      <c r="D154" s="16" t="n"/>
      <c r="E154" s="16" t="n"/>
      <c r="F154" s="16" t="n"/>
      <c r="G154" s="16" t="n"/>
      <c r="H154" s="16" t="n"/>
      <c r="I154" s="13" t="n"/>
      <c r="J154" s="13" t="n"/>
      <c r="K154" s="13" t="n"/>
      <c r="L154" s="16" t="n"/>
      <c r="M154" s="16" t="n"/>
      <c r="N154" s="16" t="n"/>
      <c r="O154" s="13">
        <f>IF(OR(H154="",M154="ملغي"),0,H154*'حاسبة التسعير'!$B$19)</f>
        <v/>
      </c>
      <c r="P154" s="13">
        <f>IF(OR(I154="",M154="ملغي"),0,I154+J154-K154-O154)</f>
        <v/>
      </c>
      <c r="Q154" s="16" t="n"/>
    </row>
    <row r="155">
      <c r="A155" s="16" t="n"/>
      <c r="B155" s="20" t="n"/>
      <c r="C155" s="16" t="n"/>
      <c r="D155" s="16" t="n"/>
      <c r="E155" s="16" t="n"/>
      <c r="F155" s="16" t="n"/>
      <c r="G155" s="16" t="n"/>
      <c r="H155" s="16" t="n"/>
      <c r="I155" s="13" t="n"/>
      <c r="J155" s="13" t="n"/>
      <c r="K155" s="13" t="n"/>
      <c r="L155" s="16" t="n"/>
      <c r="M155" s="16" t="n"/>
      <c r="N155" s="16" t="n"/>
      <c r="O155" s="13">
        <f>IF(OR(H155="",M155="ملغي"),0,H155*'حاسبة التسعير'!$B$19)</f>
        <v/>
      </c>
      <c r="P155" s="13">
        <f>IF(OR(I155="",M155="ملغي"),0,I155+J155-K155-O155)</f>
        <v/>
      </c>
      <c r="Q155" s="16" t="n"/>
    </row>
    <row r="156">
      <c r="A156" s="16" t="n"/>
      <c r="B156" s="20" t="n"/>
      <c r="C156" s="16" t="n"/>
      <c r="D156" s="16" t="n"/>
      <c r="E156" s="16" t="n"/>
      <c r="F156" s="16" t="n"/>
      <c r="G156" s="16" t="n"/>
      <c r="H156" s="16" t="n"/>
      <c r="I156" s="13" t="n"/>
      <c r="J156" s="13" t="n"/>
      <c r="K156" s="13" t="n"/>
      <c r="L156" s="16" t="n"/>
      <c r="M156" s="16" t="n"/>
      <c r="N156" s="16" t="n"/>
      <c r="O156" s="13">
        <f>IF(OR(H156="",M156="ملغي"),0,H156*'حاسبة التسعير'!$B$19)</f>
        <v/>
      </c>
      <c r="P156" s="13">
        <f>IF(OR(I156="",M156="ملغي"),0,I156+J156-K156-O156)</f>
        <v/>
      </c>
      <c r="Q156" s="16" t="n"/>
    </row>
    <row r="157">
      <c r="A157" s="16" t="n"/>
      <c r="B157" s="20" t="n"/>
      <c r="C157" s="16" t="n"/>
      <c r="D157" s="16" t="n"/>
      <c r="E157" s="16" t="n"/>
      <c r="F157" s="16" t="n"/>
      <c r="G157" s="16" t="n"/>
      <c r="H157" s="16" t="n"/>
      <c r="I157" s="13" t="n"/>
      <c r="J157" s="13" t="n"/>
      <c r="K157" s="13" t="n"/>
      <c r="L157" s="16" t="n"/>
      <c r="M157" s="16" t="n"/>
      <c r="N157" s="16" t="n"/>
      <c r="O157" s="13">
        <f>IF(OR(H157="",M157="ملغي"),0,H157*'حاسبة التسعير'!$B$19)</f>
        <v/>
      </c>
      <c r="P157" s="13">
        <f>IF(OR(I157="",M157="ملغي"),0,I157+J157-K157-O157)</f>
        <v/>
      </c>
      <c r="Q157" s="16" t="n"/>
    </row>
    <row r="158">
      <c r="A158" s="16" t="n"/>
      <c r="B158" s="20" t="n"/>
      <c r="C158" s="16" t="n"/>
      <c r="D158" s="16" t="n"/>
      <c r="E158" s="16" t="n"/>
      <c r="F158" s="16" t="n"/>
      <c r="G158" s="16" t="n"/>
      <c r="H158" s="16" t="n"/>
      <c r="I158" s="13" t="n"/>
      <c r="J158" s="13" t="n"/>
      <c r="K158" s="13" t="n"/>
      <c r="L158" s="16" t="n"/>
      <c r="M158" s="16" t="n"/>
      <c r="N158" s="16" t="n"/>
      <c r="O158" s="13">
        <f>IF(OR(H158="",M158="ملغي"),0,H158*'حاسبة التسعير'!$B$19)</f>
        <v/>
      </c>
      <c r="P158" s="13">
        <f>IF(OR(I158="",M158="ملغي"),0,I158+J158-K158-O158)</f>
        <v/>
      </c>
      <c r="Q158" s="16" t="n"/>
    </row>
    <row r="159">
      <c r="A159" s="16" t="n"/>
      <c r="B159" s="20" t="n"/>
      <c r="C159" s="16" t="n"/>
      <c r="D159" s="16" t="n"/>
      <c r="E159" s="16" t="n"/>
      <c r="F159" s="16" t="n"/>
      <c r="G159" s="16" t="n"/>
      <c r="H159" s="16" t="n"/>
      <c r="I159" s="13" t="n"/>
      <c r="J159" s="13" t="n"/>
      <c r="K159" s="13" t="n"/>
      <c r="L159" s="16" t="n"/>
      <c r="M159" s="16" t="n"/>
      <c r="N159" s="16" t="n"/>
      <c r="O159" s="13">
        <f>IF(OR(H159="",M159="ملغي"),0,H159*'حاسبة التسعير'!$B$19)</f>
        <v/>
      </c>
      <c r="P159" s="13">
        <f>IF(OR(I159="",M159="ملغي"),0,I159+J159-K159-O159)</f>
        <v/>
      </c>
      <c r="Q159" s="16" t="n"/>
    </row>
    <row r="160">
      <c r="A160" s="16" t="n"/>
      <c r="B160" s="20" t="n"/>
      <c r="C160" s="16" t="n"/>
      <c r="D160" s="16" t="n"/>
      <c r="E160" s="16" t="n"/>
      <c r="F160" s="16" t="n"/>
      <c r="G160" s="16" t="n"/>
      <c r="H160" s="16" t="n"/>
      <c r="I160" s="13" t="n"/>
      <c r="J160" s="13" t="n"/>
      <c r="K160" s="13" t="n"/>
      <c r="L160" s="16" t="n"/>
      <c r="M160" s="16" t="n"/>
      <c r="N160" s="16" t="n"/>
      <c r="O160" s="13">
        <f>IF(OR(H160="",M160="ملغي"),0,H160*'حاسبة التسعير'!$B$19)</f>
        <v/>
      </c>
      <c r="P160" s="13">
        <f>IF(OR(I160="",M160="ملغي"),0,I160+J160-K160-O160)</f>
        <v/>
      </c>
      <c r="Q160" s="16" t="n"/>
    </row>
    <row r="161">
      <c r="A161" s="16" t="n"/>
      <c r="B161" s="20" t="n"/>
      <c r="C161" s="16" t="n"/>
      <c r="D161" s="16" t="n"/>
      <c r="E161" s="16" t="n"/>
      <c r="F161" s="16" t="n"/>
      <c r="G161" s="16" t="n"/>
      <c r="H161" s="16" t="n"/>
      <c r="I161" s="13" t="n"/>
      <c r="J161" s="13" t="n"/>
      <c r="K161" s="13" t="n"/>
      <c r="L161" s="16" t="n"/>
      <c r="M161" s="16" t="n"/>
      <c r="N161" s="16" t="n"/>
      <c r="O161" s="13">
        <f>IF(OR(H161="",M161="ملغي"),0,H161*'حاسبة التسعير'!$B$19)</f>
        <v/>
      </c>
      <c r="P161" s="13">
        <f>IF(OR(I161="",M161="ملغي"),0,I161+J161-K161-O161)</f>
        <v/>
      </c>
      <c r="Q161" s="16" t="n"/>
    </row>
    <row r="162">
      <c r="A162" s="16" t="n"/>
      <c r="B162" s="20" t="n"/>
      <c r="C162" s="16" t="n"/>
      <c r="D162" s="16" t="n"/>
      <c r="E162" s="16" t="n"/>
      <c r="F162" s="16" t="n"/>
      <c r="G162" s="16" t="n"/>
      <c r="H162" s="16" t="n"/>
      <c r="I162" s="13" t="n"/>
      <c r="J162" s="13" t="n"/>
      <c r="K162" s="13" t="n"/>
      <c r="L162" s="16" t="n"/>
      <c r="M162" s="16" t="n"/>
      <c r="N162" s="16" t="n"/>
      <c r="O162" s="13">
        <f>IF(OR(H162="",M162="ملغي"),0,H162*'حاسبة التسعير'!$B$19)</f>
        <v/>
      </c>
      <c r="P162" s="13">
        <f>IF(OR(I162="",M162="ملغي"),0,I162+J162-K162-O162)</f>
        <v/>
      </c>
      <c r="Q162" s="16" t="n"/>
    </row>
    <row r="163">
      <c r="A163" s="16" t="n"/>
      <c r="B163" s="20" t="n"/>
      <c r="C163" s="16" t="n"/>
      <c r="D163" s="16" t="n"/>
      <c r="E163" s="16" t="n"/>
      <c r="F163" s="16" t="n"/>
      <c r="G163" s="16" t="n"/>
      <c r="H163" s="16" t="n"/>
      <c r="I163" s="13" t="n"/>
      <c r="J163" s="13" t="n"/>
      <c r="K163" s="13" t="n"/>
      <c r="L163" s="16" t="n"/>
      <c r="M163" s="16" t="n"/>
      <c r="N163" s="16" t="n"/>
      <c r="O163" s="13">
        <f>IF(OR(H163="",M163="ملغي"),0,H163*'حاسبة التسعير'!$B$19)</f>
        <v/>
      </c>
      <c r="P163" s="13">
        <f>IF(OR(I163="",M163="ملغي"),0,I163+J163-K163-O163)</f>
        <v/>
      </c>
      <c r="Q163" s="16" t="n"/>
    </row>
    <row r="164">
      <c r="A164" s="16" t="n"/>
      <c r="B164" s="20" t="n"/>
      <c r="C164" s="16" t="n"/>
      <c r="D164" s="16" t="n"/>
      <c r="E164" s="16" t="n"/>
      <c r="F164" s="16" t="n"/>
      <c r="G164" s="16" t="n"/>
      <c r="H164" s="16" t="n"/>
      <c r="I164" s="13" t="n"/>
      <c r="J164" s="13" t="n"/>
      <c r="K164" s="13" t="n"/>
      <c r="L164" s="16" t="n"/>
      <c r="M164" s="16" t="n"/>
      <c r="N164" s="16" t="n"/>
      <c r="O164" s="13">
        <f>IF(OR(H164="",M164="ملغي"),0,H164*'حاسبة التسعير'!$B$19)</f>
        <v/>
      </c>
      <c r="P164" s="13">
        <f>IF(OR(I164="",M164="ملغي"),0,I164+J164-K164-O164)</f>
        <v/>
      </c>
      <c r="Q164" s="16" t="n"/>
    </row>
    <row r="165">
      <c r="A165" s="16" t="n"/>
      <c r="B165" s="20" t="n"/>
      <c r="C165" s="16" t="n"/>
      <c r="D165" s="16" t="n"/>
      <c r="E165" s="16" t="n"/>
      <c r="F165" s="16" t="n"/>
      <c r="G165" s="16" t="n"/>
      <c r="H165" s="16" t="n"/>
      <c r="I165" s="13" t="n"/>
      <c r="J165" s="13" t="n"/>
      <c r="K165" s="13" t="n"/>
      <c r="L165" s="16" t="n"/>
      <c r="M165" s="16" t="n"/>
      <c r="N165" s="16" t="n"/>
      <c r="O165" s="13">
        <f>IF(OR(H165="",M165="ملغي"),0,H165*'حاسبة التسعير'!$B$19)</f>
        <v/>
      </c>
      <c r="P165" s="13">
        <f>IF(OR(I165="",M165="ملغي"),0,I165+J165-K165-O165)</f>
        <v/>
      </c>
      <c r="Q165" s="16" t="n"/>
    </row>
    <row r="166">
      <c r="A166" s="16" t="n"/>
      <c r="B166" s="20" t="n"/>
      <c r="C166" s="16" t="n"/>
      <c r="D166" s="16" t="n"/>
      <c r="E166" s="16" t="n"/>
      <c r="F166" s="16" t="n"/>
      <c r="G166" s="16" t="n"/>
      <c r="H166" s="16" t="n"/>
      <c r="I166" s="13" t="n"/>
      <c r="J166" s="13" t="n"/>
      <c r="K166" s="13" t="n"/>
      <c r="L166" s="16" t="n"/>
      <c r="M166" s="16" t="n"/>
      <c r="N166" s="16" t="n"/>
      <c r="O166" s="13">
        <f>IF(OR(H166="",M166="ملغي"),0,H166*'حاسبة التسعير'!$B$19)</f>
        <v/>
      </c>
      <c r="P166" s="13">
        <f>IF(OR(I166="",M166="ملغي"),0,I166+J166-K166-O166)</f>
        <v/>
      </c>
      <c r="Q166" s="16" t="n"/>
    </row>
    <row r="167">
      <c r="A167" s="16" t="n"/>
      <c r="B167" s="20" t="n"/>
      <c r="C167" s="16" t="n"/>
      <c r="D167" s="16" t="n"/>
      <c r="E167" s="16" t="n"/>
      <c r="F167" s="16" t="n"/>
      <c r="G167" s="16" t="n"/>
      <c r="H167" s="16" t="n"/>
      <c r="I167" s="13" t="n"/>
      <c r="J167" s="13" t="n"/>
      <c r="K167" s="13" t="n"/>
      <c r="L167" s="16" t="n"/>
      <c r="M167" s="16" t="n"/>
      <c r="N167" s="16" t="n"/>
      <c r="O167" s="13">
        <f>IF(OR(H167="",M167="ملغي"),0,H167*'حاسبة التسعير'!$B$19)</f>
        <v/>
      </c>
      <c r="P167" s="13">
        <f>IF(OR(I167="",M167="ملغي"),0,I167+J167-K167-O167)</f>
        <v/>
      </c>
      <c r="Q167" s="16" t="n"/>
    </row>
    <row r="168">
      <c r="A168" s="16" t="n"/>
      <c r="B168" s="20" t="n"/>
      <c r="C168" s="16" t="n"/>
      <c r="D168" s="16" t="n"/>
      <c r="E168" s="16" t="n"/>
      <c r="F168" s="16" t="n"/>
      <c r="G168" s="16" t="n"/>
      <c r="H168" s="16" t="n"/>
      <c r="I168" s="13" t="n"/>
      <c r="J168" s="13" t="n"/>
      <c r="K168" s="13" t="n"/>
      <c r="L168" s="16" t="n"/>
      <c r="M168" s="16" t="n"/>
      <c r="N168" s="16" t="n"/>
      <c r="O168" s="13">
        <f>IF(OR(H168="",M168="ملغي"),0,H168*'حاسبة التسعير'!$B$19)</f>
        <v/>
      </c>
      <c r="P168" s="13">
        <f>IF(OR(I168="",M168="ملغي"),0,I168+J168-K168-O168)</f>
        <v/>
      </c>
      <c r="Q168" s="16" t="n"/>
    </row>
    <row r="169">
      <c r="A169" s="16" t="n"/>
      <c r="B169" s="20" t="n"/>
      <c r="C169" s="16" t="n"/>
      <c r="D169" s="16" t="n"/>
      <c r="E169" s="16" t="n"/>
      <c r="F169" s="16" t="n"/>
      <c r="G169" s="16" t="n"/>
      <c r="H169" s="16" t="n"/>
      <c r="I169" s="13" t="n"/>
      <c r="J169" s="13" t="n"/>
      <c r="K169" s="13" t="n"/>
      <c r="L169" s="16" t="n"/>
      <c r="M169" s="16" t="n"/>
      <c r="N169" s="16" t="n"/>
      <c r="O169" s="13">
        <f>IF(OR(H169="",M169="ملغي"),0,H169*'حاسبة التسعير'!$B$19)</f>
        <v/>
      </c>
      <c r="P169" s="13">
        <f>IF(OR(I169="",M169="ملغي"),0,I169+J169-K169-O169)</f>
        <v/>
      </c>
      <c r="Q169" s="16" t="n"/>
    </row>
    <row r="170">
      <c r="A170" s="16" t="n"/>
      <c r="B170" s="20" t="n"/>
      <c r="C170" s="16" t="n"/>
      <c r="D170" s="16" t="n"/>
      <c r="E170" s="16" t="n"/>
      <c r="F170" s="16" t="n"/>
      <c r="G170" s="16" t="n"/>
      <c r="H170" s="16" t="n"/>
      <c r="I170" s="13" t="n"/>
      <c r="J170" s="13" t="n"/>
      <c r="K170" s="13" t="n"/>
      <c r="L170" s="16" t="n"/>
      <c r="M170" s="16" t="n"/>
      <c r="N170" s="16" t="n"/>
      <c r="O170" s="13">
        <f>IF(OR(H170="",M170="ملغي"),0,H170*'حاسبة التسعير'!$B$19)</f>
        <v/>
      </c>
      <c r="P170" s="13">
        <f>IF(OR(I170="",M170="ملغي"),0,I170+J170-K170-O170)</f>
        <v/>
      </c>
      <c r="Q170" s="16" t="n"/>
    </row>
    <row r="171">
      <c r="A171" s="16" t="n"/>
      <c r="B171" s="20" t="n"/>
      <c r="C171" s="16" t="n"/>
      <c r="D171" s="16" t="n"/>
      <c r="E171" s="16" t="n"/>
      <c r="F171" s="16" t="n"/>
      <c r="G171" s="16" t="n"/>
      <c r="H171" s="16" t="n"/>
      <c r="I171" s="13" t="n"/>
      <c r="J171" s="13" t="n"/>
      <c r="K171" s="13" t="n"/>
      <c r="L171" s="16" t="n"/>
      <c r="M171" s="16" t="n"/>
      <c r="N171" s="16" t="n"/>
      <c r="O171" s="13">
        <f>IF(OR(H171="",M171="ملغي"),0,H171*'حاسبة التسعير'!$B$19)</f>
        <v/>
      </c>
      <c r="P171" s="13">
        <f>IF(OR(I171="",M171="ملغي"),0,I171+J171-K171-O171)</f>
        <v/>
      </c>
      <c r="Q171" s="16" t="n"/>
    </row>
    <row r="172">
      <c r="A172" s="16" t="n"/>
      <c r="B172" s="20" t="n"/>
      <c r="C172" s="16" t="n"/>
      <c r="D172" s="16" t="n"/>
      <c r="E172" s="16" t="n"/>
      <c r="F172" s="16" t="n"/>
      <c r="G172" s="16" t="n"/>
      <c r="H172" s="16" t="n"/>
      <c r="I172" s="13" t="n"/>
      <c r="J172" s="13" t="n"/>
      <c r="K172" s="13" t="n"/>
      <c r="L172" s="16" t="n"/>
      <c r="M172" s="16" t="n"/>
      <c r="N172" s="16" t="n"/>
      <c r="O172" s="13">
        <f>IF(OR(H172="",M172="ملغي"),0,H172*'حاسبة التسعير'!$B$19)</f>
        <v/>
      </c>
      <c r="P172" s="13">
        <f>IF(OR(I172="",M172="ملغي"),0,I172+J172-K172-O172)</f>
        <v/>
      </c>
      <c r="Q172" s="16" t="n"/>
    </row>
    <row r="173">
      <c r="A173" s="16" t="n"/>
      <c r="B173" s="20" t="n"/>
      <c r="C173" s="16" t="n"/>
      <c r="D173" s="16" t="n"/>
      <c r="E173" s="16" t="n"/>
      <c r="F173" s="16" t="n"/>
      <c r="G173" s="16" t="n"/>
      <c r="H173" s="16" t="n"/>
      <c r="I173" s="13" t="n"/>
      <c r="J173" s="13" t="n"/>
      <c r="K173" s="13" t="n"/>
      <c r="L173" s="16" t="n"/>
      <c r="M173" s="16" t="n"/>
      <c r="N173" s="16" t="n"/>
      <c r="O173" s="13">
        <f>IF(OR(H173="",M173="ملغي"),0,H173*'حاسبة التسعير'!$B$19)</f>
        <v/>
      </c>
      <c r="P173" s="13">
        <f>IF(OR(I173="",M173="ملغي"),0,I173+J173-K173-O173)</f>
        <v/>
      </c>
      <c r="Q173" s="16" t="n"/>
    </row>
    <row r="174">
      <c r="A174" s="16" t="n"/>
      <c r="B174" s="20" t="n"/>
      <c r="C174" s="16" t="n"/>
      <c r="D174" s="16" t="n"/>
      <c r="E174" s="16" t="n"/>
      <c r="F174" s="16" t="n"/>
      <c r="G174" s="16" t="n"/>
      <c r="H174" s="16" t="n"/>
      <c r="I174" s="13" t="n"/>
      <c r="J174" s="13" t="n"/>
      <c r="K174" s="13" t="n"/>
      <c r="L174" s="16" t="n"/>
      <c r="M174" s="16" t="n"/>
      <c r="N174" s="16" t="n"/>
      <c r="O174" s="13">
        <f>IF(OR(H174="",M174="ملغي"),0,H174*'حاسبة التسعير'!$B$19)</f>
        <v/>
      </c>
      <c r="P174" s="13">
        <f>IF(OR(I174="",M174="ملغي"),0,I174+J174-K174-O174)</f>
        <v/>
      </c>
      <c r="Q174" s="16" t="n"/>
    </row>
    <row r="175">
      <c r="A175" s="16" t="n"/>
      <c r="B175" s="20" t="n"/>
      <c r="C175" s="16" t="n"/>
      <c r="D175" s="16" t="n"/>
      <c r="E175" s="16" t="n"/>
      <c r="F175" s="16" t="n"/>
      <c r="G175" s="16" t="n"/>
      <c r="H175" s="16" t="n"/>
      <c r="I175" s="13" t="n"/>
      <c r="J175" s="13" t="n"/>
      <c r="K175" s="13" t="n"/>
      <c r="L175" s="16" t="n"/>
      <c r="M175" s="16" t="n"/>
      <c r="N175" s="16" t="n"/>
      <c r="O175" s="13">
        <f>IF(OR(H175="",M175="ملغي"),0,H175*'حاسبة التسعير'!$B$19)</f>
        <v/>
      </c>
      <c r="P175" s="13">
        <f>IF(OR(I175="",M175="ملغي"),0,I175+J175-K175-O175)</f>
        <v/>
      </c>
      <c r="Q175" s="16" t="n"/>
    </row>
    <row r="176">
      <c r="A176" s="16" t="n"/>
      <c r="B176" s="20" t="n"/>
      <c r="C176" s="16" t="n"/>
      <c r="D176" s="16" t="n"/>
      <c r="E176" s="16" t="n"/>
      <c r="F176" s="16" t="n"/>
      <c r="G176" s="16" t="n"/>
      <c r="H176" s="16" t="n"/>
      <c r="I176" s="13" t="n"/>
      <c r="J176" s="13" t="n"/>
      <c r="K176" s="13" t="n"/>
      <c r="L176" s="16" t="n"/>
      <c r="M176" s="16" t="n"/>
      <c r="N176" s="16" t="n"/>
      <c r="O176" s="13">
        <f>IF(OR(H176="",M176="ملغي"),0,H176*'حاسبة التسعير'!$B$19)</f>
        <v/>
      </c>
      <c r="P176" s="13">
        <f>IF(OR(I176="",M176="ملغي"),0,I176+J176-K176-O176)</f>
        <v/>
      </c>
      <c r="Q176" s="16" t="n"/>
    </row>
    <row r="177">
      <c r="A177" s="16" t="n"/>
      <c r="B177" s="20" t="n"/>
      <c r="C177" s="16" t="n"/>
      <c r="D177" s="16" t="n"/>
      <c r="E177" s="16" t="n"/>
      <c r="F177" s="16" t="n"/>
      <c r="G177" s="16" t="n"/>
      <c r="H177" s="16" t="n"/>
      <c r="I177" s="13" t="n"/>
      <c r="J177" s="13" t="n"/>
      <c r="K177" s="13" t="n"/>
      <c r="L177" s="16" t="n"/>
      <c r="M177" s="16" t="n"/>
      <c r="N177" s="16" t="n"/>
      <c r="O177" s="13">
        <f>IF(OR(H177="",M177="ملغي"),0,H177*'حاسبة التسعير'!$B$19)</f>
        <v/>
      </c>
      <c r="P177" s="13">
        <f>IF(OR(I177="",M177="ملغي"),0,I177+J177-K177-O177)</f>
        <v/>
      </c>
      <c r="Q177" s="16" t="n"/>
    </row>
    <row r="178">
      <c r="A178" s="16" t="n"/>
      <c r="B178" s="20" t="n"/>
      <c r="C178" s="16" t="n"/>
      <c r="D178" s="16" t="n"/>
      <c r="E178" s="16" t="n"/>
      <c r="F178" s="16" t="n"/>
      <c r="G178" s="16" t="n"/>
      <c r="H178" s="16" t="n"/>
      <c r="I178" s="13" t="n"/>
      <c r="J178" s="13" t="n"/>
      <c r="K178" s="13" t="n"/>
      <c r="L178" s="16" t="n"/>
      <c r="M178" s="16" t="n"/>
      <c r="N178" s="16" t="n"/>
      <c r="O178" s="13">
        <f>IF(OR(H178="",M178="ملغي"),0,H178*'حاسبة التسعير'!$B$19)</f>
        <v/>
      </c>
      <c r="P178" s="13">
        <f>IF(OR(I178="",M178="ملغي"),0,I178+J178-K178-O178)</f>
        <v/>
      </c>
      <c r="Q178" s="16" t="n"/>
    </row>
    <row r="179">
      <c r="A179" s="16" t="n"/>
      <c r="B179" s="20" t="n"/>
      <c r="C179" s="16" t="n"/>
      <c r="D179" s="16" t="n"/>
      <c r="E179" s="16" t="n"/>
      <c r="F179" s="16" t="n"/>
      <c r="G179" s="16" t="n"/>
      <c r="H179" s="16" t="n"/>
      <c r="I179" s="13" t="n"/>
      <c r="J179" s="13" t="n"/>
      <c r="K179" s="13" t="n"/>
      <c r="L179" s="16" t="n"/>
      <c r="M179" s="16" t="n"/>
      <c r="N179" s="16" t="n"/>
      <c r="O179" s="13">
        <f>IF(OR(H179="",M179="ملغي"),0,H179*'حاسبة التسعير'!$B$19)</f>
        <v/>
      </c>
      <c r="P179" s="13">
        <f>IF(OR(I179="",M179="ملغي"),0,I179+J179-K179-O179)</f>
        <v/>
      </c>
      <c r="Q179" s="16" t="n"/>
    </row>
    <row r="180">
      <c r="A180" s="16" t="n"/>
      <c r="B180" s="20" t="n"/>
      <c r="C180" s="16" t="n"/>
      <c r="D180" s="16" t="n"/>
      <c r="E180" s="16" t="n"/>
      <c r="F180" s="16" t="n"/>
      <c r="G180" s="16" t="n"/>
      <c r="H180" s="16" t="n"/>
      <c r="I180" s="13" t="n"/>
      <c r="J180" s="13" t="n"/>
      <c r="K180" s="13" t="n"/>
      <c r="L180" s="16" t="n"/>
      <c r="M180" s="16" t="n"/>
      <c r="N180" s="16" t="n"/>
      <c r="O180" s="13">
        <f>IF(OR(H180="",M180="ملغي"),0,H180*'حاسبة التسعير'!$B$19)</f>
        <v/>
      </c>
      <c r="P180" s="13">
        <f>IF(OR(I180="",M180="ملغي"),0,I180+J180-K180-O180)</f>
        <v/>
      </c>
      <c r="Q180" s="16" t="n"/>
    </row>
    <row r="181">
      <c r="A181" s="16" t="n"/>
      <c r="B181" s="20" t="n"/>
      <c r="C181" s="16" t="n"/>
      <c r="D181" s="16" t="n"/>
      <c r="E181" s="16" t="n"/>
      <c r="F181" s="16" t="n"/>
      <c r="G181" s="16" t="n"/>
      <c r="H181" s="16" t="n"/>
      <c r="I181" s="13" t="n"/>
      <c r="J181" s="13" t="n"/>
      <c r="K181" s="13" t="n"/>
      <c r="L181" s="16" t="n"/>
      <c r="M181" s="16" t="n"/>
      <c r="N181" s="16" t="n"/>
      <c r="O181" s="13">
        <f>IF(OR(H181="",M181="ملغي"),0,H181*'حاسبة التسعير'!$B$19)</f>
        <v/>
      </c>
      <c r="P181" s="13">
        <f>IF(OR(I181="",M181="ملغي"),0,I181+J181-K181-O181)</f>
        <v/>
      </c>
      <c r="Q181" s="16" t="n"/>
    </row>
    <row r="182">
      <c r="A182" s="16" t="n"/>
      <c r="B182" s="20" t="n"/>
      <c r="C182" s="16" t="n"/>
      <c r="D182" s="16" t="n"/>
      <c r="E182" s="16" t="n"/>
      <c r="F182" s="16" t="n"/>
      <c r="G182" s="16" t="n"/>
      <c r="H182" s="16" t="n"/>
      <c r="I182" s="13" t="n"/>
      <c r="J182" s="13" t="n"/>
      <c r="K182" s="13" t="n"/>
      <c r="L182" s="16" t="n"/>
      <c r="M182" s="16" t="n"/>
      <c r="N182" s="16" t="n"/>
      <c r="O182" s="13">
        <f>IF(OR(H182="",M182="ملغي"),0,H182*'حاسبة التسعير'!$B$19)</f>
        <v/>
      </c>
      <c r="P182" s="13">
        <f>IF(OR(I182="",M182="ملغي"),0,I182+J182-K182-O182)</f>
        <v/>
      </c>
      <c r="Q182" s="16" t="n"/>
    </row>
    <row r="183">
      <c r="A183" s="16" t="n"/>
      <c r="B183" s="20" t="n"/>
      <c r="C183" s="16" t="n"/>
      <c r="D183" s="16" t="n"/>
      <c r="E183" s="16" t="n"/>
      <c r="F183" s="16" t="n"/>
      <c r="G183" s="16" t="n"/>
      <c r="H183" s="16" t="n"/>
      <c r="I183" s="13" t="n"/>
      <c r="J183" s="13" t="n"/>
      <c r="K183" s="13" t="n"/>
      <c r="L183" s="16" t="n"/>
      <c r="M183" s="16" t="n"/>
      <c r="N183" s="16" t="n"/>
      <c r="O183" s="13">
        <f>IF(OR(H183="",M183="ملغي"),0,H183*'حاسبة التسعير'!$B$19)</f>
        <v/>
      </c>
      <c r="P183" s="13">
        <f>IF(OR(I183="",M183="ملغي"),0,I183+J183-K183-O183)</f>
        <v/>
      </c>
      <c r="Q183" s="16" t="n"/>
    </row>
    <row r="184">
      <c r="A184" s="16" t="n"/>
      <c r="B184" s="20" t="n"/>
      <c r="C184" s="16" t="n"/>
      <c r="D184" s="16" t="n"/>
      <c r="E184" s="16" t="n"/>
      <c r="F184" s="16" t="n"/>
      <c r="G184" s="16" t="n"/>
      <c r="H184" s="16" t="n"/>
      <c r="I184" s="13" t="n"/>
      <c r="J184" s="13" t="n"/>
      <c r="K184" s="13" t="n"/>
      <c r="L184" s="16" t="n"/>
      <c r="M184" s="16" t="n"/>
      <c r="N184" s="16" t="n"/>
      <c r="O184" s="13">
        <f>IF(OR(H184="",M184="ملغي"),0,H184*'حاسبة التسعير'!$B$19)</f>
        <v/>
      </c>
      <c r="P184" s="13">
        <f>IF(OR(I184="",M184="ملغي"),0,I184+J184-K184-O184)</f>
        <v/>
      </c>
      <c r="Q184" s="16" t="n"/>
    </row>
    <row r="185">
      <c r="A185" s="16" t="n"/>
      <c r="B185" s="20" t="n"/>
      <c r="C185" s="16" t="n"/>
      <c r="D185" s="16" t="n"/>
      <c r="E185" s="16" t="n"/>
      <c r="F185" s="16" t="n"/>
      <c r="G185" s="16" t="n"/>
      <c r="H185" s="16" t="n"/>
      <c r="I185" s="13" t="n"/>
      <c r="J185" s="13" t="n"/>
      <c r="K185" s="13" t="n"/>
      <c r="L185" s="16" t="n"/>
      <c r="M185" s="16" t="n"/>
      <c r="N185" s="16" t="n"/>
      <c r="O185" s="13">
        <f>IF(OR(H185="",M185="ملغي"),0,H185*'حاسبة التسعير'!$B$19)</f>
        <v/>
      </c>
      <c r="P185" s="13">
        <f>IF(OR(I185="",M185="ملغي"),0,I185+J185-K185-O185)</f>
        <v/>
      </c>
      <c r="Q185" s="16" t="n"/>
    </row>
    <row r="186">
      <c r="A186" s="16" t="n"/>
      <c r="B186" s="20" t="n"/>
      <c r="C186" s="16" t="n"/>
      <c r="D186" s="16" t="n"/>
      <c r="E186" s="16" t="n"/>
      <c r="F186" s="16" t="n"/>
      <c r="G186" s="16" t="n"/>
      <c r="H186" s="16" t="n"/>
      <c r="I186" s="13" t="n"/>
      <c r="J186" s="13" t="n"/>
      <c r="K186" s="13" t="n"/>
      <c r="L186" s="16" t="n"/>
      <c r="M186" s="16" t="n"/>
      <c r="N186" s="16" t="n"/>
      <c r="O186" s="13">
        <f>IF(OR(H186="",M186="ملغي"),0,H186*'حاسبة التسعير'!$B$19)</f>
        <v/>
      </c>
      <c r="P186" s="13">
        <f>IF(OR(I186="",M186="ملغي"),0,I186+J186-K186-O186)</f>
        <v/>
      </c>
      <c r="Q186" s="16" t="n"/>
    </row>
    <row r="187">
      <c r="A187" s="16" t="n"/>
      <c r="B187" s="20" t="n"/>
      <c r="C187" s="16" t="n"/>
      <c r="D187" s="16" t="n"/>
      <c r="E187" s="16" t="n"/>
      <c r="F187" s="16" t="n"/>
      <c r="G187" s="16" t="n"/>
      <c r="H187" s="16" t="n"/>
      <c r="I187" s="13" t="n"/>
      <c r="J187" s="13" t="n"/>
      <c r="K187" s="13" t="n"/>
      <c r="L187" s="16" t="n"/>
      <c r="M187" s="16" t="n"/>
      <c r="N187" s="16" t="n"/>
      <c r="O187" s="13">
        <f>IF(OR(H187="",M187="ملغي"),0,H187*'حاسبة التسعير'!$B$19)</f>
        <v/>
      </c>
      <c r="P187" s="13">
        <f>IF(OR(I187="",M187="ملغي"),0,I187+J187-K187-O187)</f>
        <v/>
      </c>
      <c r="Q187" s="16" t="n"/>
    </row>
    <row r="188">
      <c r="A188" s="16" t="n"/>
      <c r="B188" s="20" t="n"/>
      <c r="C188" s="16" t="n"/>
      <c r="D188" s="16" t="n"/>
      <c r="E188" s="16" t="n"/>
      <c r="F188" s="16" t="n"/>
      <c r="G188" s="16" t="n"/>
      <c r="H188" s="16" t="n"/>
      <c r="I188" s="13" t="n"/>
      <c r="J188" s="13" t="n"/>
      <c r="K188" s="13" t="n"/>
      <c r="L188" s="16" t="n"/>
      <c r="M188" s="16" t="n"/>
      <c r="N188" s="16" t="n"/>
      <c r="O188" s="13">
        <f>IF(OR(H188="",M188="ملغي"),0,H188*'حاسبة التسعير'!$B$19)</f>
        <v/>
      </c>
      <c r="P188" s="13">
        <f>IF(OR(I188="",M188="ملغي"),0,I188+J188-K188-O188)</f>
        <v/>
      </c>
      <c r="Q188" s="16" t="n"/>
    </row>
    <row r="189">
      <c r="A189" s="16" t="n"/>
      <c r="B189" s="20" t="n"/>
      <c r="C189" s="16" t="n"/>
      <c r="D189" s="16" t="n"/>
      <c r="E189" s="16" t="n"/>
      <c r="F189" s="16" t="n"/>
      <c r="G189" s="16" t="n"/>
      <c r="H189" s="16" t="n"/>
      <c r="I189" s="13" t="n"/>
      <c r="J189" s="13" t="n"/>
      <c r="K189" s="13" t="n"/>
      <c r="L189" s="16" t="n"/>
      <c r="M189" s="16" t="n"/>
      <c r="N189" s="16" t="n"/>
      <c r="O189" s="13">
        <f>IF(OR(H189="",M189="ملغي"),0,H189*'حاسبة التسعير'!$B$19)</f>
        <v/>
      </c>
      <c r="P189" s="13">
        <f>IF(OR(I189="",M189="ملغي"),0,I189+J189-K189-O189)</f>
        <v/>
      </c>
      <c r="Q189" s="16" t="n"/>
    </row>
    <row r="190">
      <c r="A190" s="16" t="n"/>
      <c r="B190" s="20" t="n"/>
      <c r="C190" s="16" t="n"/>
      <c r="D190" s="16" t="n"/>
      <c r="E190" s="16" t="n"/>
      <c r="F190" s="16" t="n"/>
      <c r="G190" s="16" t="n"/>
      <c r="H190" s="16" t="n"/>
      <c r="I190" s="13" t="n"/>
      <c r="J190" s="13" t="n"/>
      <c r="K190" s="13" t="n"/>
      <c r="L190" s="16" t="n"/>
      <c r="M190" s="16" t="n"/>
      <c r="N190" s="16" t="n"/>
      <c r="O190" s="13">
        <f>IF(OR(H190="",M190="ملغي"),0,H190*'حاسبة التسعير'!$B$19)</f>
        <v/>
      </c>
      <c r="P190" s="13">
        <f>IF(OR(I190="",M190="ملغي"),0,I190+J190-K190-O190)</f>
        <v/>
      </c>
      <c r="Q190" s="16" t="n"/>
    </row>
    <row r="191">
      <c r="A191" s="16" t="n"/>
      <c r="B191" s="20" t="n"/>
      <c r="C191" s="16" t="n"/>
      <c r="D191" s="16" t="n"/>
      <c r="E191" s="16" t="n"/>
      <c r="F191" s="16" t="n"/>
      <c r="G191" s="16" t="n"/>
      <c r="H191" s="16" t="n"/>
      <c r="I191" s="13" t="n"/>
      <c r="J191" s="13" t="n"/>
      <c r="K191" s="13" t="n"/>
      <c r="L191" s="16" t="n"/>
      <c r="M191" s="16" t="n"/>
      <c r="N191" s="16" t="n"/>
      <c r="O191" s="13">
        <f>IF(OR(H191="",M191="ملغي"),0,H191*'حاسبة التسعير'!$B$19)</f>
        <v/>
      </c>
      <c r="P191" s="13">
        <f>IF(OR(I191="",M191="ملغي"),0,I191+J191-K191-O191)</f>
        <v/>
      </c>
      <c r="Q191" s="16" t="n"/>
    </row>
    <row r="192">
      <c r="A192" s="16" t="n"/>
      <c r="B192" s="20" t="n"/>
      <c r="C192" s="16" t="n"/>
      <c r="D192" s="16" t="n"/>
      <c r="E192" s="16" t="n"/>
      <c r="F192" s="16" t="n"/>
      <c r="G192" s="16" t="n"/>
      <c r="H192" s="16" t="n"/>
      <c r="I192" s="13" t="n"/>
      <c r="J192" s="13" t="n"/>
      <c r="K192" s="13" t="n"/>
      <c r="L192" s="16" t="n"/>
      <c r="M192" s="16" t="n"/>
      <c r="N192" s="16" t="n"/>
      <c r="O192" s="13">
        <f>IF(OR(H192="",M192="ملغي"),0,H192*'حاسبة التسعير'!$B$19)</f>
        <v/>
      </c>
      <c r="P192" s="13">
        <f>IF(OR(I192="",M192="ملغي"),0,I192+J192-K192-O192)</f>
        <v/>
      </c>
      <c r="Q192" s="16" t="n"/>
    </row>
    <row r="193">
      <c r="A193" s="16" t="n"/>
      <c r="B193" s="20" t="n"/>
      <c r="C193" s="16" t="n"/>
      <c r="D193" s="16" t="n"/>
      <c r="E193" s="16" t="n"/>
      <c r="F193" s="16" t="n"/>
      <c r="G193" s="16" t="n"/>
      <c r="H193" s="16" t="n"/>
      <c r="I193" s="13" t="n"/>
      <c r="J193" s="13" t="n"/>
      <c r="K193" s="13" t="n"/>
      <c r="L193" s="16" t="n"/>
      <c r="M193" s="16" t="n"/>
      <c r="N193" s="16" t="n"/>
      <c r="O193" s="13">
        <f>IF(OR(H193="",M193="ملغي"),0,H193*'حاسبة التسعير'!$B$19)</f>
        <v/>
      </c>
      <c r="P193" s="13">
        <f>IF(OR(I193="",M193="ملغي"),0,I193+J193-K193-O193)</f>
        <v/>
      </c>
      <c r="Q193" s="16" t="n"/>
    </row>
    <row r="194">
      <c r="A194" s="16" t="n"/>
      <c r="B194" s="20" t="n"/>
      <c r="C194" s="16" t="n"/>
      <c r="D194" s="16" t="n"/>
      <c r="E194" s="16" t="n"/>
      <c r="F194" s="16" t="n"/>
      <c r="G194" s="16" t="n"/>
      <c r="H194" s="16" t="n"/>
      <c r="I194" s="13" t="n"/>
      <c r="J194" s="13" t="n"/>
      <c r="K194" s="13" t="n"/>
      <c r="L194" s="16" t="n"/>
      <c r="M194" s="16" t="n"/>
      <c r="N194" s="16" t="n"/>
      <c r="O194" s="13">
        <f>IF(OR(H194="",M194="ملغي"),0,H194*'حاسبة التسعير'!$B$19)</f>
        <v/>
      </c>
      <c r="P194" s="13">
        <f>IF(OR(I194="",M194="ملغي"),0,I194+J194-K194-O194)</f>
        <v/>
      </c>
      <c r="Q194" s="16" t="n"/>
    </row>
    <row r="195">
      <c r="A195" s="16" t="n"/>
      <c r="B195" s="20" t="n"/>
      <c r="C195" s="16" t="n"/>
      <c r="D195" s="16" t="n"/>
      <c r="E195" s="16" t="n"/>
      <c r="F195" s="16" t="n"/>
      <c r="G195" s="16" t="n"/>
      <c r="H195" s="16" t="n"/>
      <c r="I195" s="13" t="n"/>
      <c r="J195" s="13" t="n"/>
      <c r="K195" s="13" t="n"/>
      <c r="L195" s="16" t="n"/>
      <c r="M195" s="16" t="n"/>
      <c r="N195" s="16" t="n"/>
      <c r="O195" s="13">
        <f>IF(OR(H195="",M195="ملغي"),0,H195*'حاسبة التسعير'!$B$19)</f>
        <v/>
      </c>
      <c r="P195" s="13">
        <f>IF(OR(I195="",M195="ملغي"),0,I195+J195-K195-O195)</f>
        <v/>
      </c>
      <c r="Q195" s="16" t="n"/>
    </row>
    <row r="196">
      <c r="A196" s="16" t="n"/>
      <c r="B196" s="20" t="n"/>
      <c r="C196" s="16" t="n"/>
      <c r="D196" s="16" t="n"/>
      <c r="E196" s="16" t="n"/>
      <c r="F196" s="16" t="n"/>
      <c r="G196" s="16" t="n"/>
      <c r="H196" s="16" t="n"/>
      <c r="I196" s="13" t="n"/>
      <c r="J196" s="13" t="n"/>
      <c r="K196" s="13" t="n"/>
      <c r="L196" s="16" t="n"/>
      <c r="M196" s="16" t="n"/>
      <c r="N196" s="16" t="n"/>
      <c r="O196" s="13">
        <f>IF(OR(H196="",M196="ملغي"),0,H196*'حاسبة التسعير'!$B$19)</f>
        <v/>
      </c>
      <c r="P196" s="13">
        <f>IF(OR(I196="",M196="ملغي"),0,I196+J196-K196-O196)</f>
        <v/>
      </c>
      <c r="Q196" s="16" t="n"/>
    </row>
    <row r="197">
      <c r="A197" s="16" t="n"/>
      <c r="B197" s="20" t="n"/>
      <c r="C197" s="16" t="n"/>
      <c r="D197" s="16" t="n"/>
      <c r="E197" s="16" t="n"/>
      <c r="F197" s="16" t="n"/>
      <c r="G197" s="16" t="n"/>
      <c r="H197" s="16" t="n"/>
      <c r="I197" s="13" t="n"/>
      <c r="J197" s="13" t="n"/>
      <c r="K197" s="13" t="n"/>
      <c r="L197" s="16" t="n"/>
      <c r="M197" s="16" t="n"/>
      <c r="N197" s="16" t="n"/>
      <c r="O197" s="13">
        <f>IF(OR(H197="",M197="ملغي"),0,H197*'حاسبة التسعير'!$B$19)</f>
        <v/>
      </c>
      <c r="P197" s="13">
        <f>IF(OR(I197="",M197="ملغي"),0,I197+J197-K197-O197)</f>
        <v/>
      </c>
      <c r="Q197" s="16" t="n"/>
    </row>
    <row r="198">
      <c r="A198" s="16" t="n"/>
      <c r="B198" s="20" t="n"/>
      <c r="C198" s="16" t="n"/>
      <c r="D198" s="16" t="n"/>
      <c r="E198" s="16" t="n"/>
      <c r="F198" s="16" t="n"/>
      <c r="G198" s="16" t="n"/>
      <c r="H198" s="16" t="n"/>
      <c r="I198" s="13" t="n"/>
      <c r="J198" s="13" t="n"/>
      <c r="K198" s="13" t="n"/>
      <c r="L198" s="16" t="n"/>
      <c r="M198" s="16" t="n"/>
      <c r="N198" s="16" t="n"/>
      <c r="O198" s="13">
        <f>IF(OR(H198="",M198="ملغي"),0,H198*'حاسبة التسعير'!$B$19)</f>
        <v/>
      </c>
      <c r="P198" s="13">
        <f>IF(OR(I198="",M198="ملغي"),0,I198+J198-K198-O198)</f>
        <v/>
      </c>
      <c r="Q198" s="16" t="n"/>
    </row>
    <row r="199">
      <c r="A199" s="16" t="n"/>
      <c r="B199" s="20" t="n"/>
      <c r="C199" s="16" t="n"/>
      <c r="D199" s="16" t="n"/>
      <c r="E199" s="16" t="n"/>
      <c r="F199" s="16" t="n"/>
      <c r="G199" s="16" t="n"/>
      <c r="H199" s="16" t="n"/>
      <c r="I199" s="13" t="n"/>
      <c r="J199" s="13" t="n"/>
      <c r="K199" s="13" t="n"/>
      <c r="L199" s="16" t="n"/>
      <c r="M199" s="16" t="n"/>
      <c r="N199" s="16" t="n"/>
      <c r="O199" s="13">
        <f>IF(OR(H199="",M199="ملغي"),0,H199*'حاسبة التسعير'!$B$19)</f>
        <v/>
      </c>
      <c r="P199" s="13">
        <f>IF(OR(I199="",M199="ملغي"),0,I199+J199-K199-O199)</f>
        <v/>
      </c>
      <c r="Q199" s="16" t="n"/>
    </row>
    <row r="200">
      <c r="A200" s="16" t="n"/>
      <c r="B200" s="20" t="n"/>
      <c r="C200" s="16" t="n"/>
      <c r="D200" s="16" t="n"/>
      <c r="E200" s="16" t="n"/>
      <c r="F200" s="16" t="n"/>
      <c r="G200" s="16" t="n"/>
      <c r="H200" s="16" t="n"/>
      <c r="I200" s="13" t="n"/>
      <c r="J200" s="13" t="n"/>
      <c r="K200" s="13" t="n"/>
      <c r="L200" s="16" t="n"/>
      <c r="M200" s="16" t="n"/>
      <c r="N200" s="16" t="n"/>
      <c r="O200" s="13">
        <f>IF(OR(H200="",M200="ملغي"),0,H200*'حاسبة التسعير'!$B$19)</f>
        <v/>
      </c>
      <c r="P200" s="13">
        <f>IF(OR(I200="",M200="ملغي"),0,I200+J200-K200-O200)</f>
        <v/>
      </c>
      <c r="Q200" s="16" t="n"/>
    </row>
    <row r="201">
      <c r="A201" s="16" t="n"/>
      <c r="B201" s="20" t="n"/>
      <c r="C201" s="16" t="n"/>
      <c r="D201" s="16" t="n"/>
      <c r="E201" s="16" t="n"/>
      <c r="F201" s="16" t="n"/>
      <c r="G201" s="16" t="n"/>
      <c r="H201" s="16" t="n"/>
      <c r="I201" s="13" t="n"/>
      <c r="J201" s="13" t="n"/>
      <c r="K201" s="13" t="n"/>
      <c r="L201" s="16" t="n"/>
      <c r="M201" s="16" t="n"/>
      <c r="N201" s="16" t="n"/>
      <c r="O201" s="13">
        <f>IF(OR(H201="",M201="ملغي"),0,H201*'حاسبة التسعير'!$B$19)</f>
        <v/>
      </c>
      <c r="P201" s="13">
        <f>IF(OR(I201="",M201="ملغي"),0,I201+J201-K201-O201)</f>
        <v/>
      </c>
      <c r="Q201" s="16" t="n"/>
    </row>
    <row r="202">
      <c r="A202" s="16" t="n"/>
      <c r="B202" s="20" t="n"/>
      <c r="C202" s="16" t="n"/>
      <c r="D202" s="16" t="n"/>
      <c r="E202" s="16" t="n"/>
      <c r="F202" s="16" t="n"/>
      <c r="G202" s="16" t="n"/>
      <c r="H202" s="16" t="n"/>
      <c r="I202" s="13" t="n"/>
      <c r="J202" s="13" t="n"/>
      <c r="K202" s="13" t="n"/>
      <c r="L202" s="16" t="n"/>
      <c r="M202" s="16" t="n"/>
      <c r="N202" s="16" t="n"/>
      <c r="O202" s="13">
        <f>IF(OR(H202="",M202="ملغي"),0,H202*'حاسبة التسعير'!$B$19)</f>
        <v/>
      </c>
      <c r="P202" s="13">
        <f>IF(OR(I202="",M202="ملغي"),0,I202+J202-K202-O202)</f>
        <v/>
      </c>
      <c r="Q202" s="16" t="n"/>
    </row>
    <row r="203">
      <c r="A203" s="16" t="n"/>
      <c r="B203" s="20" t="n"/>
      <c r="C203" s="16" t="n"/>
      <c r="D203" s="16" t="n"/>
      <c r="E203" s="16" t="n"/>
      <c r="F203" s="16" t="n"/>
      <c r="G203" s="16" t="n"/>
      <c r="H203" s="16" t="n"/>
      <c r="I203" s="13" t="n"/>
      <c r="J203" s="13" t="n"/>
      <c r="K203" s="13" t="n"/>
      <c r="L203" s="16" t="n"/>
      <c r="M203" s="16" t="n"/>
      <c r="N203" s="16" t="n"/>
      <c r="O203" s="13">
        <f>IF(OR(H203="",M203="ملغي"),0,H203*'حاسبة التسعير'!$B$19)</f>
        <v/>
      </c>
      <c r="P203" s="13">
        <f>IF(OR(I203="",M203="ملغي"),0,I203+J203-K203-O203)</f>
        <v/>
      </c>
      <c r="Q203" s="16" t="n"/>
    </row>
    <row r="204">
      <c r="A204" s="16" t="n"/>
      <c r="B204" s="20" t="n"/>
      <c r="C204" s="16" t="n"/>
      <c r="D204" s="16" t="n"/>
      <c r="E204" s="16" t="n"/>
      <c r="F204" s="16" t="n"/>
      <c r="G204" s="16" t="n"/>
      <c r="H204" s="16" t="n"/>
      <c r="I204" s="13" t="n"/>
      <c r="J204" s="13" t="n"/>
      <c r="K204" s="13" t="n"/>
      <c r="L204" s="16" t="n"/>
      <c r="M204" s="16" t="n"/>
      <c r="N204" s="16" t="n"/>
      <c r="O204" s="13">
        <f>IF(OR(H204="",M204="ملغي"),0,H204*'حاسبة التسعير'!$B$19)</f>
        <v/>
      </c>
      <c r="P204" s="13">
        <f>IF(OR(I204="",M204="ملغي"),0,I204+J204-K204-O204)</f>
        <v/>
      </c>
      <c r="Q204" s="16" t="n"/>
    </row>
    <row r="205">
      <c r="A205" s="16" t="n"/>
      <c r="B205" s="20" t="n"/>
      <c r="C205" s="16" t="n"/>
      <c r="D205" s="16" t="n"/>
      <c r="E205" s="16" t="n"/>
      <c r="F205" s="16" t="n"/>
      <c r="G205" s="16" t="n"/>
      <c r="H205" s="16" t="n"/>
      <c r="I205" s="13" t="n"/>
      <c r="J205" s="13" t="n"/>
      <c r="K205" s="13" t="n"/>
      <c r="L205" s="16" t="n"/>
      <c r="M205" s="16" t="n"/>
      <c r="N205" s="16" t="n"/>
      <c r="O205" s="13">
        <f>IF(OR(H205="",M205="ملغي"),0,H205*'حاسبة التسعير'!$B$19)</f>
        <v/>
      </c>
      <c r="P205" s="13">
        <f>IF(OR(I205="",M205="ملغي"),0,I205+J205-K205-O205)</f>
        <v/>
      </c>
      <c r="Q205" s="16" t="n"/>
    </row>
    <row r="206">
      <c r="A206" s="16" t="n"/>
      <c r="B206" s="20" t="n"/>
      <c r="C206" s="16" t="n"/>
      <c r="D206" s="16" t="n"/>
      <c r="E206" s="16" t="n"/>
      <c r="F206" s="16" t="n"/>
      <c r="G206" s="16" t="n"/>
      <c r="H206" s="16" t="n"/>
      <c r="I206" s="13" t="n"/>
      <c r="J206" s="13" t="n"/>
      <c r="K206" s="13" t="n"/>
      <c r="L206" s="16" t="n"/>
      <c r="M206" s="16" t="n"/>
      <c r="N206" s="16" t="n"/>
      <c r="O206" s="13">
        <f>IF(OR(H206="",M206="ملغي"),0,H206*'حاسبة التسعير'!$B$19)</f>
        <v/>
      </c>
      <c r="P206" s="13">
        <f>IF(OR(I206="",M206="ملغي"),0,I206+J206-K206-O206)</f>
        <v/>
      </c>
      <c r="Q206" s="16" t="n"/>
    </row>
    <row r="207">
      <c r="A207" s="16" t="n"/>
      <c r="B207" s="20" t="n"/>
      <c r="C207" s="16" t="n"/>
      <c r="D207" s="16" t="n"/>
      <c r="E207" s="16" t="n"/>
      <c r="F207" s="16" t="n"/>
      <c r="G207" s="16" t="n"/>
      <c r="H207" s="16" t="n"/>
      <c r="I207" s="13" t="n"/>
      <c r="J207" s="13" t="n"/>
      <c r="K207" s="13" t="n"/>
      <c r="L207" s="16" t="n"/>
      <c r="M207" s="16" t="n"/>
      <c r="N207" s="16" t="n"/>
      <c r="O207" s="13">
        <f>IF(OR(H207="",M207="ملغي"),0,H207*'حاسبة التسعير'!$B$19)</f>
        <v/>
      </c>
      <c r="P207" s="13">
        <f>IF(OR(I207="",M207="ملغي"),0,I207+J207-K207-O207)</f>
        <v/>
      </c>
      <c r="Q207" s="16" t="n"/>
    </row>
    <row r="208">
      <c r="A208" s="16" t="n"/>
      <c r="B208" s="20" t="n"/>
      <c r="C208" s="16" t="n"/>
      <c r="D208" s="16" t="n"/>
      <c r="E208" s="16" t="n"/>
      <c r="F208" s="16" t="n"/>
      <c r="G208" s="16" t="n"/>
      <c r="H208" s="16" t="n"/>
      <c r="I208" s="13" t="n"/>
      <c r="J208" s="13" t="n"/>
      <c r="K208" s="13" t="n"/>
      <c r="L208" s="16" t="n"/>
      <c r="M208" s="16" t="n"/>
      <c r="N208" s="16" t="n"/>
      <c r="O208" s="13">
        <f>IF(OR(H208="",M208="ملغي"),0,H208*'حاسبة التسعير'!$B$19)</f>
        <v/>
      </c>
      <c r="P208" s="13">
        <f>IF(OR(I208="",M208="ملغي"),0,I208+J208-K208-O208)</f>
        <v/>
      </c>
      <c r="Q208" s="16" t="n"/>
    </row>
    <row r="209">
      <c r="A209" s="16" t="n"/>
      <c r="B209" s="20" t="n"/>
      <c r="C209" s="16" t="n"/>
      <c r="D209" s="16" t="n"/>
      <c r="E209" s="16" t="n"/>
      <c r="F209" s="16" t="n"/>
      <c r="G209" s="16" t="n"/>
      <c r="H209" s="16" t="n"/>
      <c r="I209" s="13" t="n"/>
      <c r="J209" s="13" t="n"/>
      <c r="K209" s="13" t="n"/>
      <c r="L209" s="16" t="n"/>
      <c r="M209" s="16" t="n"/>
      <c r="N209" s="16" t="n"/>
      <c r="O209" s="13">
        <f>IF(OR(H209="",M209="ملغي"),0,H209*'حاسبة التسعير'!$B$19)</f>
        <v/>
      </c>
      <c r="P209" s="13">
        <f>IF(OR(I209="",M209="ملغي"),0,I209+J209-K209-O209)</f>
        <v/>
      </c>
      <c r="Q209" s="16" t="n"/>
    </row>
    <row r="210">
      <c r="A210" s="16" t="n"/>
      <c r="B210" s="20" t="n"/>
      <c r="C210" s="16" t="n"/>
      <c r="D210" s="16" t="n"/>
      <c r="E210" s="16" t="n"/>
      <c r="F210" s="16" t="n"/>
      <c r="G210" s="16" t="n"/>
      <c r="H210" s="16" t="n"/>
      <c r="I210" s="13" t="n"/>
      <c r="J210" s="13" t="n"/>
      <c r="K210" s="13" t="n"/>
      <c r="L210" s="16" t="n"/>
      <c r="M210" s="16" t="n"/>
      <c r="N210" s="16" t="n"/>
      <c r="O210" s="13">
        <f>IF(OR(H210="",M210="ملغي"),0,H210*'حاسبة التسعير'!$B$19)</f>
        <v/>
      </c>
      <c r="P210" s="13">
        <f>IF(OR(I210="",M210="ملغي"),0,I210+J210-K210-O210)</f>
        <v/>
      </c>
      <c r="Q210" s="16" t="n"/>
    </row>
    <row r="211">
      <c r="A211" s="16" t="n"/>
      <c r="B211" s="20" t="n"/>
      <c r="C211" s="16" t="n"/>
      <c r="D211" s="16" t="n"/>
      <c r="E211" s="16" t="n"/>
      <c r="F211" s="16" t="n"/>
      <c r="G211" s="16" t="n"/>
      <c r="H211" s="16" t="n"/>
      <c r="I211" s="13" t="n"/>
      <c r="J211" s="13" t="n"/>
      <c r="K211" s="13" t="n"/>
      <c r="L211" s="16" t="n"/>
      <c r="M211" s="16" t="n"/>
      <c r="N211" s="16" t="n"/>
      <c r="O211" s="13">
        <f>IF(OR(H211="",M211="ملغي"),0,H211*'حاسبة التسعير'!$B$19)</f>
        <v/>
      </c>
      <c r="P211" s="13">
        <f>IF(OR(I211="",M211="ملغي"),0,I211+J211-K211-O211)</f>
        <v/>
      </c>
      <c r="Q211" s="16" t="n"/>
    </row>
    <row r="212">
      <c r="A212" s="16" t="n"/>
      <c r="B212" s="20" t="n"/>
      <c r="C212" s="16" t="n"/>
      <c r="D212" s="16" t="n"/>
      <c r="E212" s="16" t="n"/>
      <c r="F212" s="16" t="n"/>
      <c r="G212" s="16" t="n"/>
      <c r="H212" s="16" t="n"/>
      <c r="I212" s="13" t="n"/>
      <c r="J212" s="13" t="n"/>
      <c r="K212" s="13" t="n"/>
      <c r="L212" s="16" t="n"/>
      <c r="M212" s="16" t="n"/>
      <c r="N212" s="16" t="n"/>
      <c r="O212" s="13">
        <f>IF(OR(H212="",M212="ملغي"),0,H212*'حاسبة التسعير'!$B$19)</f>
        <v/>
      </c>
      <c r="P212" s="13">
        <f>IF(OR(I212="",M212="ملغي"),0,I212+J212-K212-O212)</f>
        <v/>
      </c>
      <c r="Q212" s="16" t="n"/>
    </row>
    <row r="213">
      <c r="A213" s="16" t="n"/>
      <c r="B213" s="20" t="n"/>
      <c r="C213" s="16" t="n"/>
      <c r="D213" s="16" t="n"/>
      <c r="E213" s="16" t="n"/>
      <c r="F213" s="16" t="n"/>
      <c r="G213" s="16" t="n"/>
      <c r="H213" s="16" t="n"/>
      <c r="I213" s="13" t="n"/>
      <c r="J213" s="13" t="n"/>
      <c r="K213" s="13" t="n"/>
      <c r="L213" s="16" t="n"/>
      <c r="M213" s="16" t="n"/>
      <c r="N213" s="16" t="n"/>
      <c r="O213" s="13">
        <f>IF(OR(H213="",M213="ملغي"),0,H213*'حاسبة التسعير'!$B$19)</f>
        <v/>
      </c>
      <c r="P213" s="13">
        <f>IF(OR(I213="",M213="ملغي"),0,I213+J213-K213-O213)</f>
        <v/>
      </c>
      <c r="Q213" s="16" t="n"/>
    </row>
    <row r="214">
      <c r="A214" s="16" t="n"/>
      <c r="B214" s="20" t="n"/>
      <c r="C214" s="16" t="n"/>
      <c r="D214" s="16" t="n"/>
      <c r="E214" s="16" t="n"/>
      <c r="F214" s="16" t="n"/>
      <c r="G214" s="16" t="n"/>
      <c r="H214" s="16" t="n"/>
      <c r="I214" s="13" t="n"/>
      <c r="J214" s="13" t="n"/>
      <c r="K214" s="13" t="n"/>
      <c r="L214" s="16" t="n"/>
      <c r="M214" s="16" t="n"/>
      <c r="N214" s="16" t="n"/>
      <c r="O214" s="13">
        <f>IF(OR(H214="",M214="ملغي"),0,H214*'حاسبة التسعير'!$B$19)</f>
        <v/>
      </c>
      <c r="P214" s="13">
        <f>IF(OR(I214="",M214="ملغي"),0,I214+J214-K214-O214)</f>
        <v/>
      </c>
      <c r="Q214" s="16" t="n"/>
    </row>
    <row r="215">
      <c r="A215" s="16" t="n"/>
      <c r="B215" s="20" t="n"/>
      <c r="C215" s="16" t="n"/>
      <c r="D215" s="16" t="n"/>
      <c r="E215" s="16" t="n"/>
      <c r="F215" s="16" t="n"/>
      <c r="G215" s="16" t="n"/>
      <c r="H215" s="16" t="n"/>
      <c r="I215" s="13" t="n"/>
      <c r="J215" s="13" t="n"/>
      <c r="K215" s="13" t="n"/>
      <c r="L215" s="16" t="n"/>
      <c r="M215" s="16" t="n"/>
      <c r="N215" s="16" t="n"/>
      <c r="O215" s="13">
        <f>IF(OR(H215="",M215="ملغي"),0,H215*'حاسبة التسعير'!$B$19)</f>
        <v/>
      </c>
      <c r="P215" s="13">
        <f>IF(OR(I215="",M215="ملغي"),0,I215+J215-K215-O215)</f>
        <v/>
      </c>
      <c r="Q215" s="16" t="n"/>
    </row>
    <row r="216">
      <c r="A216" s="16" t="n"/>
      <c r="B216" s="20" t="n"/>
      <c r="C216" s="16" t="n"/>
      <c r="D216" s="16" t="n"/>
      <c r="E216" s="16" t="n"/>
      <c r="F216" s="16" t="n"/>
      <c r="G216" s="16" t="n"/>
      <c r="H216" s="16" t="n"/>
      <c r="I216" s="13" t="n"/>
      <c r="J216" s="13" t="n"/>
      <c r="K216" s="13" t="n"/>
      <c r="L216" s="16" t="n"/>
      <c r="M216" s="16" t="n"/>
      <c r="N216" s="16" t="n"/>
      <c r="O216" s="13">
        <f>IF(OR(H216="",M216="ملغي"),0,H216*'حاسبة التسعير'!$B$19)</f>
        <v/>
      </c>
      <c r="P216" s="13">
        <f>IF(OR(I216="",M216="ملغي"),0,I216+J216-K216-O216)</f>
        <v/>
      </c>
      <c r="Q216" s="16" t="n"/>
    </row>
    <row r="217">
      <c r="A217" s="16" t="n"/>
      <c r="B217" s="20" t="n"/>
      <c r="C217" s="16" t="n"/>
      <c r="D217" s="16" t="n"/>
      <c r="E217" s="16" t="n"/>
      <c r="F217" s="16" t="n"/>
      <c r="G217" s="16" t="n"/>
      <c r="H217" s="16" t="n"/>
      <c r="I217" s="13" t="n"/>
      <c r="J217" s="13" t="n"/>
      <c r="K217" s="13" t="n"/>
      <c r="L217" s="16" t="n"/>
      <c r="M217" s="16" t="n"/>
      <c r="N217" s="16" t="n"/>
      <c r="O217" s="13">
        <f>IF(OR(H217="",M217="ملغي"),0,H217*'حاسبة التسعير'!$B$19)</f>
        <v/>
      </c>
      <c r="P217" s="13">
        <f>IF(OR(I217="",M217="ملغي"),0,I217+J217-K217-O217)</f>
        <v/>
      </c>
      <c r="Q217" s="16" t="n"/>
    </row>
    <row r="218">
      <c r="A218" s="16" t="n"/>
      <c r="B218" s="20" t="n"/>
      <c r="C218" s="16" t="n"/>
      <c r="D218" s="16" t="n"/>
      <c r="E218" s="16" t="n"/>
      <c r="F218" s="16" t="n"/>
      <c r="G218" s="16" t="n"/>
      <c r="H218" s="16" t="n"/>
      <c r="I218" s="13" t="n"/>
      <c r="J218" s="13" t="n"/>
      <c r="K218" s="13" t="n"/>
      <c r="L218" s="16" t="n"/>
      <c r="M218" s="16" t="n"/>
      <c r="N218" s="16" t="n"/>
      <c r="O218" s="13">
        <f>IF(OR(H218="",M218="ملغي"),0,H218*'حاسبة التسعير'!$B$19)</f>
        <v/>
      </c>
      <c r="P218" s="13">
        <f>IF(OR(I218="",M218="ملغي"),0,I218+J218-K218-O218)</f>
        <v/>
      </c>
      <c r="Q218" s="16" t="n"/>
    </row>
    <row r="219">
      <c r="A219" s="16" t="n"/>
      <c r="B219" s="20" t="n"/>
      <c r="C219" s="16" t="n"/>
      <c r="D219" s="16" t="n"/>
      <c r="E219" s="16" t="n"/>
      <c r="F219" s="16" t="n"/>
      <c r="G219" s="16" t="n"/>
      <c r="H219" s="16" t="n"/>
      <c r="I219" s="13" t="n"/>
      <c r="J219" s="13" t="n"/>
      <c r="K219" s="13" t="n"/>
      <c r="L219" s="16" t="n"/>
      <c r="M219" s="16" t="n"/>
      <c r="N219" s="16" t="n"/>
      <c r="O219" s="13">
        <f>IF(OR(H219="",M219="ملغي"),0,H219*'حاسبة التسعير'!$B$19)</f>
        <v/>
      </c>
      <c r="P219" s="13">
        <f>IF(OR(I219="",M219="ملغي"),0,I219+J219-K219-O219)</f>
        <v/>
      </c>
      <c r="Q219" s="16" t="n"/>
    </row>
    <row r="220">
      <c r="A220" s="16" t="n"/>
      <c r="B220" s="20" t="n"/>
      <c r="C220" s="16" t="n"/>
      <c r="D220" s="16" t="n"/>
      <c r="E220" s="16" t="n"/>
      <c r="F220" s="16" t="n"/>
      <c r="G220" s="16" t="n"/>
      <c r="H220" s="16" t="n"/>
      <c r="I220" s="13" t="n"/>
      <c r="J220" s="13" t="n"/>
      <c r="K220" s="13" t="n"/>
      <c r="L220" s="16" t="n"/>
      <c r="M220" s="16" t="n"/>
      <c r="N220" s="16" t="n"/>
      <c r="O220" s="13">
        <f>IF(OR(H220="",M220="ملغي"),0,H220*'حاسبة التسعير'!$B$19)</f>
        <v/>
      </c>
      <c r="P220" s="13">
        <f>IF(OR(I220="",M220="ملغي"),0,I220+J220-K220-O220)</f>
        <v/>
      </c>
      <c r="Q220" s="16" t="n"/>
    </row>
    <row r="221">
      <c r="A221" s="16" t="n"/>
      <c r="B221" s="20" t="n"/>
      <c r="C221" s="16" t="n"/>
      <c r="D221" s="16" t="n"/>
      <c r="E221" s="16" t="n"/>
      <c r="F221" s="16" t="n"/>
      <c r="G221" s="16" t="n"/>
      <c r="H221" s="16" t="n"/>
      <c r="I221" s="13" t="n"/>
      <c r="J221" s="13" t="n"/>
      <c r="K221" s="13" t="n"/>
      <c r="L221" s="16" t="n"/>
      <c r="M221" s="16" t="n"/>
      <c r="N221" s="16" t="n"/>
      <c r="O221" s="13">
        <f>IF(OR(H221="",M221="ملغي"),0,H221*'حاسبة التسعير'!$B$19)</f>
        <v/>
      </c>
      <c r="P221" s="13">
        <f>IF(OR(I221="",M221="ملغي"),0,I221+J221-K221-O221)</f>
        <v/>
      </c>
      <c r="Q221" s="16" t="n"/>
    </row>
    <row r="222">
      <c r="A222" s="16" t="n"/>
      <c r="B222" s="20" t="n"/>
      <c r="C222" s="16" t="n"/>
      <c r="D222" s="16" t="n"/>
      <c r="E222" s="16" t="n"/>
      <c r="F222" s="16" t="n"/>
      <c r="G222" s="16" t="n"/>
      <c r="H222" s="16" t="n"/>
      <c r="I222" s="13" t="n"/>
      <c r="J222" s="13" t="n"/>
      <c r="K222" s="13" t="n"/>
      <c r="L222" s="16" t="n"/>
      <c r="M222" s="16" t="n"/>
      <c r="N222" s="16" t="n"/>
      <c r="O222" s="13">
        <f>IF(OR(H222="",M222="ملغي"),0,H222*'حاسبة التسعير'!$B$19)</f>
        <v/>
      </c>
      <c r="P222" s="13">
        <f>IF(OR(I222="",M222="ملغي"),0,I222+J222-K222-O222)</f>
        <v/>
      </c>
      <c r="Q222" s="16" t="n"/>
    </row>
    <row r="223">
      <c r="A223" s="16" t="n"/>
      <c r="B223" s="20" t="n"/>
      <c r="C223" s="16" t="n"/>
      <c r="D223" s="16" t="n"/>
      <c r="E223" s="16" t="n"/>
      <c r="F223" s="16" t="n"/>
      <c r="G223" s="16" t="n"/>
      <c r="H223" s="16" t="n"/>
      <c r="I223" s="13" t="n"/>
      <c r="J223" s="13" t="n"/>
      <c r="K223" s="13" t="n"/>
      <c r="L223" s="16" t="n"/>
      <c r="M223" s="16" t="n"/>
      <c r="N223" s="16" t="n"/>
      <c r="O223" s="13">
        <f>IF(OR(H223="",M223="ملغي"),0,H223*'حاسبة التسعير'!$B$19)</f>
        <v/>
      </c>
      <c r="P223" s="13">
        <f>IF(OR(I223="",M223="ملغي"),0,I223+J223-K223-O223)</f>
        <v/>
      </c>
      <c r="Q223" s="16" t="n"/>
    </row>
    <row r="224">
      <c r="A224" s="16" t="n"/>
      <c r="B224" s="20" t="n"/>
      <c r="C224" s="16" t="n"/>
      <c r="D224" s="16" t="n"/>
      <c r="E224" s="16" t="n"/>
      <c r="F224" s="16" t="n"/>
      <c r="G224" s="16" t="n"/>
      <c r="H224" s="16" t="n"/>
      <c r="I224" s="13" t="n"/>
      <c r="J224" s="13" t="n"/>
      <c r="K224" s="13" t="n"/>
      <c r="L224" s="16" t="n"/>
      <c r="M224" s="16" t="n"/>
      <c r="N224" s="16" t="n"/>
      <c r="O224" s="13">
        <f>IF(OR(H224="",M224="ملغي"),0,H224*'حاسبة التسعير'!$B$19)</f>
        <v/>
      </c>
      <c r="P224" s="13">
        <f>IF(OR(I224="",M224="ملغي"),0,I224+J224-K224-O224)</f>
        <v/>
      </c>
      <c r="Q224" s="16" t="n"/>
    </row>
    <row r="225">
      <c r="A225" s="16" t="n"/>
      <c r="B225" s="20" t="n"/>
      <c r="C225" s="16" t="n"/>
      <c r="D225" s="16" t="n"/>
      <c r="E225" s="16" t="n"/>
      <c r="F225" s="16" t="n"/>
      <c r="G225" s="16" t="n"/>
      <c r="H225" s="16" t="n"/>
      <c r="I225" s="13" t="n"/>
      <c r="J225" s="13" t="n"/>
      <c r="K225" s="13" t="n"/>
      <c r="L225" s="16" t="n"/>
      <c r="M225" s="16" t="n"/>
      <c r="N225" s="16" t="n"/>
      <c r="O225" s="13">
        <f>IF(OR(H225="",M225="ملغي"),0,H225*'حاسبة التسعير'!$B$19)</f>
        <v/>
      </c>
      <c r="P225" s="13">
        <f>IF(OR(I225="",M225="ملغي"),0,I225+J225-K225-O225)</f>
        <v/>
      </c>
      <c r="Q225" s="16" t="n"/>
    </row>
    <row r="226">
      <c r="A226" s="16" t="n"/>
      <c r="B226" s="20" t="n"/>
      <c r="C226" s="16" t="n"/>
      <c r="D226" s="16" t="n"/>
      <c r="E226" s="16" t="n"/>
      <c r="F226" s="16" t="n"/>
      <c r="G226" s="16" t="n"/>
      <c r="H226" s="16" t="n"/>
      <c r="I226" s="13" t="n"/>
      <c r="J226" s="13" t="n"/>
      <c r="K226" s="13" t="n"/>
      <c r="L226" s="16" t="n"/>
      <c r="M226" s="16" t="n"/>
      <c r="N226" s="16" t="n"/>
      <c r="O226" s="13">
        <f>IF(OR(H226="",M226="ملغي"),0,H226*'حاسبة التسعير'!$B$19)</f>
        <v/>
      </c>
      <c r="P226" s="13">
        <f>IF(OR(I226="",M226="ملغي"),0,I226+J226-K226-O226)</f>
        <v/>
      </c>
      <c r="Q226" s="16" t="n"/>
    </row>
    <row r="227">
      <c r="A227" s="16" t="n"/>
      <c r="B227" s="20" t="n"/>
      <c r="C227" s="16" t="n"/>
      <c r="D227" s="16" t="n"/>
      <c r="E227" s="16" t="n"/>
      <c r="F227" s="16" t="n"/>
      <c r="G227" s="16" t="n"/>
      <c r="H227" s="16" t="n"/>
      <c r="I227" s="13" t="n"/>
      <c r="J227" s="13" t="n"/>
      <c r="K227" s="13" t="n"/>
      <c r="L227" s="16" t="n"/>
      <c r="M227" s="16" t="n"/>
      <c r="N227" s="16" t="n"/>
      <c r="O227" s="13">
        <f>IF(OR(H227="",M227="ملغي"),0,H227*'حاسبة التسعير'!$B$19)</f>
        <v/>
      </c>
      <c r="P227" s="13">
        <f>IF(OR(I227="",M227="ملغي"),0,I227+J227-K227-O227)</f>
        <v/>
      </c>
      <c r="Q227" s="16" t="n"/>
    </row>
    <row r="228">
      <c r="A228" s="16" t="n"/>
      <c r="B228" s="20" t="n"/>
      <c r="C228" s="16" t="n"/>
      <c r="D228" s="16" t="n"/>
      <c r="E228" s="16" t="n"/>
      <c r="F228" s="16" t="n"/>
      <c r="G228" s="16" t="n"/>
      <c r="H228" s="16" t="n"/>
      <c r="I228" s="13" t="n"/>
      <c r="J228" s="13" t="n"/>
      <c r="K228" s="13" t="n"/>
      <c r="L228" s="16" t="n"/>
      <c r="M228" s="16" t="n"/>
      <c r="N228" s="16" t="n"/>
      <c r="O228" s="13">
        <f>IF(OR(H228="",M228="ملغي"),0,H228*'حاسبة التسعير'!$B$19)</f>
        <v/>
      </c>
      <c r="P228" s="13">
        <f>IF(OR(I228="",M228="ملغي"),0,I228+J228-K228-O228)</f>
        <v/>
      </c>
      <c r="Q228" s="16" t="n"/>
    </row>
    <row r="229">
      <c r="A229" s="16" t="n"/>
      <c r="B229" s="20" t="n"/>
      <c r="C229" s="16" t="n"/>
      <c r="D229" s="16" t="n"/>
      <c r="E229" s="16" t="n"/>
      <c r="F229" s="16" t="n"/>
      <c r="G229" s="16" t="n"/>
      <c r="H229" s="16" t="n"/>
      <c r="I229" s="13" t="n"/>
      <c r="J229" s="13" t="n"/>
      <c r="K229" s="13" t="n"/>
      <c r="L229" s="16" t="n"/>
      <c r="M229" s="16" t="n"/>
      <c r="N229" s="16" t="n"/>
      <c r="O229" s="13">
        <f>IF(OR(H229="",M229="ملغي"),0,H229*'حاسبة التسعير'!$B$19)</f>
        <v/>
      </c>
      <c r="P229" s="13">
        <f>IF(OR(I229="",M229="ملغي"),0,I229+J229-K229-O229)</f>
        <v/>
      </c>
      <c r="Q229" s="16" t="n"/>
    </row>
    <row r="230">
      <c r="A230" s="16" t="n"/>
      <c r="B230" s="20" t="n"/>
      <c r="C230" s="16" t="n"/>
      <c r="D230" s="16" t="n"/>
      <c r="E230" s="16" t="n"/>
      <c r="F230" s="16" t="n"/>
      <c r="G230" s="16" t="n"/>
      <c r="H230" s="16" t="n"/>
      <c r="I230" s="13" t="n"/>
      <c r="J230" s="13" t="n"/>
      <c r="K230" s="13" t="n"/>
      <c r="L230" s="16" t="n"/>
      <c r="M230" s="16" t="n"/>
      <c r="N230" s="16" t="n"/>
      <c r="O230" s="13">
        <f>IF(OR(H230="",M230="ملغي"),0,H230*'حاسبة التسعير'!$B$19)</f>
        <v/>
      </c>
      <c r="P230" s="13">
        <f>IF(OR(I230="",M230="ملغي"),0,I230+J230-K230-O230)</f>
        <v/>
      </c>
      <c r="Q230" s="16" t="n"/>
    </row>
    <row r="231">
      <c r="A231" s="16" t="n"/>
      <c r="B231" s="20" t="n"/>
      <c r="C231" s="16" t="n"/>
      <c r="D231" s="16" t="n"/>
      <c r="E231" s="16" t="n"/>
      <c r="F231" s="16" t="n"/>
      <c r="G231" s="16" t="n"/>
      <c r="H231" s="16" t="n"/>
      <c r="I231" s="13" t="n"/>
      <c r="J231" s="13" t="n"/>
      <c r="K231" s="13" t="n"/>
      <c r="L231" s="16" t="n"/>
      <c r="M231" s="16" t="n"/>
      <c r="N231" s="16" t="n"/>
      <c r="O231" s="13">
        <f>IF(OR(H231="",M231="ملغي"),0,H231*'حاسبة التسعير'!$B$19)</f>
        <v/>
      </c>
      <c r="P231" s="13">
        <f>IF(OR(I231="",M231="ملغي"),0,I231+J231-K231-O231)</f>
        <v/>
      </c>
      <c r="Q231" s="16" t="n"/>
    </row>
    <row r="232">
      <c r="A232" s="16" t="n"/>
      <c r="B232" s="20" t="n"/>
      <c r="C232" s="16" t="n"/>
      <c r="D232" s="16" t="n"/>
      <c r="E232" s="16" t="n"/>
      <c r="F232" s="16" t="n"/>
      <c r="G232" s="16" t="n"/>
      <c r="H232" s="16" t="n"/>
      <c r="I232" s="13" t="n"/>
      <c r="J232" s="13" t="n"/>
      <c r="K232" s="13" t="n"/>
      <c r="L232" s="16" t="n"/>
      <c r="M232" s="16" t="n"/>
      <c r="N232" s="16" t="n"/>
      <c r="O232" s="13">
        <f>IF(OR(H232="",M232="ملغي"),0,H232*'حاسبة التسعير'!$B$19)</f>
        <v/>
      </c>
      <c r="P232" s="13">
        <f>IF(OR(I232="",M232="ملغي"),0,I232+J232-K232-O232)</f>
        <v/>
      </c>
      <c r="Q232" s="16" t="n"/>
    </row>
    <row r="233">
      <c r="A233" s="16" t="n"/>
      <c r="B233" s="20" t="n"/>
      <c r="C233" s="16" t="n"/>
      <c r="D233" s="16" t="n"/>
      <c r="E233" s="16" t="n"/>
      <c r="F233" s="16" t="n"/>
      <c r="G233" s="16" t="n"/>
      <c r="H233" s="16" t="n"/>
      <c r="I233" s="13" t="n"/>
      <c r="J233" s="13" t="n"/>
      <c r="K233" s="13" t="n"/>
      <c r="L233" s="16" t="n"/>
      <c r="M233" s="16" t="n"/>
      <c r="N233" s="16" t="n"/>
      <c r="O233" s="13">
        <f>IF(OR(H233="",M233="ملغي"),0,H233*'حاسبة التسعير'!$B$19)</f>
        <v/>
      </c>
      <c r="P233" s="13">
        <f>IF(OR(I233="",M233="ملغي"),0,I233+J233-K233-O233)</f>
        <v/>
      </c>
      <c r="Q233" s="16" t="n"/>
    </row>
    <row r="234">
      <c r="A234" s="16" t="n"/>
      <c r="B234" s="20" t="n"/>
      <c r="C234" s="16" t="n"/>
      <c r="D234" s="16" t="n"/>
      <c r="E234" s="16" t="n"/>
      <c r="F234" s="16" t="n"/>
      <c r="G234" s="16" t="n"/>
      <c r="H234" s="16" t="n"/>
      <c r="I234" s="13" t="n"/>
      <c r="J234" s="13" t="n"/>
      <c r="K234" s="13" t="n"/>
      <c r="L234" s="16" t="n"/>
      <c r="M234" s="16" t="n"/>
      <c r="N234" s="16" t="n"/>
      <c r="O234" s="13">
        <f>IF(OR(H234="",M234="ملغي"),0,H234*'حاسبة التسعير'!$B$19)</f>
        <v/>
      </c>
      <c r="P234" s="13">
        <f>IF(OR(I234="",M234="ملغي"),0,I234+J234-K234-O234)</f>
        <v/>
      </c>
      <c r="Q234" s="16" t="n"/>
    </row>
    <row r="235">
      <c r="A235" s="16" t="n"/>
      <c r="B235" s="20" t="n"/>
      <c r="C235" s="16" t="n"/>
      <c r="D235" s="16" t="n"/>
      <c r="E235" s="16" t="n"/>
      <c r="F235" s="16" t="n"/>
      <c r="G235" s="16" t="n"/>
      <c r="H235" s="16" t="n"/>
      <c r="I235" s="13" t="n"/>
      <c r="J235" s="13" t="n"/>
      <c r="K235" s="13" t="n"/>
      <c r="L235" s="16" t="n"/>
      <c r="M235" s="16" t="n"/>
      <c r="N235" s="16" t="n"/>
      <c r="O235" s="13">
        <f>IF(OR(H235="",M235="ملغي"),0,H235*'حاسبة التسعير'!$B$19)</f>
        <v/>
      </c>
      <c r="P235" s="13">
        <f>IF(OR(I235="",M235="ملغي"),0,I235+J235-K235-O235)</f>
        <v/>
      </c>
      <c r="Q235" s="16" t="n"/>
    </row>
    <row r="236">
      <c r="A236" s="16" t="n"/>
      <c r="B236" s="20" t="n"/>
      <c r="C236" s="16" t="n"/>
      <c r="D236" s="16" t="n"/>
      <c r="E236" s="16" t="n"/>
      <c r="F236" s="16" t="n"/>
      <c r="G236" s="16" t="n"/>
      <c r="H236" s="16" t="n"/>
      <c r="I236" s="13" t="n"/>
      <c r="J236" s="13" t="n"/>
      <c r="K236" s="13" t="n"/>
      <c r="L236" s="16" t="n"/>
      <c r="M236" s="16" t="n"/>
      <c r="N236" s="16" t="n"/>
      <c r="O236" s="13">
        <f>IF(OR(H236="",M236="ملغي"),0,H236*'حاسبة التسعير'!$B$19)</f>
        <v/>
      </c>
      <c r="P236" s="13">
        <f>IF(OR(I236="",M236="ملغي"),0,I236+J236-K236-O236)</f>
        <v/>
      </c>
      <c r="Q236" s="16" t="n"/>
    </row>
    <row r="237">
      <c r="A237" s="16" t="n"/>
      <c r="B237" s="20" t="n"/>
      <c r="C237" s="16" t="n"/>
      <c r="D237" s="16" t="n"/>
      <c r="E237" s="16" t="n"/>
      <c r="F237" s="16" t="n"/>
      <c r="G237" s="16" t="n"/>
      <c r="H237" s="16" t="n"/>
      <c r="I237" s="13" t="n"/>
      <c r="J237" s="13" t="n"/>
      <c r="K237" s="13" t="n"/>
      <c r="L237" s="16" t="n"/>
      <c r="M237" s="16" t="n"/>
      <c r="N237" s="16" t="n"/>
      <c r="O237" s="13">
        <f>IF(OR(H237="",M237="ملغي"),0,H237*'حاسبة التسعير'!$B$19)</f>
        <v/>
      </c>
      <c r="P237" s="13">
        <f>IF(OR(I237="",M237="ملغي"),0,I237+J237-K237-O237)</f>
        <v/>
      </c>
      <c r="Q237" s="16" t="n"/>
    </row>
    <row r="238">
      <c r="A238" s="16" t="n"/>
      <c r="B238" s="20" t="n"/>
      <c r="C238" s="16" t="n"/>
      <c r="D238" s="16" t="n"/>
      <c r="E238" s="16" t="n"/>
      <c r="F238" s="16" t="n"/>
      <c r="G238" s="16" t="n"/>
      <c r="H238" s="16" t="n"/>
      <c r="I238" s="13" t="n"/>
      <c r="J238" s="13" t="n"/>
      <c r="K238" s="13" t="n"/>
      <c r="L238" s="16" t="n"/>
      <c r="M238" s="16" t="n"/>
      <c r="N238" s="16" t="n"/>
      <c r="O238" s="13">
        <f>IF(OR(H238="",M238="ملغي"),0,H238*'حاسبة التسعير'!$B$19)</f>
        <v/>
      </c>
      <c r="P238" s="13">
        <f>IF(OR(I238="",M238="ملغي"),0,I238+J238-K238-O238)</f>
        <v/>
      </c>
      <c r="Q238" s="16" t="n"/>
    </row>
    <row r="239">
      <c r="A239" s="16" t="n"/>
      <c r="B239" s="20" t="n"/>
      <c r="C239" s="16" t="n"/>
      <c r="D239" s="16" t="n"/>
      <c r="E239" s="16" t="n"/>
      <c r="F239" s="16" t="n"/>
      <c r="G239" s="16" t="n"/>
      <c r="H239" s="16" t="n"/>
      <c r="I239" s="13" t="n"/>
      <c r="J239" s="13" t="n"/>
      <c r="K239" s="13" t="n"/>
      <c r="L239" s="16" t="n"/>
      <c r="M239" s="16" t="n"/>
      <c r="N239" s="16" t="n"/>
      <c r="O239" s="13">
        <f>IF(OR(H239="",M239="ملغي"),0,H239*'حاسبة التسعير'!$B$19)</f>
        <v/>
      </c>
      <c r="P239" s="13">
        <f>IF(OR(I239="",M239="ملغي"),0,I239+J239-K239-O239)</f>
        <v/>
      </c>
      <c r="Q239" s="16" t="n"/>
    </row>
    <row r="240">
      <c r="A240" s="16" t="n"/>
      <c r="B240" s="20" t="n"/>
      <c r="C240" s="16" t="n"/>
      <c r="D240" s="16" t="n"/>
      <c r="E240" s="16" t="n"/>
      <c r="F240" s="16" t="n"/>
      <c r="G240" s="16" t="n"/>
      <c r="H240" s="16" t="n"/>
      <c r="I240" s="13" t="n"/>
      <c r="J240" s="13" t="n"/>
      <c r="K240" s="13" t="n"/>
      <c r="L240" s="16" t="n"/>
      <c r="M240" s="16" t="n"/>
      <c r="N240" s="16" t="n"/>
      <c r="O240" s="13">
        <f>IF(OR(H240="",M240="ملغي"),0,H240*'حاسبة التسعير'!$B$19)</f>
        <v/>
      </c>
      <c r="P240" s="13">
        <f>IF(OR(I240="",M240="ملغي"),0,I240+J240-K240-O240)</f>
        <v/>
      </c>
      <c r="Q240" s="16" t="n"/>
    </row>
    <row r="241">
      <c r="A241" s="16" t="n"/>
      <c r="B241" s="20" t="n"/>
      <c r="C241" s="16" t="n"/>
      <c r="D241" s="16" t="n"/>
      <c r="E241" s="16" t="n"/>
      <c r="F241" s="16" t="n"/>
      <c r="G241" s="16" t="n"/>
      <c r="H241" s="16" t="n"/>
      <c r="I241" s="13" t="n"/>
      <c r="J241" s="13" t="n"/>
      <c r="K241" s="13" t="n"/>
      <c r="L241" s="16" t="n"/>
      <c r="M241" s="16" t="n"/>
      <c r="N241" s="16" t="n"/>
      <c r="O241" s="13">
        <f>IF(OR(H241="",M241="ملغي"),0,H241*'حاسبة التسعير'!$B$19)</f>
        <v/>
      </c>
      <c r="P241" s="13">
        <f>IF(OR(I241="",M241="ملغي"),0,I241+J241-K241-O241)</f>
        <v/>
      </c>
      <c r="Q241" s="16" t="n"/>
    </row>
    <row r="242">
      <c r="A242" s="16" t="n"/>
      <c r="B242" s="20" t="n"/>
      <c r="C242" s="16" t="n"/>
      <c r="D242" s="16" t="n"/>
      <c r="E242" s="16" t="n"/>
      <c r="F242" s="16" t="n"/>
      <c r="G242" s="16" t="n"/>
      <c r="H242" s="16" t="n"/>
      <c r="I242" s="13" t="n"/>
      <c r="J242" s="13" t="n"/>
      <c r="K242" s="13" t="n"/>
      <c r="L242" s="16" t="n"/>
      <c r="M242" s="16" t="n"/>
      <c r="N242" s="16" t="n"/>
      <c r="O242" s="13">
        <f>IF(OR(H242="",M242="ملغي"),0,H242*'حاسبة التسعير'!$B$19)</f>
        <v/>
      </c>
      <c r="P242" s="13">
        <f>IF(OR(I242="",M242="ملغي"),0,I242+J242-K242-O242)</f>
        <v/>
      </c>
      <c r="Q242" s="16" t="n"/>
    </row>
    <row r="243">
      <c r="A243" s="16" t="n"/>
      <c r="B243" s="20" t="n"/>
      <c r="C243" s="16" t="n"/>
      <c r="D243" s="16" t="n"/>
      <c r="E243" s="16" t="n"/>
      <c r="F243" s="16" t="n"/>
      <c r="G243" s="16" t="n"/>
      <c r="H243" s="16" t="n"/>
      <c r="I243" s="13" t="n"/>
      <c r="J243" s="13" t="n"/>
      <c r="K243" s="13" t="n"/>
      <c r="L243" s="16" t="n"/>
      <c r="M243" s="16" t="n"/>
      <c r="N243" s="16" t="n"/>
      <c r="O243" s="13">
        <f>IF(OR(H243="",M243="ملغي"),0,H243*'حاسبة التسعير'!$B$19)</f>
        <v/>
      </c>
      <c r="P243" s="13">
        <f>IF(OR(I243="",M243="ملغي"),0,I243+J243-K243-O243)</f>
        <v/>
      </c>
      <c r="Q243" s="16" t="n"/>
    </row>
    <row r="244">
      <c r="A244" s="16" t="n"/>
      <c r="B244" s="20" t="n"/>
      <c r="C244" s="16" t="n"/>
      <c r="D244" s="16" t="n"/>
      <c r="E244" s="16" t="n"/>
      <c r="F244" s="16" t="n"/>
      <c r="G244" s="16" t="n"/>
      <c r="H244" s="16" t="n"/>
      <c r="I244" s="13" t="n"/>
      <c r="J244" s="13" t="n"/>
      <c r="K244" s="13" t="n"/>
      <c r="L244" s="16" t="n"/>
      <c r="M244" s="16" t="n"/>
      <c r="N244" s="16" t="n"/>
      <c r="O244" s="13">
        <f>IF(OR(H244="",M244="ملغي"),0,H244*'حاسبة التسعير'!$B$19)</f>
        <v/>
      </c>
      <c r="P244" s="13">
        <f>IF(OR(I244="",M244="ملغي"),0,I244+J244-K244-O244)</f>
        <v/>
      </c>
      <c r="Q244" s="16" t="n"/>
    </row>
    <row r="245">
      <c r="A245" s="16" t="n"/>
      <c r="B245" s="20" t="n"/>
      <c r="C245" s="16" t="n"/>
      <c r="D245" s="16" t="n"/>
      <c r="E245" s="16" t="n"/>
      <c r="F245" s="16" t="n"/>
      <c r="G245" s="16" t="n"/>
      <c r="H245" s="16" t="n"/>
      <c r="I245" s="13" t="n"/>
      <c r="J245" s="13" t="n"/>
      <c r="K245" s="13" t="n"/>
      <c r="L245" s="16" t="n"/>
      <c r="M245" s="16" t="n"/>
      <c r="N245" s="16" t="n"/>
      <c r="O245" s="13">
        <f>IF(OR(H245="",M245="ملغي"),0,H245*'حاسبة التسعير'!$B$19)</f>
        <v/>
      </c>
      <c r="P245" s="13">
        <f>IF(OR(I245="",M245="ملغي"),0,I245+J245-K245-O245)</f>
        <v/>
      </c>
      <c r="Q245" s="16" t="n"/>
    </row>
    <row r="246">
      <c r="A246" s="16" t="n"/>
      <c r="B246" s="20" t="n"/>
      <c r="C246" s="16" t="n"/>
      <c r="D246" s="16" t="n"/>
      <c r="E246" s="16" t="n"/>
      <c r="F246" s="16" t="n"/>
      <c r="G246" s="16" t="n"/>
      <c r="H246" s="16" t="n"/>
      <c r="I246" s="13" t="n"/>
      <c r="J246" s="13" t="n"/>
      <c r="K246" s="13" t="n"/>
      <c r="L246" s="16" t="n"/>
      <c r="M246" s="16" t="n"/>
      <c r="N246" s="16" t="n"/>
      <c r="O246" s="13">
        <f>IF(OR(H246="",M246="ملغي"),0,H246*'حاسبة التسعير'!$B$19)</f>
        <v/>
      </c>
      <c r="P246" s="13">
        <f>IF(OR(I246="",M246="ملغي"),0,I246+J246-K246-O246)</f>
        <v/>
      </c>
      <c r="Q246" s="16" t="n"/>
    </row>
    <row r="247">
      <c r="A247" s="16" t="n"/>
      <c r="B247" s="20" t="n"/>
      <c r="C247" s="16" t="n"/>
      <c r="D247" s="16" t="n"/>
      <c r="E247" s="16" t="n"/>
      <c r="F247" s="16" t="n"/>
      <c r="G247" s="16" t="n"/>
      <c r="H247" s="16" t="n"/>
      <c r="I247" s="13" t="n"/>
      <c r="J247" s="13" t="n"/>
      <c r="K247" s="13" t="n"/>
      <c r="L247" s="16" t="n"/>
      <c r="M247" s="16" t="n"/>
      <c r="N247" s="16" t="n"/>
      <c r="O247" s="13">
        <f>IF(OR(H247="",M247="ملغي"),0,H247*'حاسبة التسعير'!$B$19)</f>
        <v/>
      </c>
      <c r="P247" s="13">
        <f>IF(OR(I247="",M247="ملغي"),0,I247+J247-K247-O247)</f>
        <v/>
      </c>
      <c r="Q247" s="16" t="n"/>
    </row>
    <row r="248">
      <c r="A248" s="16" t="n"/>
      <c r="B248" s="20" t="n"/>
      <c r="C248" s="16" t="n"/>
      <c r="D248" s="16" t="n"/>
      <c r="E248" s="16" t="n"/>
      <c r="F248" s="16" t="n"/>
      <c r="G248" s="16" t="n"/>
      <c r="H248" s="16" t="n"/>
      <c r="I248" s="13" t="n"/>
      <c r="J248" s="13" t="n"/>
      <c r="K248" s="13" t="n"/>
      <c r="L248" s="16" t="n"/>
      <c r="M248" s="16" t="n"/>
      <c r="N248" s="16" t="n"/>
      <c r="O248" s="13">
        <f>IF(OR(H248="",M248="ملغي"),0,H248*'حاسبة التسعير'!$B$19)</f>
        <v/>
      </c>
      <c r="P248" s="13">
        <f>IF(OR(I248="",M248="ملغي"),0,I248+J248-K248-O248)</f>
        <v/>
      </c>
      <c r="Q248" s="16" t="n"/>
    </row>
    <row r="249">
      <c r="A249" s="16" t="n"/>
      <c r="B249" s="20" t="n"/>
      <c r="C249" s="16" t="n"/>
      <c r="D249" s="16" t="n"/>
      <c r="E249" s="16" t="n"/>
      <c r="F249" s="16" t="n"/>
      <c r="G249" s="16" t="n"/>
      <c r="H249" s="16" t="n"/>
      <c r="I249" s="13" t="n"/>
      <c r="J249" s="13" t="n"/>
      <c r="K249" s="13" t="n"/>
      <c r="L249" s="16" t="n"/>
      <c r="M249" s="16" t="n"/>
      <c r="N249" s="16" t="n"/>
      <c r="O249" s="13">
        <f>IF(OR(H249="",M249="ملغي"),0,H249*'حاسبة التسعير'!$B$19)</f>
        <v/>
      </c>
      <c r="P249" s="13">
        <f>IF(OR(I249="",M249="ملغي"),0,I249+J249-K249-O249)</f>
        <v/>
      </c>
      <c r="Q249" s="16" t="n"/>
    </row>
    <row r="250">
      <c r="A250" s="16" t="n"/>
      <c r="B250" s="20" t="n"/>
      <c r="C250" s="16" t="n"/>
      <c r="D250" s="16" t="n"/>
      <c r="E250" s="16" t="n"/>
      <c r="F250" s="16" t="n"/>
      <c r="G250" s="16" t="n"/>
      <c r="H250" s="16" t="n"/>
      <c r="I250" s="13" t="n"/>
      <c r="J250" s="13" t="n"/>
      <c r="K250" s="13" t="n"/>
      <c r="L250" s="16" t="n"/>
      <c r="M250" s="16" t="n"/>
      <c r="N250" s="16" t="n"/>
      <c r="O250" s="13">
        <f>IF(OR(H250="",M250="ملغي"),0,H250*'حاسبة التسعير'!$B$19)</f>
        <v/>
      </c>
      <c r="P250" s="13">
        <f>IF(OR(I250="",M250="ملغي"),0,I250+J250-K250-O250)</f>
        <v/>
      </c>
      <c r="Q250" s="16" t="n"/>
    </row>
    <row r="251">
      <c r="A251" s="16" t="n"/>
      <c r="B251" s="20" t="n"/>
      <c r="C251" s="16" t="n"/>
      <c r="D251" s="16" t="n"/>
      <c r="E251" s="16" t="n"/>
      <c r="F251" s="16" t="n"/>
      <c r="G251" s="16" t="n"/>
      <c r="H251" s="16" t="n"/>
      <c r="I251" s="13" t="n"/>
      <c r="J251" s="13" t="n"/>
      <c r="K251" s="13" t="n"/>
      <c r="L251" s="16" t="n"/>
      <c r="M251" s="16" t="n"/>
      <c r="N251" s="16" t="n"/>
      <c r="O251" s="13">
        <f>IF(OR(H251="",M251="ملغي"),0,H251*'حاسبة التسعير'!$B$19)</f>
        <v/>
      </c>
      <c r="P251" s="13">
        <f>IF(OR(I251="",M251="ملغي"),0,I251+J251-K251-O251)</f>
        <v/>
      </c>
      <c r="Q251" s="16" t="n"/>
    </row>
    <row r="252">
      <c r="A252" s="16" t="n"/>
      <c r="B252" s="20" t="n"/>
      <c r="C252" s="16" t="n"/>
      <c r="D252" s="16" t="n"/>
      <c r="E252" s="16" t="n"/>
      <c r="F252" s="16" t="n"/>
      <c r="G252" s="16" t="n"/>
      <c r="H252" s="16" t="n"/>
      <c r="I252" s="13" t="n"/>
      <c r="J252" s="13" t="n"/>
      <c r="K252" s="13" t="n"/>
      <c r="L252" s="16" t="n"/>
      <c r="M252" s="16" t="n"/>
      <c r="N252" s="16" t="n"/>
      <c r="O252" s="13">
        <f>IF(OR(H252="",M252="ملغي"),0,H252*'حاسبة التسعير'!$B$19)</f>
        <v/>
      </c>
      <c r="P252" s="13">
        <f>IF(OR(I252="",M252="ملغي"),0,I252+J252-K252-O252)</f>
        <v/>
      </c>
      <c r="Q252" s="16" t="n"/>
    </row>
    <row r="253">
      <c r="A253" s="16" t="n"/>
      <c r="B253" s="20" t="n"/>
      <c r="C253" s="16" t="n"/>
      <c r="D253" s="16" t="n"/>
      <c r="E253" s="16" t="n"/>
      <c r="F253" s="16" t="n"/>
      <c r="G253" s="16" t="n"/>
      <c r="H253" s="16" t="n"/>
      <c r="I253" s="13" t="n"/>
      <c r="J253" s="13" t="n"/>
      <c r="K253" s="13" t="n"/>
      <c r="L253" s="16" t="n"/>
      <c r="M253" s="16" t="n"/>
      <c r="N253" s="16" t="n"/>
      <c r="O253" s="13">
        <f>IF(OR(H253="",M253="ملغي"),0,H253*'حاسبة التسعير'!$B$19)</f>
        <v/>
      </c>
      <c r="P253" s="13">
        <f>IF(OR(I253="",M253="ملغي"),0,I253+J253-K253-O253)</f>
        <v/>
      </c>
      <c r="Q253" s="16" t="n"/>
    </row>
    <row r="254">
      <c r="A254" s="16" t="n"/>
      <c r="B254" s="20" t="n"/>
      <c r="C254" s="16" t="n"/>
      <c r="D254" s="16" t="n"/>
      <c r="E254" s="16" t="n"/>
      <c r="F254" s="16" t="n"/>
      <c r="G254" s="16" t="n"/>
      <c r="H254" s="16" t="n"/>
      <c r="I254" s="13" t="n"/>
      <c r="J254" s="13" t="n"/>
      <c r="K254" s="13" t="n"/>
      <c r="L254" s="16" t="n"/>
      <c r="M254" s="16" t="n"/>
      <c r="N254" s="16" t="n"/>
      <c r="O254" s="13">
        <f>IF(OR(H254="",M254="ملغي"),0,H254*'حاسبة التسعير'!$B$19)</f>
        <v/>
      </c>
      <c r="P254" s="13">
        <f>IF(OR(I254="",M254="ملغي"),0,I254+J254-K254-O254)</f>
        <v/>
      </c>
      <c r="Q254" s="16" t="n"/>
    </row>
    <row r="255">
      <c r="A255" s="16" t="n"/>
      <c r="B255" s="20" t="n"/>
      <c r="C255" s="16" t="n"/>
      <c r="D255" s="16" t="n"/>
      <c r="E255" s="16" t="n"/>
      <c r="F255" s="16" t="n"/>
      <c r="G255" s="16" t="n"/>
      <c r="H255" s="16" t="n"/>
      <c r="I255" s="13" t="n"/>
      <c r="J255" s="13" t="n"/>
      <c r="K255" s="13" t="n"/>
      <c r="L255" s="16" t="n"/>
      <c r="M255" s="16" t="n"/>
      <c r="N255" s="16" t="n"/>
      <c r="O255" s="13">
        <f>IF(OR(H255="",M255="ملغي"),0,H255*'حاسبة التسعير'!$B$19)</f>
        <v/>
      </c>
      <c r="P255" s="13">
        <f>IF(OR(I255="",M255="ملغي"),0,I255+J255-K255-O255)</f>
        <v/>
      </c>
      <c r="Q255" s="16" t="n"/>
    </row>
    <row r="256">
      <c r="A256" s="16" t="n"/>
      <c r="B256" s="20" t="n"/>
      <c r="C256" s="16" t="n"/>
      <c r="D256" s="16" t="n"/>
      <c r="E256" s="16" t="n"/>
      <c r="F256" s="16" t="n"/>
      <c r="G256" s="16" t="n"/>
      <c r="H256" s="16" t="n"/>
      <c r="I256" s="13" t="n"/>
      <c r="J256" s="13" t="n"/>
      <c r="K256" s="13" t="n"/>
      <c r="L256" s="16" t="n"/>
      <c r="M256" s="16" t="n"/>
      <c r="N256" s="16" t="n"/>
      <c r="O256" s="13">
        <f>IF(OR(H256="",M256="ملغي"),0,H256*'حاسبة التسعير'!$B$19)</f>
        <v/>
      </c>
      <c r="P256" s="13">
        <f>IF(OR(I256="",M256="ملغي"),0,I256+J256-K256-O256)</f>
        <v/>
      </c>
      <c r="Q256" s="16" t="n"/>
    </row>
    <row r="257">
      <c r="A257" s="16" t="n"/>
      <c r="B257" s="20" t="n"/>
      <c r="C257" s="16" t="n"/>
      <c r="D257" s="16" t="n"/>
      <c r="E257" s="16" t="n"/>
      <c r="F257" s="16" t="n"/>
      <c r="G257" s="16" t="n"/>
      <c r="H257" s="16" t="n"/>
      <c r="I257" s="13" t="n"/>
      <c r="J257" s="13" t="n"/>
      <c r="K257" s="13" t="n"/>
      <c r="L257" s="16" t="n"/>
      <c r="M257" s="16" t="n"/>
      <c r="N257" s="16" t="n"/>
      <c r="O257" s="13">
        <f>IF(OR(H257="",M257="ملغي"),0,H257*'حاسبة التسعير'!$B$19)</f>
        <v/>
      </c>
      <c r="P257" s="13">
        <f>IF(OR(I257="",M257="ملغي"),0,I257+J257-K257-O257)</f>
        <v/>
      </c>
      <c r="Q257" s="16" t="n"/>
    </row>
    <row r="258">
      <c r="A258" s="16" t="n"/>
      <c r="B258" s="20" t="n"/>
      <c r="C258" s="16" t="n"/>
      <c r="D258" s="16" t="n"/>
      <c r="E258" s="16" t="n"/>
      <c r="F258" s="16" t="n"/>
      <c r="G258" s="16" t="n"/>
      <c r="H258" s="16" t="n"/>
      <c r="I258" s="13" t="n"/>
      <c r="J258" s="13" t="n"/>
      <c r="K258" s="13" t="n"/>
      <c r="L258" s="16" t="n"/>
      <c r="M258" s="16" t="n"/>
      <c r="N258" s="16" t="n"/>
      <c r="O258" s="13">
        <f>IF(OR(H258="",M258="ملغي"),0,H258*'حاسبة التسعير'!$B$19)</f>
        <v/>
      </c>
      <c r="P258" s="13">
        <f>IF(OR(I258="",M258="ملغي"),0,I258+J258-K258-O258)</f>
        <v/>
      </c>
      <c r="Q258" s="16" t="n"/>
    </row>
    <row r="259">
      <c r="A259" s="16" t="n"/>
      <c r="B259" s="20" t="n"/>
      <c r="C259" s="16" t="n"/>
      <c r="D259" s="16" t="n"/>
      <c r="E259" s="16" t="n"/>
      <c r="F259" s="16" t="n"/>
      <c r="G259" s="16" t="n"/>
      <c r="H259" s="16" t="n"/>
      <c r="I259" s="13" t="n"/>
      <c r="J259" s="13" t="n"/>
      <c r="K259" s="13" t="n"/>
      <c r="L259" s="16" t="n"/>
      <c r="M259" s="16" t="n"/>
      <c r="N259" s="16" t="n"/>
      <c r="O259" s="13">
        <f>IF(OR(H259="",M259="ملغي"),0,H259*'حاسبة التسعير'!$B$19)</f>
        <v/>
      </c>
      <c r="P259" s="13">
        <f>IF(OR(I259="",M259="ملغي"),0,I259+J259-K259-O259)</f>
        <v/>
      </c>
      <c r="Q259" s="16" t="n"/>
    </row>
    <row r="260">
      <c r="A260" s="16" t="n"/>
      <c r="B260" s="20" t="n"/>
      <c r="C260" s="16" t="n"/>
      <c r="D260" s="16" t="n"/>
      <c r="E260" s="16" t="n"/>
      <c r="F260" s="16" t="n"/>
      <c r="G260" s="16" t="n"/>
      <c r="H260" s="16" t="n"/>
      <c r="I260" s="13" t="n"/>
      <c r="J260" s="13" t="n"/>
      <c r="K260" s="13" t="n"/>
      <c r="L260" s="16" t="n"/>
      <c r="M260" s="16" t="n"/>
      <c r="N260" s="16" t="n"/>
      <c r="O260" s="13">
        <f>IF(OR(H260="",M260="ملغي"),0,H260*'حاسبة التسعير'!$B$19)</f>
        <v/>
      </c>
      <c r="P260" s="13">
        <f>IF(OR(I260="",M260="ملغي"),0,I260+J260-K260-O260)</f>
        <v/>
      </c>
      <c r="Q260" s="16" t="n"/>
    </row>
    <row r="261">
      <c r="A261" s="16" t="n"/>
      <c r="B261" s="20" t="n"/>
      <c r="C261" s="16" t="n"/>
      <c r="D261" s="16" t="n"/>
      <c r="E261" s="16" t="n"/>
      <c r="F261" s="16" t="n"/>
      <c r="G261" s="16" t="n"/>
      <c r="H261" s="16" t="n"/>
      <c r="I261" s="13" t="n"/>
      <c r="J261" s="13" t="n"/>
      <c r="K261" s="13" t="n"/>
      <c r="L261" s="16" t="n"/>
      <c r="M261" s="16" t="n"/>
      <c r="N261" s="16" t="n"/>
      <c r="O261" s="13">
        <f>IF(OR(H261="",M261="ملغي"),0,H261*'حاسبة التسعير'!$B$19)</f>
        <v/>
      </c>
      <c r="P261" s="13">
        <f>IF(OR(I261="",M261="ملغي"),0,I261+J261-K261-O261)</f>
        <v/>
      </c>
      <c r="Q261" s="16" t="n"/>
    </row>
    <row r="262">
      <c r="A262" s="16" t="n"/>
      <c r="B262" s="20" t="n"/>
      <c r="C262" s="16" t="n"/>
      <c r="D262" s="16" t="n"/>
      <c r="E262" s="16" t="n"/>
      <c r="F262" s="16" t="n"/>
      <c r="G262" s="16" t="n"/>
      <c r="H262" s="16" t="n"/>
      <c r="I262" s="13" t="n"/>
      <c r="J262" s="13" t="n"/>
      <c r="K262" s="13" t="n"/>
      <c r="L262" s="16" t="n"/>
      <c r="M262" s="16" t="n"/>
      <c r="N262" s="16" t="n"/>
      <c r="O262" s="13">
        <f>IF(OR(H262="",M262="ملغي"),0,H262*'حاسبة التسعير'!$B$19)</f>
        <v/>
      </c>
      <c r="P262" s="13">
        <f>IF(OR(I262="",M262="ملغي"),0,I262+J262-K262-O262)</f>
        <v/>
      </c>
      <c r="Q262" s="16" t="n"/>
    </row>
    <row r="263">
      <c r="A263" s="16" t="n"/>
      <c r="B263" s="20" t="n"/>
      <c r="C263" s="16" t="n"/>
      <c r="D263" s="16" t="n"/>
      <c r="E263" s="16" t="n"/>
      <c r="F263" s="16" t="n"/>
      <c r="G263" s="16" t="n"/>
      <c r="H263" s="16" t="n"/>
      <c r="I263" s="13" t="n"/>
      <c r="J263" s="13" t="n"/>
      <c r="K263" s="13" t="n"/>
      <c r="L263" s="16" t="n"/>
      <c r="M263" s="16" t="n"/>
      <c r="N263" s="16" t="n"/>
      <c r="O263" s="13">
        <f>IF(OR(H263="",M263="ملغي"),0,H263*'حاسبة التسعير'!$B$19)</f>
        <v/>
      </c>
      <c r="P263" s="13">
        <f>IF(OR(I263="",M263="ملغي"),0,I263+J263-K263-O263)</f>
        <v/>
      </c>
      <c r="Q263" s="16" t="n"/>
    </row>
    <row r="264">
      <c r="A264" s="16" t="n"/>
      <c r="B264" s="20" t="n"/>
      <c r="C264" s="16" t="n"/>
      <c r="D264" s="16" t="n"/>
      <c r="E264" s="16" t="n"/>
      <c r="F264" s="16" t="n"/>
      <c r="G264" s="16" t="n"/>
      <c r="H264" s="16" t="n"/>
      <c r="I264" s="13" t="n"/>
      <c r="J264" s="13" t="n"/>
      <c r="K264" s="13" t="n"/>
      <c r="L264" s="16" t="n"/>
      <c r="M264" s="16" t="n"/>
      <c r="N264" s="16" t="n"/>
      <c r="O264" s="13">
        <f>IF(OR(H264="",M264="ملغي"),0,H264*'حاسبة التسعير'!$B$19)</f>
        <v/>
      </c>
      <c r="P264" s="13">
        <f>IF(OR(I264="",M264="ملغي"),0,I264+J264-K264-O264)</f>
        <v/>
      </c>
      <c r="Q264" s="16" t="n"/>
    </row>
    <row r="265">
      <c r="A265" s="16" t="n"/>
      <c r="B265" s="20" t="n"/>
      <c r="C265" s="16" t="n"/>
      <c r="D265" s="16" t="n"/>
      <c r="E265" s="16" t="n"/>
      <c r="F265" s="16" t="n"/>
      <c r="G265" s="16" t="n"/>
      <c r="H265" s="16" t="n"/>
      <c r="I265" s="13" t="n"/>
      <c r="J265" s="13" t="n"/>
      <c r="K265" s="13" t="n"/>
      <c r="L265" s="16" t="n"/>
      <c r="M265" s="16" t="n"/>
      <c r="N265" s="16" t="n"/>
      <c r="O265" s="13">
        <f>IF(OR(H265="",M265="ملغي"),0,H265*'حاسبة التسعير'!$B$19)</f>
        <v/>
      </c>
      <c r="P265" s="13">
        <f>IF(OR(I265="",M265="ملغي"),0,I265+J265-K265-O265)</f>
        <v/>
      </c>
      <c r="Q265" s="16" t="n"/>
    </row>
    <row r="266">
      <c r="A266" s="16" t="n"/>
      <c r="B266" s="20" t="n"/>
      <c r="C266" s="16" t="n"/>
      <c r="D266" s="16" t="n"/>
      <c r="E266" s="16" t="n"/>
      <c r="F266" s="16" t="n"/>
      <c r="G266" s="16" t="n"/>
      <c r="H266" s="16" t="n"/>
      <c r="I266" s="13" t="n"/>
      <c r="J266" s="13" t="n"/>
      <c r="K266" s="13" t="n"/>
      <c r="L266" s="16" t="n"/>
      <c r="M266" s="16" t="n"/>
      <c r="N266" s="16" t="n"/>
      <c r="O266" s="13">
        <f>IF(OR(H266="",M266="ملغي"),0,H266*'حاسبة التسعير'!$B$19)</f>
        <v/>
      </c>
      <c r="P266" s="13">
        <f>IF(OR(I266="",M266="ملغي"),0,I266+J266-K266-O266)</f>
        <v/>
      </c>
      <c r="Q266" s="16" t="n"/>
    </row>
    <row r="267">
      <c r="A267" s="16" t="n"/>
      <c r="B267" s="20" t="n"/>
      <c r="C267" s="16" t="n"/>
      <c r="D267" s="16" t="n"/>
      <c r="E267" s="16" t="n"/>
      <c r="F267" s="16" t="n"/>
      <c r="G267" s="16" t="n"/>
      <c r="H267" s="16" t="n"/>
      <c r="I267" s="13" t="n"/>
      <c r="J267" s="13" t="n"/>
      <c r="K267" s="13" t="n"/>
      <c r="L267" s="16" t="n"/>
      <c r="M267" s="16" t="n"/>
      <c r="N267" s="16" t="n"/>
      <c r="O267" s="13">
        <f>IF(OR(H267="",M267="ملغي"),0,H267*'حاسبة التسعير'!$B$19)</f>
        <v/>
      </c>
      <c r="P267" s="13">
        <f>IF(OR(I267="",M267="ملغي"),0,I267+J267-K267-O267)</f>
        <v/>
      </c>
      <c r="Q267" s="16" t="n"/>
    </row>
    <row r="268">
      <c r="A268" s="16" t="n"/>
      <c r="B268" s="20" t="n"/>
      <c r="C268" s="16" t="n"/>
      <c r="D268" s="16" t="n"/>
      <c r="E268" s="16" t="n"/>
      <c r="F268" s="16" t="n"/>
      <c r="G268" s="16" t="n"/>
      <c r="H268" s="16" t="n"/>
      <c r="I268" s="13" t="n"/>
      <c r="J268" s="13" t="n"/>
      <c r="K268" s="13" t="n"/>
      <c r="L268" s="16" t="n"/>
      <c r="M268" s="16" t="n"/>
      <c r="N268" s="16" t="n"/>
      <c r="O268" s="13">
        <f>IF(OR(H268="",M268="ملغي"),0,H268*'حاسبة التسعير'!$B$19)</f>
        <v/>
      </c>
      <c r="P268" s="13">
        <f>IF(OR(I268="",M268="ملغي"),0,I268+J268-K268-O268)</f>
        <v/>
      </c>
      <c r="Q268" s="16" t="n"/>
    </row>
    <row r="269">
      <c r="A269" s="16" t="n"/>
      <c r="B269" s="20" t="n"/>
      <c r="C269" s="16" t="n"/>
      <c r="D269" s="16" t="n"/>
      <c r="E269" s="16" t="n"/>
      <c r="F269" s="16" t="n"/>
      <c r="G269" s="16" t="n"/>
      <c r="H269" s="16" t="n"/>
      <c r="I269" s="13" t="n"/>
      <c r="J269" s="13" t="n"/>
      <c r="K269" s="13" t="n"/>
      <c r="L269" s="16" t="n"/>
      <c r="M269" s="16" t="n"/>
      <c r="N269" s="16" t="n"/>
      <c r="O269" s="13">
        <f>IF(OR(H269="",M269="ملغي"),0,H269*'حاسبة التسعير'!$B$19)</f>
        <v/>
      </c>
      <c r="P269" s="13">
        <f>IF(OR(I269="",M269="ملغي"),0,I269+J269-K269-O269)</f>
        <v/>
      </c>
      <c r="Q269" s="16" t="n"/>
    </row>
    <row r="270">
      <c r="A270" s="16" t="n"/>
      <c r="B270" s="20" t="n"/>
      <c r="C270" s="16" t="n"/>
      <c r="D270" s="16" t="n"/>
      <c r="E270" s="16" t="n"/>
      <c r="F270" s="16" t="n"/>
      <c r="G270" s="16" t="n"/>
      <c r="H270" s="16" t="n"/>
      <c r="I270" s="13" t="n"/>
      <c r="J270" s="13" t="n"/>
      <c r="K270" s="13" t="n"/>
      <c r="L270" s="16" t="n"/>
      <c r="M270" s="16" t="n"/>
      <c r="N270" s="16" t="n"/>
      <c r="O270" s="13">
        <f>IF(OR(H270="",M270="ملغي"),0,H270*'حاسبة التسعير'!$B$19)</f>
        <v/>
      </c>
      <c r="P270" s="13">
        <f>IF(OR(I270="",M270="ملغي"),0,I270+J270-K270-O270)</f>
        <v/>
      </c>
      <c r="Q270" s="16" t="n"/>
    </row>
    <row r="271">
      <c r="A271" s="16" t="n"/>
      <c r="B271" s="20" t="n"/>
      <c r="C271" s="16" t="n"/>
      <c r="D271" s="16" t="n"/>
      <c r="E271" s="16" t="n"/>
      <c r="F271" s="16" t="n"/>
      <c r="G271" s="16" t="n"/>
      <c r="H271" s="16" t="n"/>
      <c r="I271" s="13" t="n"/>
      <c r="J271" s="13" t="n"/>
      <c r="K271" s="13" t="n"/>
      <c r="L271" s="16" t="n"/>
      <c r="M271" s="16" t="n"/>
      <c r="N271" s="16" t="n"/>
      <c r="O271" s="13">
        <f>IF(OR(H271="",M271="ملغي"),0,H271*'حاسبة التسعير'!$B$19)</f>
        <v/>
      </c>
      <c r="P271" s="13">
        <f>IF(OR(I271="",M271="ملغي"),0,I271+J271-K271-O271)</f>
        <v/>
      </c>
      <c r="Q271" s="16" t="n"/>
    </row>
    <row r="272">
      <c r="A272" s="16" t="n"/>
      <c r="B272" s="20" t="n"/>
      <c r="C272" s="16" t="n"/>
      <c r="D272" s="16" t="n"/>
      <c r="E272" s="16" t="n"/>
      <c r="F272" s="16" t="n"/>
      <c r="G272" s="16" t="n"/>
      <c r="H272" s="16" t="n"/>
      <c r="I272" s="13" t="n"/>
      <c r="J272" s="13" t="n"/>
      <c r="K272" s="13" t="n"/>
      <c r="L272" s="16" t="n"/>
      <c r="M272" s="16" t="n"/>
      <c r="N272" s="16" t="n"/>
      <c r="O272" s="13">
        <f>IF(OR(H272="",M272="ملغي"),0,H272*'حاسبة التسعير'!$B$19)</f>
        <v/>
      </c>
      <c r="P272" s="13">
        <f>IF(OR(I272="",M272="ملغي"),0,I272+J272-K272-O272)</f>
        <v/>
      </c>
      <c r="Q272" s="16" t="n"/>
    </row>
    <row r="273">
      <c r="A273" s="16" t="n"/>
      <c r="B273" s="20" t="n"/>
      <c r="C273" s="16" t="n"/>
      <c r="D273" s="16" t="n"/>
      <c r="E273" s="16" t="n"/>
      <c r="F273" s="16" t="n"/>
      <c r="G273" s="16" t="n"/>
      <c r="H273" s="16" t="n"/>
      <c r="I273" s="13" t="n"/>
      <c r="J273" s="13" t="n"/>
      <c r="K273" s="13" t="n"/>
      <c r="L273" s="16" t="n"/>
      <c r="M273" s="16" t="n"/>
      <c r="N273" s="16" t="n"/>
      <c r="O273" s="13">
        <f>IF(OR(H273="",M273="ملغي"),0,H273*'حاسبة التسعير'!$B$19)</f>
        <v/>
      </c>
      <c r="P273" s="13">
        <f>IF(OR(I273="",M273="ملغي"),0,I273+J273-K273-O273)</f>
        <v/>
      </c>
      <c r="Q273" s="16" t="n"/>
    </row>
    <row r="274">
      <c r="A274" s="16" t="n"/>
      <c r="B274" s="20" t="n"/>
      <c r="C274" s="16" t="n"/>
      <c r="D274" s="16" t="n"/>
      <c r="E274" s="16" t="n"/>
      <c r="F274" s="16" t="n"/>
      <c r="G274" s="16" t="n"/>
      <c r="H274" s="16" t="n"/>
      <c r="I274" s="13" t="n"/>
      <c r="J274" s="13" t="n"/>
      <c r="K274" s="13" t="n"/>
      <c r="L274" s="16" t="n"/>
      <c r="M274" s="16" t="n"/>
      <c r="N274" s="16" t="n"/>
      <c r="O274" s="13">
        <f>IF(OR(H274="",M274="ملغي"),0,H274*'حاسبة التسعير'!$B$19)</f>
        <v/>
      </c>
      <c r="P274" s="13">
        <f>IF(OR(I274="",M274="ملغي"),0,I274+J274-K274-O274)</f>
        <v/>
      </c>
      <c r="Q274" s="16" t="n"/>
    </row>
    <row r="275">
      <c r="A275" s="16" t="n"/>
      <c r="B275" s="20" t="n"/>
      <c r="C275" s="16" t="n"/>
      <c r="D275" s="16" t="n"/>
      <c r="E275" s="16" t="n"/>
      <c r="F275" s="16" t="n"/>
      <c r="G275" s="16" t="n"/>
      <c r="H275" s="16" t="n"/>
      <c r="I275" s="13" t="n"/>
      <c r="J275" s="13" t="n"/>
      <c r="K275" s="13" t="n"/>
      <c r="L275" s="16" t="n"/>
      <c r="M275" s="16" t="n"/>
      <c r="N275" s="16" t="n"/>
      <c r="O275" s="13">
        <f>IF(OR(H275="",M275="ملغي"),0,H275*'حاسبة التسعير'!$B$19)</f>
        <v/>
      </c>
      <c r="P275" s="13">
        <f>IF(OR(I275="",M275="ملغي"),0,I275+J275-K275-O275)</f>
        <v/>
      </c>
      <c r="Q275" s="16" t="n"/>
    </row>
    <row r="276">
      <c r="A276" s="16" t="n"/>
      <c r="B276" s="20" t="n"/>
      <c r="C276" s="16" t="n"/>
      <c r="D276" s="16" t="n"/>
      <c r="E276" s="16" t="n"/>
      <c r="F276" s="16" t="n"/>
      <c r="G276" s="16" t="n"/>
      <c r="H276" s="16" t="n"/>
      <c r="I276" s="13" t="n"/>
      <c r="J276" s="13" t="n"/>
      <c r="K276" s="13" t="n"/>
      <c r="L276" s="16" t="n"/>
      <c r="M276" s="16" t="n"/>
      <c r="N276" s="16" t="n"/>
      <c r="O276" s="13">
        <f>IF(OR(H276="",M276="ملغي"),0,H276*'حاسبة التسعير'!$B$19)</f>
        <v/>
      </c>
      <c r="P276" s="13">
        <f>IF(OR(I276="",M276="ملغي"),0,I276+J276-K276-O276)</f>
        <v/>
      </c>
      <c r="Q276" s="16" t="n"/>
    </row>
    <row r="277">
      <c r="A277" s="16" t="n"/>
      <c r="B277" s="20" t="n"/>
      <c r="C277" s="16" t="n"/>
      <c r="D277" s="16" t="n"/>
      <c r="E277" s="16" t="n"/>
      <c r="F277" s="16" t="n"/>
      <c r="G277" s="16" t="n"/>
      <c r="H277" s="16" t="n"/>
      <c r="I277" s="13" t="n"/>
      <c r="J277" s="13" t="n"/>
      <c r="K277" s="13" t="n"/>
      <c r="L277" s="16" t="n"/>
      <c r="M277" s="16" t="n"/>
      <c r="N277" s="16" t="n"/>
      <c r="O277" s="13">
        <f>IF(OR(H277="",M277="ملغي"),0,H277*'حاسبة التسعير'!$B$19)</f>
        <v/>
      </c>
      <c r="P277" s="13">
        <f>IF(OR(I277="",M277="ملغي"),0,I277+J277-K277-O277)</f>
        <v/>
      </c>
      <c r="Q277" s="16" t="n"/>
    </row>
    <row r="278">
      <c r="A278" s="16" t="n"/>
      <c r="B278" s="20" t="n"/>
      <c r="C278" s="16" t="n"/>
      <c r="D278" s="16" t="n"/>
      <c r="E278" s="16" t="n"/>
      <c r="F278" s="16" t="n"/>
      <c r="G278" s="16" t="n"/>
      <c r="H278" s="16" t="n"/>
      <c r="I278" s="13" t="n"/>
      <c r="J278" s="13" t="n"/>
      <c r="K278" s="13" t="n"/>
      <c r="L278" s="16" t="n"/>
      <c r="M278" s="16" t="n"/>
      <c r="N278" s="16" t="n"/>
      <c r="O278" s="13">
        <f>IF(OR(H278="",M278="ملغي"),0,H278*'حاسبة التسعير'!$B$19)</f>
        <v/>
      </c>
      <c r="P278" s="13">
        <f>IF(OR(I278="",M278="ملغي"),0,I278+J278-K278-O278)</f>
        <v/>
      </c>
      <c r="Q278" s="16" t="n"/>
    </row>
    <row r="279">
      <c r="A279" s="16" t="n"/>
      <c r="B279" s="20" t="n"/>
      <c r="C279" s="16" t="n"/>
      <c r="D279" s="16" t="n"/>
      <c r="E279" s="16" t="n"/>
      <c r="F279" s="16" t="n"/>
      <c r="G279" s="16" t="n"/>
      <c r="H279" s="16" t="n"/>
      <c r="I279" s="13" t="n"/>
      <c r="J279" s="13" t="n"/>
      <c r="K279" s="13" t="n"/>
      <c r="L279" s="16" t="n"/>
      <c r="M279" s="16" t="n"/>
      <c r="N279" s="16" t="n"/>
      <c r="O279" s="13">
        <f>IF(OR(H279="",M279="ملغي"),0,H279*'حاسبة التسعير'!$B$19)</f>
        <v/>
      </c>
      <c r="P279" s="13">
        <f>IF(OR(I279="",M279="ملغي"),0,I279+J279-K279-O279)</f>
        <v/>
      </c>
      <c r="Q279" s="16" t="n"/>
    </row>
    <row r="280">
      <c r="A280" s="16" t="n"/>
      <c r="B280" s="20" t="n"/>
      <c r="C280" s="16" t="n"/>
      <c r="D280" s="16" t="n"/>
      <c r="E280" s="16" t="n"/>
      <c r="F280" s="16" t="n"/>
      <c r="G280" s="16" t="n"/>
      <c r="H280" s="16" t="n"/>
      <c r="I280" s="13" t="n"/>
      <c r="J280" s="13" t="n"/>
      <c r="K280" s="13" t="n"/>
      <c r="L280" s="16" t="n"/>
      <c r="M280" s="16" t="n"/>
      <c r="N280" s="16" t="n"/>
      <c r="O280" s="13">
        <f>IF(OR(H280="",M280="ملغي"),0,H280*'حاسبة التسعير'!$B$19)</f>
        <v/>
      </c>
      <c r="P280" s="13">
        <f>IF(OR(I280="",M280="ملغي"),0,I280+J280-K280-O280)</f>
        <v/>
      </c>
      <c r="Q280" s="16" t="n"/>
    </row>
    <row r="281">
      <c r="A281" s="16" t="n"/>
      <c r="B281" s="20" t="n"/>
      <c r="C281" s="16" t="n"/>
      <c r="D281" s="16" t="n"/>
      <c r="E281" s="16" t="n"/>
      <c r="F281" s="16" t="n"/>
      <c r="G281" s="16" t="n"/>
      <c r="H281" s="16" t="n"/>
      <c r="I281" s="13" t="n"/>
      <c r="J281" s="13" t="n"/>
      <c r="K281" s="13" t="n"/>
      <c r="L281" s="16" t="n"/>
      <c r="M281" s="16" t="n"/>
      <c r="N281" s="16" t="n"/>
      <c r="O281" s="13">
        <f>IF(OR(H281="",M281="ملغي"),0,H281*'حاسبة التسعير'!$B$19)</f>
        <v/>
      </c>
      <c r="P281" s="13">
        <f>IF(OR(I281="",M281="ملغي"),0,I281+J281-K281-O281)</f>
        <v/>
      </c>
      <c r="Q281" s="16" t="n"/>
    </row>
    <row r="282">
      <c r="A282" s="16" t="n"/>
      <c r="B282" s="20" t="n"/>
      <c r="C282" s="16" t="n"/>
      <c r="D282" s="16" t="n"/>
      <c r="E282" s="16" t="n"/>
      <c r="F282" s="16" t="n"/>
      <c r="G282" s="16" t="n"/>
      <c r="H282" s="16" t="n"/>
      <c r="I282" s="13" t="n"/>
      <c r="J282" s="13" t="n"/>
      <c r="K282" s="13" t="n"/>
      <c r="L282" s="16" t="n"/>
      <c r="M282" s="16" t="n"/>
      <c r="N282" s="16" t="n"/>
      <c r="O282" s="13">
        <f>IF(OR(H282="",M282="ملغي"),0,H282*'حاسبة التسعير'!$B$19)</f>
        <v/>
      </c>
      <c r="P282" s="13">
        <f>IF(OR(I282="",M282="ملغي"),0,I282+J282-K282-O282)</f>
        <v/>
      </c>
      <c r="Q282" s="16" t="n"/>
    </row>
    <row r="283">
      <c r="A283" s="16" t="n"/>
      <c r="B283" s="20" t="n"/>
      <c r="C283" s="16" t="n"/>
      <c r="D283" s="16" t="n"/>
      <c r="E283" s="16" t="n"/>
      <c r="F283" s="16" t="n"/>
      <c r="G283" s="16" t="n"/>
      <c r="H283" s="16" t="n"/>
      <c r="I283" s="13" t="n"/>
      <c r="J283" s="13" t="n"/>
      <c r="K283" s="13" t="n"/>
      <c r="L283" s="16" t="n"/>
      <c r="M283" s="16" t="n"/>
      <c r="N283" s="16" t="n"/>
      <c r="O283" s="13">
        <f>IF(OR(H283="",M283="ملغي"),0,H283*'حاسبة التسعير'!$B$19)</f>
        <v/>
      </c>
      <c r="P283" s="13">
        <f>IF(OR(I283="",M283="ملغي"),0,I283+J283-K283-O283)</f>
        <v/>
      </c>
      <c r="Q283" s="16" t="n"/>
    </row>
    <row r="284">
      <c r="A284" s="16" t="n"/>
      <c r="B284" s="20" t="n"/>
      <c r="C284" s="16" t="n"/>
      <c r="D284" s="16" t="n"/>
      <c r="E284" s="16" t="n"/>
      <c r="F284" s="16" t="n"/>
      <c r="G284" s="16" t="n"/>
      <c r="H284" s="16" t="n"/>
      <c r="I284" s="13" t="n"/>
      <c r="J284" s="13" t="n"/>
      <c r="K284" s="13" t="n"/>
      <c r="L284" s="16" t="n"/>
      <c r="M284" s="16" t="n"/>
      <c r="N284" s="16" t="n"/>
      <c r="O284" s="13">
        <f>IF(OR(H284="",M284="ملغي"),0,H284*'حاسبة التسعير'!$B$19)</f>
        <v/>
      </c>
      <c r="P284" s="13">
        <f>IF(OR(I284="",M284="ملغي"),0,I284+J284-K284-O284)</f>
        <v/>
      </c>
      <c r="Q284" s="16" t="n"/>
    </row>
    <row r="285">
      <c r="A285" s="16" t="n"/>
      <c r="B285" s="20" t="n"/>
      <c r="C285" s="16" t="n"/>
      <c r="D285" s="16" t="n"/>
      <c r="E285" s="16" t="n"/>
      <c r="F285" s="16" t="n"/>
      <c r="G285" s="16" t="n"/>
      <c r="H285" s="16" t="n"/>
      <c r="I285" s="13" t="n"/>
      <c r="J285" s="13" t="n"/>
      <c r="K285" s="13" t="n"/>
      <c r="L285" s="16" t="n"/>
      <c r="M285" s="16" t="n"/>
      <c r="N285" s="16" t="n"/>
      <c r="O285" s="13">
        <f>IF(OR(H285="",M285="ملغي"),0,H285*'حاسبة التسعير'!$B$19)</f>
        <v/>
      </c>
      <c r="P285" s="13">
        <f>IF(OR(I285="",M285="ملغي"),0,I285+J285-K285-O285)</f>
        <v/>
      </c>
      <c r="Q285" s="16" t="n"/>
    </row>
    <row r="286">
      <c r="A286" s="16" t="n"/>
      <c r="B286" s="20" t="n"/>
      <c r="C286" s="16" t="n"/>
      <c r="D286" s="16" t="n"/>
      <c r="E286" s="16" t="n"/>
      <c r="F286" s="16" t="n"/>
      <c r="G286" s="16" t="n"/>
      <c r="H286" s="16" t="n"/>
      <c r="I286" s="13" t="n"/>
      <c r="J286" s="13" t="n"/>
      <c r="K286" s="13" t="n"/>
      <c r="L286" s="16" t="n"/>
      <c r="M286" s="16" t="n"/>
      <c r="N286" s="16" t="n"/>
      <c r="O286" s="13">
        <f>IF(OR(H286="",M286="ملغي"),0,H286*'حاسبة التسعير'!$B$19)</f>
        <v/>
      </c>
      <c r="P286" s="13">
        <f>IF(OR(I286="",M286="ملغي"),0,I286+J286-K286-O286)</f>
        <v/>
      </c>
      <c r="Q286" s="16" t="n"/>
    </row>
    <row r="287">
      <c r="A287" s="16" t="n"/>
      <c r="B287" s="20" t="n"/>
      <c r="C287" s="16" t="n"/>
      <c r="D287" s="16" t="n"/>
      <c r="E287" s="16" t="n"/>
      <c r="F287" s="16" t="n"/>
      <c r="G287" s="16" t="n"/>
      <c r="H287" s="16" t="n"/>
      <c r="I287" s="13" t="n"/>
      <c r="J287" s="13" t="n"/>
      <c r="K287" s="13" t="n"/>
      <c r="L287" s="16" t="n"/>
      <c r="M287" s="16" t="n"/>
      <c r="N287" s="16" t="n"/>
      <c r="O287" s="13">
        <f>IF(OR(H287="",M287="ملغي"),0,H287*'حاسبة التسعير'!$B$19)</f>
        <v/>
      </c>
      <c r="P287" s="13">
        <f>IF(OR(I287="",M287="ملغي"),0,I287+J287-K287-O287)</f>
        <v/>
      </c>
      <c r="Q287" s="16" t="n"/>
    </row>
    <row r="288">
      <c r="A288" s="16" t="n"/>
      <c r="B288" s="20" t="n"/>
      <c r="C288" s="16" t="n"/>
      <c r="D288" s="16" t="n"/>
      <c r="E288" s="16" t="n"/>
      <c r="F288" s="16" t="n"/>
      <c r="G288" s="16" t="n"/>
      <c r="H288" s="16" t="n"/>
      <c r="I288" s="13" t="n"/>
      <c r="J288" s="13" t="n"/>
      <c r="K288" s="13" t="n"/>
      <c r="L288" s="16" t="n"/>
      <c r="M288" s="16" t="n"/>
      <c r="N288" s="16" t="n"/>
      <c r="O288" s="13">
        <f>IF(OR(H288="",M288="ملغي"),0,H288*'حاسبة التسعير'!$B$19)</f>
        <v/>
      </c>
      <c r="P288" s="13">
        <f>IF(OR(I288="",M288="ملغي"),0,I288+J288-K288-O288)</f>
        <v/>
      </c>
      <c r="Q288" s="16" t="n"/>
    </row>
    <row r="289">
      <c r="A289" s="16" t="n"/>
      <c r="B289" s="20" t="n"/>
      <c r="C289" s="16" t="n"/>
      <c r="D289" s="16" t="n"/>
      <c r="E289" s="16" t="n"/>
      <c r="F289" s="16" t="n"/>
      <c r="G289" s="16" t="n"/>
      <c r="H289" s="16" t="n"/>
      <c r="I289" s="13" t="n"/>
      <c r="J289" s="13" t="n"/>
      <c r="K289" s="13" t="n"/>
      <c r="L289" s="16" t="n"/>
      <c r="M289" s="16" t="n"/>
      <c r="N289" s="16" t="n"/>
      <c r="O289" s="13">
        <f>IF(OR(H289="",M289="ملغي"),0,H289*'حاسبة التسعير'!$B$19)</f>
        <v/>
      </c>
      <c r="P289" s="13">
        <f>IF(OR(I289="",M289="ملغي"),0,I289+J289-K289-O289)</f>
        <v/>
      </c>
      <c r="Q289" s="16" t="n"/>
    </row>
    <row r="290">
      <c r="A290" s="16" t="n"/>
      <c r="B290" s="20" t="n"/>
      <c r="C290" s="16" t="n"/>
      <c r="D290" s="16" t="n"/>
      <c r="E290" s="16" t="n"/>
      <c r="F290" s="16" t="n"/>
      <c r="G290" s="16" t="n"/>
      <c r="H290" s="16" t="n"/>
      <c r="I290" s="13" t="n"/>
      <c r="J290" s="13" t="n"/>
      <c r="K290" s="13" t="n"/>
      <c r="L290" s="16" t="n"/>
      <c r="M290" s="16" t="n"/>
      <c r="N290" s="16" t="n"/>
      <c r="O290" s="13">
        <f>IF(OR(H290="",M290="ملغي"),0,H290*'حاسبة التسعير'!$B$19)</f>
        <v/>
      </c>
      <c r="P290" s="13">
        <f>IF(OR(I290="",M290="ملغي"),0,I290+J290-K290-O290)</f>
        <v/>
      </c>
      <c r="Q290" s="16" t="n"/>
    </row>
    <row r="291">
      <c r="A291" s="16" t="n"/>
      <c r="B291" s="20" t="n"/>
      <c r="C291" s="16" t="n"/>
      <c r="D291" s="16" t="n"/>
      <c r="E291" s="16" t="n"/>
      <c r="F291" s="16" t="n"/>
      <c r="G291" s="16" t="n"/>
      <c r="H291" s="16" t="n"/>
      <c r="I291" s="13" t="n"/>
      <c r="J291" s="13" t="n"/>
      <c r="K291" s="13" t="n"/>
      <c r="L291" s="16" t="n"/>
      <c r="M291" s="16" t="n"/>
      <c r="N291" s="16" t="n"/>
      <c r="O291" s="13">
        <f>IF(OR(H291="",M291="ملغي"),0,H291*'حاسبة التسعير'!$B$19)</f>
        <v/>
      </c>
      <c r="P291" s="13">
        <f>IF(OR(I291="",M291="ملغي"),0,I291+J291-K291-O291)</f>
        <v/>
      </c>
      <c r="Q291" s="16" t="n"/>
    </row>
    <row r="292">
      <c r="A292" s="16" t="n"/>
      <c r="B292" s="20" t="n"/>
      <c r="C292" s="16" t="n"/>
      <c r="D292" s="16" t="n"/>
      <c r="E292" s="16" t="n"/>
      <c r="F292" s="16" t="n"/>
      <c r="G292" s="16" t="n"/>
      <c r="H292" s="16" t="n"/>
      <c r="I292" s="13" t="n"/>
      <c r="J292" s="13" t="n"/>
      <c r="K292" s="13" t="n"/>
      <c r="L292" s="16" t="n"/>
      <c r="M292" s="16" t="n"/>
      <c r="N292" s="16" t="n"/>
      <c r="O292" s="13">
        <f>IF(OR(H292="",M292="ملغي"),0,H292*'حاسبة التسعير'!$B$19)</f>
        <v/>
      </c>
      <c r="P292" s="13">
        <f>IF(OR(I292="",M292="ملغي"),0,I292+J292-K292-O292)</f>
        <v/>
      </c>
      <c r="Q292" s="16" t="n"/>
    </row>
    <row r="293">
      <c r="A293" s="16" t="n"/>
      <c r="B293" s="20" t="n"/>
      <c r="C293" s="16" t="n"/>
      <c r="D293" s="16" t="n"/>
      <c r="E293" s="16" t="n"/>
      <c r="F293" s="16" t="n"/>
      <c r="G293" s="16" t="n"/>
      <c r="H293" s="16" t="n"/>
      <c r="I293" s="13" t="n"/>
      <c r="J293" s="13" t="n"/>
      <c r="K293" s="13" t="n"/>
      <c r="L293" s="16" t="n"/>
      <c r="M293" s="16" t="n"/>
      <c r="N293" s="16" t="n"/>
      <c r="O293" s="13">
        <f>IF(OR(H293="",M293="ملغي"),0,H293*'حاسبة التسعير'!$B$19)</f>
        <v/>
      </c>
      <c r="P293" s="13">
        <f>IF(OR(I293="",M293="ملغي"),0,I293+J293-K293-O293)</f>
        <v/>
      </c>
      <c r="Q293" s="16" t="n"/>
    </row>
    <row r="294">
      <c r="A294" s="16" t="n"/>
      <c r="B294" s="20" t="n"/>
      <c r="C294" s="16" t="n"/>
      <c r="D294" s="16" t="n"/>
      <c r="E294" s="16" t="n"/>
      <c r="F294" s="16" t="n"/>
      <c r="G294" s="16" t="n"/>
      <c r="H294" s="16" t="n"/>
      <c r="I294" s="13" t="n"/>
      <c r="J294" s="13" t="n"/>
      <c r="K294" s="13" t="n"/>
      <c r="L294" s="16" t="n"/>
      <c r="M294" s="16" t="n"/>
      <c r="N294" s="16" t="n"/>
      <c r="O294" s="13">
        <f>IF(OR(H294="",M294="ملغي"),0,H294*'حاسبة التسعير'!$B$19)</f>
        <v/>
      </c>
      <c r="P294" s="13">
        <f>IF(OR(I294="",M294="ملغي"),0,I294+J294-K294-O294)</f>
        <v/>
      </c>
      <c r="Q294" s="16" t="n"/>
    </row>
    <row r="295">
      <c r="A295" s="16" t="n"/>
      <c r="B295" s="20" t="n"/>
      <c r="C295" s="16" t="n"/>
      <c r="D295" s="16" t="n"/>
      <c r="E295" s="16" t="n"/>
      <c r="F295" s="16" t="n"/>
      <c r="G295" s="16" t="n"/>
      <c r="H295" s="16" t="n"/>
      <c r="I295" s="13" t="n"/>
      <c r="J295" s="13" t="n"/>
      <c r="K295" s="13" t="n"/>
      <c r="L295" s="16" t="n"/>
      <c r="M295" s="16" t="n"/>
      <c r="N295" s="16" t="n"/>
      <c r="O295" s="13">
        <f>IF(OR(H295="",M295="ملغي"),0,H295*'حاسبة التسعير'!$B$19)</f>
        <v/>
      </c>
      <c r="P295" s="13">
        <f>IF(OR(I295="",M295="ملغي"),0,I295+J295-K295-O295)</f>
        <v/>
      </c>
      <c r="Q295" s="16" t="n"/>
    </row>
    <row r="296">
      <c r="A296" s="16" t="n"/>
      <c r="B296" s="20" t="n"/>
      <c r="C296" s="16" t="n"/>
      <c r="D296" s="16" t="n"/>
      <c r="E296" s="16" t="n"/>
      <c r="F296" s="16" t="n"/>
      <c r="G296" s="16" t="n"/>
      <c r="H296" s="16" t="n"/>
      <c r="I296" s="13" t="n"/>
      <c r="J296" s="13" t="n"/>
      <c r="K296" s="13" t="n"/>
      <c r="L296" s="16" t="n"/>
      <c r="M296" s="16" t="n"/>
      <c r="N296" s="16" t="n"/>
      <c r="O296" s="13">
        <f>IF(OR(H296="",M296="ملغي"),0,H296*'حاسبة التسعير'!$B$19)</f>
        <v/>
      </c>
      <c r="P296" s="13">
        <f>IF(OR(I296="",M296="ملغي"),0,I296+J296-K296-O296)</f>
        <v/>
      </c>
      <c r="Q296" s="16" t="n"/>
    </row>
    <row r="297">
      <c r="A297" s="16" t="n"/>
      <c r="B297" s="20" t="n"/>
      <c r="C297" s="16" t="n"/>
      <c r="D297" s="16" t="n"/>
      <c r="E297" s="16" t="n"/>
      <c r="F297" s="16" t="n"/>
      <c r="G297" s="16" t="n"/>
      <c r="H297" s="16" t="n"/>
      <c r="I297" s="13" t="n"/>
      <c r="J297" s="13" t="n"/>
      <c r="K297" s="13" t="n"/>
      <c r="L297" s="16" t="n"/>
      <c r="M297" s="16" t="n"/>
      <c r="N297" s="16" t="n"/>
      <c r="O297" s="13">
        <f>IF(OR(H297="",M297="ملغي"),0,H297*'حاسبة التسعير'!$B$19)</f>
        <v/>
      </c>
      <c r="P297" s="13">
        <f>IF(OR(I297="",M297="ملغي"),0,I297+J297-K297-O297)</f>
        <v/>
      </c>
      <c r="Q297" s="16" t="n"/>
    </row>
    <row r="298">
      <c r="A298" s="16" t="n"/>
      <c r="B298" s="20" t="n"/>
      <c r="C298" s="16" t="n"/>
      <c r="D298" s="16" t="n"/>
      <c r="E298" s="16" t="n"/>
      <c r="F298" s="16" t="n"/>
      <c r="G298" s="16" t="n"/>
      <c r="H298" s="16" t="n"/>
      <c r="I298" s="13" t="n"/>
      <c r="J298" s="13" t="n"/>
      <c r="K298" s="13" t="n"/>
      <c r="L298" s="16" t="n"/>
      <c r="M298" s="16" t="n"/>
      <c r="N298" s="16" t="n"/>
      <c r="O298" s="13">
        <f>IF(OR(H298="",M298="ملغي"),0,H298*'حاسبة التسعير'!$B$19)</f>
        <v/>
      </c>
      <c r="P298" s="13">
        <f>IF(OR(I298="",M298="ملغي"),0,I298+J298-K298-O298)</f>
        <v/>
      </c>
      <c r="Q298" s="16" t="n"/>
    </row>
    <row r="299">
      <c r="A299" s="16" t="n"/>
      <c r="B299" s="20" t="n"/>
      <c r="C299" s="16" t="n"/>
      <c r="D299" s="16" t="n"/>
      <c r="E299" s="16" t="n"/>
      <c r="F299" s="16" t="n"/>
      <c r="G299" s="16" t="n"/>
      <c r="H299" s="16" t="n"/>
      <c r="I299" s="13" t="n"/>
      <c r="J299" s="13" t="n"/>
      <c r="K299" s="13" t="n"/>
      <c r="L299" s="16" t="n"/>
      <c r="M299" s="16" t="n"/>
      <c r="N299" s="16" t="n"/>
      <c r="O299" s="13">
        <f>IF(OR(H299="",M299="ملغي"),0,H299*'حاسبة التسعير'!$B$19)</f>
        <v/>
      </c>
      <c r="P299" s="13">
        <f>IF(OR(I299="",M299="ملغي"),0,I299+J299-K299-O299)</f>
        <v/>
      </c>
      <c r="Q299" s="16" t="n"/>
    </row>
    <row r="300">
      <c r="A300" s="16" t="n"/>
      <c r="B300" s="20" t="n"/>
      <c r="C300" s="16" t="n"/>
      <c r="D300" s="16" t="n"/>
      <c r="E300" s="16" t="n"/>
      <c r="F300" s="16" t="n"/>
      <c r="G300" s="16" t="n"/>
      <c r="H300" s="16" t="n"/>
      <c r="I300" s="13" t="n"/>
      <c r="J300" s="13" t="n"/>
      <c r="K300" s="13" t="n"/>
      <c r="L300" s="16" t="n"/>
      <c r="M300" s="16" t="n"/>
      <c r="N300" s="16" t="n"/>
      <c r="O300" s="13">
        <f>IF(OR(H300="",M300="ملغي"),0,H300*'حاسبة التسعير'!$B$19)</f>
        <v/>
      </c>
      <c r="P300" s="13">
        <f>IF(OR(I300="",M300="ملغي"),0,I300+J300-K300-O300)</f>
        <v/>
      </c>
      <c r="Q300" s="16" t="n"/>
    </row>
    <row r="301">
      <c r="A301" s="16" t="n"/>
      <c r="B301" s="20" t="n"/>
      <c r="C301" s="16" t="n"/>
      <c r="D301" s="16" t="n"/>
      <c r="E301" s="16" t="n"/>
      <c r="F301" s="16" t="n"/>
      <c r="G301" s="16" t="n"/>
      <c r="H301" s="16" t="n"/>
      <c r="I301" s="13" t="n"/>
      <c r="J301" s="13" t="n"/>
      <c r="K301" s="13" t="n"/>
      <c r="L301" s="16" t="n"/>
      <c r="M301" s="16" t="n"/>
      <c r="N301" s="16" t="n"/>
      <c r="O301" s="13">
        <f>IF(OR(H301="",M301="ملغي"),0,H301*'حاسبة التسعير'!$B$19)</f>
        <v/>
      </c>
      <c r="P301" s="13">
        <f>IF(OR(I301="",M301="ملغي"),0,I301+J301-K301-O301)</f>
        <v/>
      </c>
      <c r="Q301" s="16" t="n"/>
    </row>
    <row r="302">
      <c r="A302" s="16" t="n"/>
      <c r="B302" s="20" t="n"/>
      <c r="C302" s="16" t="n"/>
      <c r="D302" s="16" t="n"/>
      <c r="E302" s="16" t="n"/>
      <c r="F302" s="16" t="n"/>
      <c r="G302" s="16" t="n"/>
      <c r="H302" s="16" t="n"/>
      <c r="I302" s="13" t="n"/>
      <c r="J302" s="13" t="n"/>
      <c r="K302" s="13" t="n"/>
      <c r="L302" s="16" t="n"/>
      <c r="M302" s="16" t="n"/>
      <c r="N302" s="16" t="n"/>
      <c r="O302" s="13">
        <f>IF(OR(H302="",M302="ملغي"),0,H302*'حاسبة التسعير'!$B$19)</f>
        <v/>
      </c>
      <c r="P302" s="13">
        <f>IF(OR(I302="",M302="ملغي"),0,I302+J302-K302-O302)</f>
        <v/>
      </c>
      <c r="Q302" s="16" t="n"/>
    </row>
    <row r="303">
      <c r="A303" s="16" t="n"/>
      <c r="B303" s="20" t="n"/>
      <c r="C303" s="16" t="n"/>
      <c r="D303" s="16" t="n"/>
      <c r="E303" s="16" t="n"/>
      <c r="F303" s="16" t="n"/>
      <c r="G303" s="16" t="n"/>
      <c r="H303" s="16" t="n"/>
      <c r="I303" s="13" t="n"/>
      <c r="J303" s="13" t="n"/>
      <c r="K303" s="13" t="n"/>
      <c r="L303" s="16" t="n"/>
      <c r="M303" s="16" t="n"/>
      <c r="N303" s="16" t="n"/>
      <c r="O303" s="13">
        <f>IF(OR(H303="",M303="ملغي"),0,H303*'حاسبة التسعير'!$B$19)</f>
        <v/>
      </c>
      <c r="P303" s="13">
        <f>IF(OR(I303="",M303="ملغي"),0,I303+J303-K303-O303)</f>
        <v/>
      </c>
      <c r="Q303" s="16" t="n"/>
    </row>
    <row r="304">
      <c r="A304" s="16" t="n"/>
      <c r="B304" s="20" t="n"/>
      <c r="C304" s="16" t="n"/>
      <c r="D304" s="16" t="n"/>
      <c r="E304" s="16" t="n"/>
      <c r="F304" s="16" t="n"/>
      <c r="G304" s="16" t="n"/>
      <c r="H304" s="16" t="n"/>
      <c r="I304" s="13" t="n"/>
      <c r="J304" s="13" t="n"/>
      <c r="K304" s="13" t="n"/>
      <c r="L304" s="16" t="n"/>
      <c r="M304" s="16" t="n"/>
      <c r="N304" s="16" t="n"/>
      <c r="O304" s="13">
        <f>IF(OR(H304="",M304="ملغي"),0,H304*'حاسبة التسعير'!$B$19)</f>
        <v/>
      </c>
      <c r="P304" s="13">
        <f>IF(OR(I304="",M304="ملغي"),0,I304+J304-K304-O304)</f>
        <v/>
      </c>
      <c r="Q304" s="16" t="n"/>
    </row>
    <row r="305">
      <c r="A305" s="16" t="n"/>
      <c r="B305" s="20" t="n"/>
      <c r="C305" s="16" t="n"/>
      <c r="D305" s="16" t="n"/>
      <c r="E305" s="16" t="n"/>
      <c r="F305" s="16" t="n"/>
      <c r="G305" s="16" t="n"/>
      <c r="H305" s="16" t="n"/>
      <c r="I305" s="13" t="n"/>
      <c r="J305" s="13" t="n"/>
      <c r="K305" s="13" t="n"/>
      <c r="L305" s="16" t="n"/>
      <c r="M305" s="16" t="n"/>
      <c r="N305" s="16" t="n"/>
      <c r="O305" s="13">
        <f>IF(OR(H305="",M305="ملغي"),0,H305*'حاسبة التسعير'!$B$19)</f>
        <v/>
      </c>
      <c r="P305" s="13">
        <f>IF(OR(I305="",M305="ملغي"),0,I305+J305-K305-O305)</f>
        <v/>
      </c>
      <c r="Q305" s="16" t="n"/>
    </row>
    <row r="306">
      <c r="A306" s="16" t="n"/>
      <c r="B306" s="20" t="n"/>
      <c r="C306" s="16" t="n"/>
      <c r="D306" s="16" t="n"/>
      <c r="E306" s="16" t="n"/>
      <c r="F306" s="16" t="n"/>
      <c r="G306" s="16" t="n"/>
      <c r="H306" s="16" t="n"/>
      <c r="I306" s="13" t="n"/>
      <c r="J306" s="13" t="n"/>
      <c r="K306" s="13" t="n"/>
      <c r="L306" s="16" t="n"/>
      <c r="M306" s="16" t="n"/>
      <c r="N306" s="16" t="n"/>
      <c r="O306" s="13">
        <f>IF(OR(H306="",M306="ملغي"),0,H306*'حاسبة التسعير'!$B$19)</f>
        <v/>
      </c>
      <c r="P306" s="13">
        <f>IF(OR(I306="",M306="ملغي"),0,I306+J306-K306-O306)</f>
        <v/>
      </c>
      <c r="Q306" s="16" t="n"/>
    </row>
    <row r="307">
      <c r="A307" s="16" t="n"/>
      <c r="B307" s="20" t="n"/>
      <c r="C307" s="16" t="n"/>
      <c r="D307" s="16" t="n"/>
      <c r="E307" s="16" t="n"/>
      <c r="F307" s="16" t="n"/>
      <c r="G307" s="16" t="n"/>
      <c r="H307" s="16" t="n"/>
      <c r="I307" s="13" t="n"/>
      <c r="J307" s="13" t="n"/>
      <c r="K307" s="13" t="n"/>
      <c r="L307" s="16" t="n"/>
      <c r="M307" s="16" t="n"/>
      <c r="N307" s="16" t="n"/>
      <c r="O307" s="13">
        <f>IF(OR(H307="",M307="ملغي"),0,H307*'حاسبة التسعير'!$B$19)</f>
        <v/>
      </c>
      <c r="P307" s="13">
        <f>IF(OR(I307="",M307="ملغي"),0,I307+J307-K307-O307)</f>
        <v/>
      </c>
      <c r="Q307" s="16" t="n"/>
    </row>
    <row r="308">
      <c r="A308" s="16" t="n"/>
      <c r="B308" s="20" t="n"/>
      <c r="C308" s="16" t="n"/>
      <c r="D308" s="16" t="n"/>
      <c r="E308" s="16" t="n"/>
      <c r="F308" s="16" t="n"/>
      <c r="G308" s="16" t="n"/>
      <c r="H308" s="16" t="n"/>
      <c r="I308" s="13" t="n"/>
      <c r="J308" s="13" t="n"/>
      <c r="K308" s="13" t="n"/>
      <c r="L308" s="16" t="n"/>
      <c r="M308" s="16" t="n"/>
      <c r="N308" s="16" t="n"/>
      <c r="O308" s="13">
        <f>IF(OR(H308="",M308="ملغي"),0,H308*'حاسبة التسعير'!$B$19)</f>
        <v/>
      </c>
      <c r="P308" s="13">
        <f>IF(OR(I308="",M308="ملغي"),0,I308+J308-K308-O308)</f>
        <v/>
      </c>
      <c r="Q308" s="16" t="n"/>
    </row>
    <row r="309">
      <c r="A309" s="16" t="n"/>
      <c r="B309" s="20" t="n"/>
      <c r="C309" s="16" t="n"/>
      <c r="D309" s="16" t="n"/>
      <c r="E309" s="16" t="n"/>
      <c r="F309" s="16" t="n"/>
      <c r="G309" s="16" t="n"/>
      <c r="H309" s="16" t="n"/>
      <c r="I309" s="13" t="n"/>
      <c r="J309" s="13" t="n"/>
      <c r="K309" s="13" t="n"/>
      <c r="L309" s="16" t="n"/>
      <c r="M309" s="16" t="n"/>
      <c r="N309" s="16" t="n"/>
      <c r="O309" s="13">
        <f>IF(OR(H309="",M309="ملغي"),0,H309*'حاسبة التسعير'!$B$19)</f>
        <v/>
      </c>
      <c r="P309" s="13">
        <f>IF(OR(I309="",M309="ملغي"),0,I309+J309-K309-O309)</f>
        <v/>
      </c>
      <c r="Q309" s="16" t="n"/>
    </row>
    <row r="310">
      <c r="A310" s="16" t="n"/>
      <c r="B310" s="20" t="n"/>
      <c r="C310" s="16" t="n"/>
      <c r="D310" s="16" t="n"/>
      <c r="E310" s="16" t="n"/>
      <c r="F310" s="16" t="n"/>
      <c r="G310" s="16" t="n"/>
      <c r="H310" s="16" t="n"/>
      <c r="I310" s="13" t="n"/>
      <c r="J310" s="13" t="n"/>
      <c r="K310" s="13" t="n"/>
      <c r="L310" s="16" t="n"/>
      <c r="M310" s="16" t="n"/>
      <c r="N310" s="16" t="n"/>
      <c r="O310" s="13">
        <f>IF(OR(H310="",M310="ملغي"),0,H310*'حاسبة التسعير'!$B$19)</f>
        <v/>
      </c>
      <c r="P310" s="13">
        <f>IF(OR(I310="",M310="ملغي"),0,I310+J310-K310-O310)</f>
        <v/>
      </c>
      <c r="Q310" s="16" t="n"/>
    </row>
    <row r="311">
      <c r="A311" s="16" t="n"/>
      <c r="B311" s="20" t="n"/>
      <c r="C311" s="16" t="n"/>
      <c r="D311" s="16" t="n"/>
      <c r="E311" s="16" t="n"/>
      <c r="F311" s="16" t="n"/>
      <c r="G311" s="16" t="n"/>
      <c r="H311" s="16" t="n"/>
      <c r="I311" s="13" t="n"/>
      <c r="J311" s="13" t="n"/>
      <c r="K311" s="13" t="n"/>
      <c r="L311" s="16" t="n"/>
      <c r="M311" s="16" t="n"/>
      <c r="N311" s="16" t="n"/>
      <c r="O311" s="13">
        <f>IF(OR(H311="",M311="ملغي"),0,H311*'حاسبة التسعير'!$B$19)</f>
        <v/>
      </c>
      <c r="P311" s="13">
        <f>IF(OR(I311="",M311="ملغي"),0,I311+J311-K311-O311)</f>
        <v/>
      </c>
      <c r="Q311" s="16" t="n"/>
    </row>
    <row r="312">
      <c r="A312" s="16" t="n"/>
      <c r="B312" s="20" t="n"/>
      <c r="C312" s="16" t="n"/>
      <c r="D312" s="16" t="n"/>
      <c r="E312" s="16" t="n"/>
      <c r="F312" s="16" t="n"/>
      <c r="G312" s="16" t="n"/>
      <c r="H312" s="16" t="n"/>
      <c r="I312" s="13" t="n"/>
      <c r="J312" s="13" t="n"/>
      <c r="K312" s="13" t="n"/>
      <c r="L312" s="16" t="n"/>
      <c r="M312" s="16" t="n"/>
      <c r="N312" s="16" t="n"/>
      <c r="O312" s="13">
        <f>IF(OR(H312="",M312="ملغي"),0,H312*'حاسبة التسعير'!$B$19)</f>
        <v/>
      </c>
      <c r="P312" s="13">
        <f>IF(OR(I312="",M312="ملغي"),0,I312+J312-K312-O312)</f>
        <v/>
      </c>
      <c r="Q312" s="16" t="n"/>
    </row>
    <row r="313">
      <c r="A313" s="16" t="n"/>
      <c r="B313" s="20" t="n"/>
      <c r="C313" s="16" t="n"/>
      <c r="D313" s="16" t="n"/>
      <c r="E313" s="16" t="n"/>
      <c r="F313" s="16" t="n"/>
      <c r="G313" s="16" t="n"/>
      <c r="H313" s="16" t="n"/>
      <c r="I313" s="13" t="n"/>
      <c r="J313" s="13" t="n"/>
      <c r="K313" s="13" t="n"/>
      <c r="L313" s="16" t="n"/>
      <c r="M313" s="16" t="n"/>
      <c r="N313" s="16" t="n"/>
      <c r="O313" s="13">
        <f>IF(OR(H313="",M313="ملغي"),0,H313*'حاسبة التسعير'!$B$19)</f>
        <v/>
      </c>
      <c r="P313" s="13">
        <f>IF(OR(I313="",M313="ملغي"),0,I313+J313-K313-O313)</f>
        <v/>
      </c>
      <c r="Q313" s="16" t="n"/>
    </row>
    <row r="314">
      <c r="A314" s="16" t="n"/>
      <c r="B314" s="20" t="n"/>
      <c r="C314" s="16" t="n"/>
      <c r="D314" s="16" t="n"/>
      <c r="E314" s="16" t="n"/>
      <c r="F314" s="16" t="n"/>
      <c r="G314" s="16" t="n"/>
      <c r="H314" s="16" t="n"/>
      <c r="I314" s="13" t="n"/>
      <c r="J314" s="13" t="n"/>
      <c r="K314" s="13" t="n"/>
      <c r="L314" s="16" t="n"/>
      <c r="M314" s="16" t="n"/>
      <c r="N314" s="16" t="n"/>
      <c r="O314" s="13">
        <f>IF(OR(H314="",M314="ملغي"),0,H314*'حاسبة التسعير'!$B$19)</f>
        <v/>
      </c>
      <c r="P314" s="13">
        <f>IF(OR(I314="",M314="ملغي"),0,I314+J314-K314-O314)</f>
        <v/>
      </c>
      <c r="Q314" s="16" t="n"/>
    </row>
    <row r="315">
      <c r="A315" s="16" t="n"/>
      <c r="B315" s="20" t="n"/>
      <c r="C315" s="16" t="n"/>
      <c r="D315" s="16" t="n"/>
      <c r="E315" s="16" t="n"/>
      <c r="F315" s="16" t="n"/>
      <c r="G315" s="16" t="n"/>
      <c r="H315" s="16" t="n"/>
      <c r="I315" s="13" t="n"/>
      <c r="J315" s="13" t="n"/>
      <c r="K315" s="13" t="n"/>
      <c r="L315" s="16" t="n"/>
      <c r="M315" s="16" t="n"/>
      <c r="N315" s="16" t="n"/>
      <c r="O315" s="13">
        <f>IF(OR(H315="",M315="ملغي"),0,H315*'حاسبة التسعير'!$B$19)</f>
        <v/>
      </c>
      <c r="P315" s="13">
        <f>IF(OR(I315="",M315="ملغي"),0,I315+J315-K315-O315)</f>
        <v/>
      </c>
      <c r="Q315" s="16" t="n"/>
    </row>
    <row r="316">
      <c r="A316" s="16" t="n"/>
      <c r="B316" s="20" t="n"/>
      <c r="C316" s="16" t="n"/>
      <c r="D316" s="16" t="n"/>
      <c r="E316" s="16" t="n"/>
      <c r="F316" s="16" t="n"/>
      <c r="G316" s="16" t="n"/>
      <c r="H316" s="16" t="n"/>
      <c r="I316" s="13" t="n"/>
      <c r="J316" s="13" t="n"/>
      <c r="K316" s="13" t="n"/>
      <c r="L316" s="16" t="n"/>
      <c r="M316" s="16" t="n"/>
      <c r="N316" s="16" t="n"/>
      <c r="O316" s="13">
        <f>IF(OR(H316="",M316="ملغي"),0,H316*'حاسبة التسعير'!$B$19)</f>
        <v/>
      </c>
      <c r="P316" s="13">
        <f>IF(OR(I316="",M316="ملغي"),0,I316+J316-K316-O316)</f>
        <v/>
      </c>
      <c r="Q316" s="16" t="n"/>
    </row>
    <row r="317">
      <c r="A317" s="16" t="n"/>
      <c r="B317" s="20" t="n"/>
      <c r="C317" s="16" t="n"/>
      <c r="D317" s="16" t="n"/>
      <c r="E317" s="16" t="n"/>
      <c r="F317" s="16" t="n"/>
      <c r="G317" s="16" t="n"/>
      <c r="H317" s="16" t="n"/>
      <c r="I317" s="13" t="n"/>
      <c r="J317" s="13" t="n"/>
      <c r="K317" s="13" t="n"/>
      <c r="L317" s="16" t="n"/>
      <c r="M317" s="16" t="n"/>
      <c r="N317" s="16" t="n"/>
      <c r="O317" s="13">
        <f>IF(OR(H317="",M317="ملغي"),0,H317*'حاسبة التسعير'!$B$19)</f>
        <v/>
      </c>
      <c r="P317" s="13">
        <f>IF(OR(I317="",M317="ملغي"),0,I317+J317-K317-O317)</f>
        <v/>
      </c>
      <c r="Q317" s="16" t="n"/>
    </row>
    <row r="318">
      <c r="A318" s="16" t="n"/>
      <c r="B318" s="20" t="n"/>
      <c r="C318" s="16" t="n"/>
      <c r="D318" s="16" t="n"/>
      <c r="E318" s="16" t="n"/>
      <c r="F318" s="16" t="n"/>
      <c r="G318" s="16" t="n"/>
      <c r="H318" s="16" t="n"/>
      <c r="I318" s="13" t="n"/>
      <c r="J318" s="13" t="n"/>
      <c r="K318" s="13" t="n"/>
      <c r="L318" s="16" t="n"/>
      <c r="M318" s="16" t="n"/>
      <c r="N318" s="16" t="n"/>
      <c r="O318" s="13">
        <f>IF(OR(H318="",M318="ملغي"),0,H318*'حاسبة التسعير'!$B$19)</f>
        <v/>
      </c>
      <c r="P318" s="13">
        <f>IF(OR(I318="",M318="ملغي"),0,I318+J318-K318-O318)</f>
        <v/>
      </c>
      <c r="Q318" s="16" t="n"/>
    </row>
    <row r="319">
      <c r="A319" s="16" t="n"/>
      <c r="B319" s="20" t="n"/>
      <c r="C319" s="16" t="n"/>
      <c r="D319" s="16" t="n"/>
      <c r="E319" s="16" t="n"/>
      <c r="F319" s="16" t="n"/>
      <c r="G319" s="16" t="n"/>
      <c r="H319" s="16" t="n"/>
      <c r="I319" s="13" t="n"/>
      <c r="J319" s="13" t="n"/>
      <c r="K319" s="13" t="n"/>
      <c r="L319" s="16" t="n"/>
      <c r="M319" s="16" t="n"/>
      <c r="N319" s="16" t="n"/>
      <c r="O319" s="13">
        <f>IF(OR(H319="",M319="ملغي"),0,H319*'حاسبة التسعير'!$B$19)</f>
        <v/>
      </c>
      <c r="P319" s="13">
        <f>IF(OR(I319="",M319="ملغي"),0,I319+J319-K319-O319)</f>
        <v/>
      </c>
      <c r="Q319" s="16" t="n"/>
    </row>
    <row r="320">
      <c r="A320" s="16" t="n"/>
      <c r="B320" s="20" t="n"/>
      <c r="C320" s="16" t="n"/>
      <c r="D320" s="16" t="n"/>
      <c r="E320" s="16" t="n"/>
      <c r="F320" s="16" t="n"/>
      <c r="G320" s="16" t="n"/>
      <c r="H320" s="16" t="n"/>
      <c r="I320" s="13" t="n"/>
      <c r="J320" s="13" t="n"/>
      <c r="K320" s="13" t="n"/>
      <c r="L320" s="16" t="n"/>
      <c r="M320" s="16" t="n"/>
      <c r="N320" s="16" t="n"/>
      <c r="O320" s="13">
        <f>IF(OR(H320="",M320="ملغي"),0,H320*'حاسبة التسعير'!$B$19)</f>
        <v/>
      </c>
      <c r="P320" s="13">
        <f>IF(OR(I320="",M320="ملغي"),0,I320+J320-K320-O320)</f>
        <v/>
      </c>
      <c r="Q320" s="16" t="n"/>
    </row>
    <row r="321">
      <c r="A321" s="16" t="n"/>
      <c r="B321" s="20" t="n"/>
      <c r="C321" s="16" t="n"/>
      <c r="D321" s="16" t="n"/>
      <c r="E321" s="16" t="n"/>
      <c r="F321" s="16" t="n"/>
      <c r="G321" s="16" t="n"/>
      <c r="H321" s="16" t="n"/>
      <c r="I321" s="13" t="n"/>
      <c r="J321" s="13" t="n"/>
      <c r="K321" s="13" t="n"/>
      <c r="L321" s="16" t="n"/>
      <c r="M321" s="16" t="n"/>
      <c r="N321" s="16" t="n"/>
      <c r="O321" s="13">
        <f>IF(OR(H321="",M321="ملغي"),0,H321*'حاسبة التسعير'!$B$19)</f>
        <v/>
      </c>
      <c r="P321" s="13">
        <f>IF(OR(I321="",M321="ملغي"),0,I321+J321-K321-O321)</f>
        <v/>
      </c>
      <c r="Q321" s="16" t="n"/>
    </row>
    <row r="322">
      <c r="A322" s="16" t="n"/>
      <c r="B322" s="20" t="n"/>
      <c r="C322" s="16" t="n"/>
      <c r="D322" s="16" t="n"/>
      <c r="E322" s="16" t="n"/>
      <c r="F322" s="16" t="n"/>
      <c r="G322" s="16" t="n"/>
      <c r="H322" s="16" t="n"/>
      <c r="I322" s="13" t="n"/>
      <c r="J322" s="13" t="n"/>
      <c r="K322" s="13" t="n"/>
      <c r="L322" s="16" t="n"/>
      <c r="M322" s="16" t="n"/>
      <c r="N322" s="16" t="n"/>
      <c r="O322" s="13">
        <f>IF(OR(H322="",M322="ملغي"),0,H322*'حاسبة التسعير'!$B$19)</f>
        <v/>
      </c>
      <c r="P322" s="13">
        <f>IF(OR(I322="",M322="ملغي"),0,I322+J322-K322-O322)</f>
        <v/>
      </c>
      <c r="Q322" s="16" t="n"/>
    </row>
    <row r="323">
      <c r="A323" s="16" t="n"/>
      <c r="B323" s="20" t="n"/>
      <c r="C323" s="16" t="n"/>
      <c r="D323" s="16" t="n"/>
      <c r="E323" s="16" t="n"/>
      <c r="F323" s="16" t="n"/>
      <c r="G323" s="16" t="n"/>
      <c r="H323" s="16" t="n"/>
      <c r="I323" s="13" t="n"/>
      <c r="J323" s="13" t="n"/>
      <c r="K323" s="13" t="n"/>
      <c r="L323" s="16" t="n"/>
      <c r="M323" s="16" t="n"/>
      <c r="N323" s="16" t="n"/>
      <c r="O323" s="13">
        <f>IF(OR(H323="",M323="ملغي"),0,H323*'حاسبة التسعير'!$B$19)</f>
        <v/>
      </c>
      <c r="P323" s="13">
        <f>IF(OR(I323="",M323="ملغي"),0,I323+J323-K323-O323)</f>
        <v/>
      </c>
      <c r="Q323" s="16" t="n"/>
    </row>
    <row r="324">
      <c r="A324" s="16" t="n"/>
      <c r="B324" s="20" t="n"/>
      <c r="C324" s="16" t="n"/>
      <c r="D324" s="16" t="n"/>
      <c r="E324" s="16" t="n"/>
      <c r="F324" s="16" t="n"/>
      <c r="G324" s="16" t="n"/>
      <c r="H324" s="16" t="n"/>
      <c r="I324" s="13" t="n"/>
      <c r="J324" s="13" t="n"/>
      <c r="K324" s="13" t="n"/>
      <c r="L324" s="16" t="n"/>
      <c r="M324" s="16" t="n"/>
      <c r="N324" s="16" t="n"/>
      <c r="O324" s="13">
        <f>IF(OR(H324="",M324="ملغي"),0,H324*'حاسبة التسعير'!$B$19)</f>
        <v/>
      </c>
      <c r="P324" s="13">
        <f>IF(OR(I324="",M324="ملغي"),0,I324+J324-K324-O324)</f>
        <v/>
      </c>
      <c r="Q324" s="16" t="n"/>
    </row>
    <row r="325">
      <c r="A325" s="16" t="n"/>
      <c r="B325" s="20" t="n"/>
      <c r="C325" s="16" t="n"/>
      <c r="D325" s="16" t="n"/>
      <c r="E325" s="16" t="n"/>
      <c r="F325" s="16" t="n"/>
      <c r="G325" s="16" t="n"/>
      <c r="H325" s="16" t="n"/>
      <c r="I325" s="13" t="n"/>
      <c r="J325" s="13" t="n"/>
      <c r="K325" s="13" t="n"/>
      <c r="L325" s="16" t="n"/>
      <c r="M325" s="16" t="n"/>
      <c r="N325" s="16" t="n"/>
      <c r="O325" s="13">
        <f>IF(OR(H325="",M325="ملغي"),0,H325*'حاسبة التسعير'!$B$19)</f>
        <v/>
      </c>
      <c r="P325" s="13">
        <f>IF(OR(I325="",M325="ملغي"),0,I325+J325-K325-O325)</f>
        <v/>
      </c>
      <c r="Q325" s="16" t="n"/>
    </row>
    <row r="326">
      <c r="A326" s="16" t="n"/>
      <c r="B326" s="20" t="n"/>
      <c r="C326" s="16" t="n"/>
      <c r="D326" s="16" t="n"/>
      <c r="E326" s="16" t="n"/>
      <c r="F326" s="16" t="n"/>
      <c r="G326" s="16" t="n"/>
      <c r="H326" s="16" t="n"/>
      <c r="I326" s="13" t="n"/>
      <c r="J326" s="13" t="n"/>
      <c r="K326" s="13" t="n"/>
      <c r="L326" s="16" t="n"/>
      <c r="M326" s="16" t="n"/>
      <c r="N326" s="16" t="n"/>
      <c r="O326" s="13">
        <f>IF(OR(H326="",M326="ملغي"),0,H326*'حاسبة التسعير'!$B$19)</f>
        <v/>
      </c>
      <c r="P326" s="13">
        <f>IF(OR(I326="",M326="ملغي"),0,I326+J326-K326-O326)</f>
        <v/>
      </c>
      <c r="Q326" s="16" t="n"/>
    </row>
    <row r="327">
      <c r="A327" s="16" t="n"/>
      <c r="B327" s="20" t="n"/>
      <c r="C327" s="16" t="n"/>
      <c r="D327" s="16" t="n"/>
      <c r="E327" s="16" t="n"/>
      <c r="F327" s="16" t="n"/>
      <c r="G327" s="16" t="n"/>
      <c r="H327" s="16" t="n"/>
      <c r="I327" s="13" t="n"/>
      <c r="J327" s="13" t="n"/>
      <c r="K327" s="13" t="n"/>
      <c r="L327" s="16" t="n"/>
      <c r="M327" s="16" t="n"/>
      <c r="N327" s="16" t="n"/>
      <c r="O327" s="13">
        <f>IF(OR(H327="",M327="ملغي"),0,H327*'حاسبة التسعير'!$B$19)</f>
        <v/>
      </c>
      <c r="P327" s="13">
        <f>IF(OR(I327="",M327="ملغي"),0,I327+J327-K327-O327)</f>
        <v/>
      </c>
      <c r="Q327" s="16" t="n"/>
    </row>
    <row r="328">
      <c r="A328" s="16" t="n"/>
      <c r="B328" s="20" t="n"/>
      <c r="C328" s="16" t="n"/>
      <c r="D328" s="16" t="n"/>
      <c r="E328" s="16" t="n"/>
      <c r="F328" s="16" t="n"/>
      <c r="G328" s="16" t="n"/>
      <c r="H328" s="16" t="n"/>
      <c r="I328" s="13" t="n"/>
      <c r="J328" s="13" t="n"/>
      <c r="K328" s="13" t="n"/>
      <c r="L328" s="16" t="n"/>
      <c r="M328" s="16" t="n"/>
      <c r="N328" s="16" t="n"/>
      <c r="O328" s="13">
        <f>IF(OR(H328="",M328="ملغي"),0,H328*'حاسبة التسعير'!$B$19)</f>
        <v/>
      </c>
      <c r="P328" s="13">
        <f>IF(OR(I328="",M328="ملغي"),0,I328+J328-K328-O328)</f>
        <v/>
      </c>
      <c r="Q328" s="16" t="n"/>
    </row>
    <row r="329">
      <c r="A329" s="16" t="n"/>
      <c r="B329" s="20" t="n"/>
      <c r="C329" s="16" t="n"/>
      <c r="D329" s="16" t="n"/>
      <c r="E329" s="16" t="n"/>
      <c r="F329" s="16" t="n"/>
      <c r="G329" s="16" t="n"/>
      <c r="H329" s="16" t="n"/>
      <c r="I329" s="13" t="n"/>
      <c r="J329" s="13" t="n"/>
      <c r="K329" s="13" t="n"/>
      <c r="L329" s="16" t="n"/>
      <c r="M329" s="16" t="n"/>
      <c r="N329" s="16" t="n"/>
      <c r="O329" s="13">
        <f>IF(OR(H329="",M329="ملغي"),0,H329*'حاسبة التسعير'!$B$19)</f>
        <v/>
      </c>
      <c r="P329" s="13">
        <f>IF(OR(I329="",M329="ملغي"),0,I329+J329-K329-O329)</f>
        <v/>
      </c>
      <c r="Q329" s="16" t="n"/>
    </row>
    <row r="330">
      <c r="A330" s="16" t="n"/>
      <c r="B330" s="20" t="n"/>
      <c r="C330" s="16" t="n"/>
      <c r="D330" s="16" t="n"/>
      <c r="E330" s="16" t="n"/>
      <c r="F330" s="16" t="n"/>
      <c r="G330" s="16" t="n"/>
      <c r="H330" s="16" t="n"/>
      <c r="I330" s="13" t="n"/>
      <c r="J330" s="13" t="n"/>
      <c r="K330" s="13" t="n"/>
      <c r="L330" s="16" t="n"/>
      <c r="M330" s="16" t="n"/>
      <c r="N330" s="16" t="n"/>
      <c r="O330" s="13">
        <f>IF(OR(H330="",M330="ملغي"),0,H330*'حاسبة التسعير'!$B$19)</f>
        <v/>
      </c>
      <c r="P330" s="13">
        <f>IF(OR(I330="",M330="ملغي"),0,I330+J330-K330-O330)</f>
        <v/>
      </c>
      <c r="Q330" s="16" t="n"/>
    </row>
    <row r="331">
      <c r="A331" s="16" t="n"/>
      <c r="B331" s="20" t="n"/>
      <c r="C331" s="16" t="n"/>
      <c r="D331" s="16" t="n"/>
      <c r="E331" s="16" t="n"/>
      <c r="F331" s="16" t="n"/>
      <c r="G331" s="16" t="n"/>
      <c r="H331" s="16" t="n"/>
      <c r="I331" s="13" t="n"/>
      <c r="J331" s="13" t="n"/>
      <c r="K331" s="13" t="n"/>
      <c r="L331" s="16" t="n"/>
      <c r="M331" s="16" t="n"/>
      <c r="N331" s="16" t="n"/>
      <c r="O331" s="13">
        <f>IF(OR(H331="",M331="ملغي"),0,H331*'حاسبة التسعير'!$B$19)</f>
        <v/>
      </c>
      <c r="P331" s="13">
        <f>IF(OR(I331="",M331="ملغي"),0,I331+J331-K331-O331)</f>
        <v/>
      </c>
      <c r="Q331" s="16" t="n"/>
    </row>
    <row r="332">
      <c r="A332" s="16" t="n"/>
      <c r="B332" s="20" t="n"/>
      <c r="C332" s="16" t="n"/>
      <c r="D332" s="16" t="n"/>
      <c r="E332" s="16" t="n"/>
      <c r="F332" s="16" t="n"/>
      <c r="G332" s="16" t="n"/>
      <c r="H332" s="16" t="n"/>
      <c r="I332" s="13" t="n"/>
      <c r="J332" s="13" t="n"/>
      <c r="K332" s="13" t="n"/>
      <c r="L332" s="16" t="n"/>
      <c r="M332" s="16" t="n"/>
      <c r="N332" s="16" t="n"/>
      <c r="O332" s="13">
        <f>IF(OR(H332="",M332="ملغي"),0,H332*'حاسبة التسعير'!$B$19)</f>
        <v/>
      </c>
      <c r="P332" s="13">
        <f>IF(OR(I332="",M332="ملغي"),0,I332+J332-K332-O332)</f>
        <v/>
      </c>
      <c r="Q332" s="16" t="n"/>
    </row>
    <row r="333">
      <c r="A333" s="16" t="n"/>
      <c r="B333" s="20" t="n"/>
      <c r="C333" s="16" t="n"/>
      <c r="D333" s="16" t="n"/>
      <c r="E333" s="16" t="n"/>
      <c r="F333" s="16" t="n"/>
      <c r="G333" s="16" t="n"/>
      <c r="H333" s="16" t="n"/>
      <c r="I333" s="13" t="n"/>
      <c r="J333" s="13" t="n"/>
      <c r="K333" s="13" t="n"/>
      <c r="L333" s="16" t="n"/>
      <c r="M333" s="16" t="n"/>
      <c r="N333" s="16" t="n"/>
      <c r="O333" s="13">
        <f>IF(OR(H333="",M333="ملغي"),0,H333*'حاسبة التسعير'!$B$19)</f>
        <v/>
      </c>
      <c r="P333" s="13">
        <f>IF(OR(I333="",M333="ملغي"),0,I333+J333-K333-O333)</f>
        <v/>
      </c>
      <c r="Q333" s="16" t="n"/>
    </row>
    <row r="334">
      <c r="A334" s="16" t="n"/>
      <c r="B334" s="20" t="n"/>
      <c r="C334" s="16" t="n"/>
      <c r="D334" s="16" t="n"/>
      <c r="E334" s="16" t="n"/>
      <c r="F334" s="16" t="n"/>
      <c r="G334" s="16" t="n"/>
      <c r="H334" s="16" t="n"/>
      <c r="I334" s="13" t="n"/>
      <c r="J334" s="13" t="n"/>
      <c r="K334" s="13" t="n"/>
      <c r="L334" s="16" t="n"/>
      <c r="M334" s="16" t="n"/>
      <c r="N334" s="16" t="n"/>
      <c r="O334" s="13">
        <f>IF(OR(H334="",M334="ملغي"),0,H334*'حاسبة التسعير'!$B$19)</f>
        <v/>
      </c>
      <c r="P334" s="13">
        <f>IF(OR(I334="",M334="ملغي"),0,I334+J334-K334-O334)</f>
        <v/>
      </c>
      <c r="Q334" s="16" t="n"/>
    </row>
    <row r="335">
      <c r="A335" s="16" t="n"/>
      <c r="B335" s="20" t="n"/>
      <c r="C335" s="16" t="n"/>
      <c r="D335" s="16" t="n"/>
      <c r="E335" s="16" t="n"/>
      <c r="F335" s="16" t="n"/>
      <c r="G335" s="16" t="n"/>
      <c r="H335" s="16" t="n"/>
      <c r="I335" s="13" t="n"/>
      <c r="J335" s="13" t="n"/>
      <c r="K335" s="13" t="n"/>
      <c r="L335" s="16" t="n"/>
      <c r="M335" s="16" t="n"/>
      <c r="N335" s="16" t="n"/>
      <c r="O335" s="13">
        <f>IF(OR(H335="",M335="ملغي"),0,H335*'حاسبة التسعير'!$B$19)</f>
        <v/>
      </c>
      <c r="P335" s="13">
        <f>IF(OR(I335="",M335="ملغي"),0,I335+J335-K335-O335)</f>
        <v/>
      </c>
      <c r="Q335" s="16" t="n"/>
    </row>
    <row r="336">
      <c r="A336" s="16" t="n"/>
      <c r="B336" s="20" t="n"/>
      <c r="C336" s="16" t="n"/>
      <c r="D336" s="16" t="n"/>
      <c r="E336" s="16" t="n"/>
      <c r="F336" s="16" t="n"/>
      <c r="G336" s="16" t="n"/>
      <c r="H336" s="16" t="n"/>
      <c r="I336" s="13" t="n"/>
      <c r="J336" s="13" t="n"/>
      <c r="K336" s="13" t="n"/>
      <c r="L336" s="16" t="n"/>
      <c r="M336" s="16" t="n"/>
      <c r="N336" s="16" t="n"/>
      <c r="O336" s="13">
        <f>IF(OR(H336="",M336="ملغي"),0,H336*'حاسبة التسعير'!$B$19)</f>
        <v/>
      </c>
      <c r="P336" s="13">
        <f>IF(OR(I336="",M336="ملغي"),0,I336+J336-K336-O336)</f>
        <v/>
      </c>
      <c r="Q336" s="16" t="n"/>
    </row>
    <row r="337">
      <c r="A337" s="16" t="n"/>
      <c r="B337" s="20" t="n"/>
      <c r="C337" s="16" t="n"/>
      <c r="D337" s="16" t="n"/>
      <c r="E337" s="16" t="n"/>
      <c r="F337" s="16" t="n"/>
      <c r="G337" s="16" t="n"/>
      <c r="H337" s="16" t="n"/>
      <c r="I337" s="13" t="n"/>
      <c r="J337" s="13" t="n"/>
      <c r="K337" s="13" t="n"/>
      <c r="L337" s="16" t="n"/>
      <c r="M337" s="16" t="n"/>
      <c r="N337" s="16" t="n"/>
      <c r="O337" s="13">
        <f>IF(OR(H337="",M337="ملغي"),0,H337*'حاسبة التسعير'!$B$19)</f>
        <v/>
      </c>
      <c r="P337" s="13">
        <f>IF(OR(I337="",M337="ملغي"),0,I337+J337-K337-O337)</f>
        <v/>
      </c>
      <c r="Q337" s="16" t="n"/>
    </row>
    <row r="338">
      <c r="A338" s="16" t="n"/>
      <c r="B338" s="20" t="n"/>
      <c r="C338" s="16" t="n"/>
      <c r="D338" s="16" t="n"/>
      <c r="E338" s="16" t="n"/>
      <c r="F338" s="16" t="n"/>
      <c r="G338" s="16" t="n"/>
      <c r="H338" s="16" t="n"/>
      <c r="I338" s="13" t="n"/>
      <c r="J338" s="13" t="n"/>
      <c r="K338" s="13" t="n"/>
      <c r="L338" s="16" t="n"/>
      <c r="M338" s="16" t="n"/>
      <c r="N338" s="16" t="n"/>
      <c r="O338" s="13">
        <f>IF(OR(H338="",M338="ملغي"),0,H338*'حاسبة التسعير'!$B$19)</f>
        <v/>
      </c>
      <c r="P338" s="13">
        <f>IF(OR(I338="",M338="ملغي"),0,I338+J338-K338-O338)</f>
        <v/>
      </c>
      <c r="Q338" s="16" t="n"/>
    </row>
    <row r="339">
      <c r="A339" s="16" t="n"/>
      <c r="B339" s="20" t="n"/>
      <c r="C339" s="16" t="n"/>
      <c r="D339" s="16" t="n"/>
      <c r="E339" s="16" t="n"/>
      <c r="F339" s="16" t="n"/>
      <c r="G339" s="16" t="n"/>
      <c r="H339" s="16" t="n"/>
      <c r="I339" s="13" t="n"/>
      <c r="J339" s="13" t="n"/>
      <c r="K339" s="13" t="n"/>
      <c r="L339" s="16" t="n"/>
      <c r="M339" s="16" t="n"/>
      <c r="N339" s="16" t="n"/>
      <c r="O339" s="13">
        <f>IF(OR(H339="",M339="ملغي"),0,H339*'حاسبة التسعير'!$B$19)</f>
        <v/>
      </c>
      <c r="P339" s="13">
        <f>IF(OR(I339="",M339="ملغي"),0,I339+J339-K339-O339)</f>
        <v/>
      </c>
      <c r="Q339" s="16" t="n"/>
    </row>
    <row r="340">
      <c r="A340" s="16" t="n"/>
      <c r="B340" s="20" t="n"/>
      <c r="C340" s="16" t="n"/>
      <c r="D340" s="16" t="n"/>
      <c r="E340" s="16" t="n"/>
      <c r="F340" s="16" t="n"/>
      <c r="G340" s="16" t="n"/>
      <c r="H340" s="16" t="n"/>
      <c r="I340" s="13" t="n"/>
      <c r="J340" s="13" t="n"/>
      <c r="K340" s="13" t="n"/>
      <c r="L340" s="16" t="n"/>
      <c r="M340" s="16" t="n"/>
      <c r="N340" s="16" t="n"/>
      <c r="O340" s="13">
        <f>IF(OR(H340="",M340="ملغي"),0,H340*'حاسبة التسعير'!$B$19)</f>
        <v/>
      </c>
      <c r="P340" s="13">
        <f>IF(OR(I340="",M340="ملغي"),0,I340+J340-K340-O340)</f>
        <v/>
      </c>
      <c r="Q340" s="16" t="n"/>
    </row>
    <row r="341">
      <c r="A341" s="16" t="n"/>
      <c r="B341" s="20" t="n"/>
      <c r="C341" s="16" t="n"/>
      <c r="D341" s="16" t="n"/>
      <c r="E341" s="16" t="n"/>
      <c r="F341" s="16" t="n"/>
      <c r="G341" s="16" t="n"/>
      <c r="H341" s="16" t="n"/>
      <c r="I341" s="13" t="n"/>
      <c r="J341" s="13" t="n"/>
      <c r="K341" s="13" t="n"/>
      <c r="L341" s="16" t="n"/>
      <c r="M341" s="16" t="n"/>
      <c r="N341" s="16" t="n"/>
      <c r="O341" s="13">
        <f>IF(OR(H341="",M341="ملغي"),0,H341*'حاسبة التسعير'!$B$19)</f>
        <v/>
      </c>
      <c r="P341" s="13">
        <f>IF(OR(I341="",M341="ملغي"),0,I341+J341-K341-O341)</f>
        <v/>
      </c>
      <c r="Q341" s="16" t="n"/>
    </row>
    <row r="342">
      <c r="A342" s="16" t="n"/>
      <c r="B342" s="20" t="n"/>
      <c r="C342" s="16" t="n"/>
      <c r="D342" s="16" t="n"/>
      <c r="E342" s="16" t="n"/>
      <c r="F342" s="16" t="n"/>
      <c r="G342" s="16" t="n"/>
      <c r="H342" s="16" t="n"/>
      <c r="I342" s="13" t="n"/>
      <c r="J342" s="13" t="n"/>
      <c r="K342" s="13" t="n"/>
      <c r="L342" s="16" t="n"/>
      <c r="M342" s="16" t="n"/>
      <c r="N342" s="16" t="n"/>
      <c r="O342" s="13">
        <f>IF(OR(H342="",M342="ملغي"),0,H342*'حاسبة التسعير'!$B$19)</f>
        <v/>
      </c>
      <c r="P342" s="13">
        <f>IF(OR(I342="",M342="ملغي"),0,I342+J342-K342-O342)</f>
        <v/>
      </c>
      <c r="Q342" s="16" t="n"/>
    </row>
    <row r="343">
      <c r="A343" s="16" t="n"/>
      <c r="B343" s="20" t="n"/>
      <c r="C343" s="16" t="n"/>
      <c r="D343" s="16" t="n"/>
      <c r="E343" s="16" t="n"/>
      <c r="F343" s="16" t="n"/>
      <c r="G343" s="16" t="n"/>
      <c r="H343" s="16" t="n"/>
      <c r="I343" s="13" t="n"/>
      <c r="J343" s="13" t="n"/>
      <c r="K343" s="13" t="n"/>
      <c r="L343" s="16" t="n"/>
      <c r="M343" s="16" t="n"/>
      <c r="N343" s="16" t="n"/>
      <c r="O343" s="13">
        <f>IF(OR(H343="",M343="ملغي"),0,H343*'حاسبة التسعير'!$B$19)</f>
        <v/>
      </c>
      <c r="P343" s="13">
        <f>IF(OR(I343="",M343="ملغي"),0,I343+J343-K343-O343)</f>
        <v/>
      </c>
      <c r="Q343" s="16" t="n"/>
    </row>
    <row r="344">
      <c r="A344" s="16" t="n"/>
      <c r="B344" s="20" t="n"/>
      <c r="C344" s="16" t="n"/>
      <c r="D344" s="16" t="n"/>
      <c r="E344" s="16" t="n"/>
      <c r="F344" s="16" t="n"/>
      <c r="G344" s="16" t="n"/>
      <c r="H344" s="16" t="n"/>
      <c r="I344" s="13" t="n"/>
      <c r="J344" s="13" t="n"/>
      <c r="K344" s="13" t="n"/>
      <c r="L344" s="16" t="n"/>
      <c r="M344" s="16" t="n"/>
      <c r="N344" s="16" t="n"/>
      <c r="O344" s="13">
        <f>IF(OR(H344="",M344="ملغي"),0,H344*'حاسبة التسعير'!$B$19)</f>
        <v/>
      </c>
      <c r="P344" s="13">
        <f>IF(OR(I344="",M344="ملغي"),0,I344+J344-K344-O344)</f>
        <v/>
      </c>
      <c r="Q344" s="16" t="n"/>
    </row>
    <row r="345">
      <c r="A345" s="16" t="n"/>
      <c r="B345" s="20" t="n"/>
      <c r="C345" s="16" t="n"/>
      <c r="D345" s="16" t="n"/>
      <c r="E345" s="16" t="n"/>
      <c r="F345" s="16" t="n"/>
      <c r="G345" s="16" t="n"/>
      <c r="H345" s="16" t="n"/>
      <c r="I345" s="13" t="n"/>
      <c r="J345" s="13" t="n"/>
      <c r="K345" s="13" t="n"/>
      <c r="L345" s="16" t="n"/>
      <c r="M345" s="16" t="n"/>
      <c r="N345" s="16" t="n"/>
      <c r="O345" s="13">
        <f>IF(OR(H345="",M345="ملغي"),0,H345*'حاسبة التسعير'!$B$19)</f>
        <v/>
      </c>
      <c r="P345" s="13">
        <f>IF(OR(I345="",M345="ملغي"),0,I345+J345-K345-O345)</f>
        <v/>
      </c>
      <c r="Q345" s="16" t="n"/>
    </row>
    <row r="346">
      <c r="A346" s="16" t="n"/>
      <c r="B346" s="20" t="n"/>
      <c r="C346" s="16" t="n"/>
      <c r="D346" s="16" t="n"/>
      <c r="E346" s="16" t="n"/>
      <c r="F346" s="16" t="n"/>
      <c r="G346" s="16" t="n"/>
      <c r="H346" s="16" t="n"/>
      <c r="I346" s="13" t="n"/>
      <c r="J346" s="13" t="n"/>
      <c r="K346" s="13" t="n"/>
      <c r="L346" s="16" t="n"/>
      <c r="M346" s="16" t="n"/>
      <c r="N346" s="16" t="n"/>
      <c r="O346" s="13">
        <f>IF(OR(H346="",M346="ملغي"),0,H346*'حاسبة التسعير'!$B$19)</f>
        <v/>
      </c>
      <c r="P346" s="13">
        <f>IF(OR(I346="",M346="ملغي"),0,I346+J346-K346-O346)</f>
        <v/>
      </c>
      <c r="Q346" s="16" t="n"/>
    </row>
    <row r="347">
      <c r="A347" s="16" t="n"/>
      <c r="B347" s="20" t="n"/>
      <c r="C347" s="16" t="n"/>
      <c r="D347" s="16" t="n"/>
      <c r="E347" s="16" t="n"/>
      <c r="F347" s="16" t="n"/>
      <c r="G347" s="16" t="n"/>
      <c r="H347" s="16" t="n"/>
      <c r="I347" s="13" t="n"/>
      <c r="J347" s="13" t="n"/>
      <c r="K347" s="13" t="n"/>
      <c r="L347" s="16" t="n"/>
      <c r="M347" s="16" t="n"/>
      <c r="N347" s="16" t="n"/>
      <c r="O347" s="13">
        <f>IF(OR(H347="",M347="ملغي"),0,H347*'حاسبة التسعير'!$B$19)</f>
        <v/>
      </c>
      <c r="P347" s="13">
        <f>IF(OR(I347="",M347="ملغي"),0,I347+J347-K347-O347)</f>
        <v/>
      </c>
      <c r="Q347" s="16" t="n"/>
    </row>
    <row r="348">
      <c r="A348" s="16" t="n"/>
      <c r="B348" s="20" t="n"/>
      <c r="C348" s="16" t="n"/>
      <c r="D348" s="16" t="n"/>
      <c r="E348" s="16" t="n"/>
      <c r="F348" s="16" t="n"/>
      <c r="G348" s="16" t="n"/>
      <c r="H348" s="16" t="n"/>
      <c r="I348" s="13" t="n"/>
      <c r="J348" s="13" t="n"/>
      <c r="K348" s="13" t="n"/>
      <c r="L348" s="16" t="n"/>
      <c r="M348" s="16" t="n"/>
      <c r="N348" s="16" t="n"/>
      <c r="O348" s="13">
        <f>IF(OR(H348="",M348="ملغي"),0,H348*'حاسبة التسعير'!$B$19)</f>
        <v/>
      </c>
      <c r="P348" s="13">
        <f>IF(OR(I348="",M348="ملغي"),0,I348+J348-K348-O348)</f>
        <v/>
      </c>
      <c r="Q348" s="16" t="n"/>
    </row>
    <row r="349">
      <c r="A349" s="16" t="n"/>
      <c r="B349" s="20" t="n"/>
      <c r="C349" s="16" t="n"/>
      <c r="D349" s="16" t="n"/>
      <c r="E349" s="16" t="n"/>
      <c r="F349" s="16" t="n"/>
      <c r="G349" s="16" t="n"/>
      <c r="H349" s="16" t="n"/>
      <c r="I349" s="13" t="n"/>
      <c r="J349" s="13" t="n"/>
      <c r="K349" s="13" t="n"/>
      <c r="L349" s="16" t="n"/>
      <c r="M349" s="16" t="n"/>
      <c r="N349" s="16" t="n"/>
      <c r="O349" s="13">
        <f>IF(OR(H349="",M349="ملغي"),0,H349*'حاسبة التسعير'!$B$19)</f>
        <v/>
      </c>
      <c r="P349" s="13">
        <f>IF(OR(I349="",M349="ملغي"),0,I349+J349-K349-O349)</f>
        <v/>
      </c>
      <c r="Q349" s="16" t="n"/>
    </row>
    <row r="350">
      <c r="A350" s="16" t="n"/>
      <c r="B350" s="20" t="n"/>
      <c r="C350" s="16" t="n"/>
      <c r="D350" s="16" t="n"/>
      <c r="E350" s="16" t="n"/>
      <c r="F350" s="16" t="n"/>
      <c r="G350" s="16" t="n"/>
      <c r="H350" s="16" t="n"/>
      <c r="I350" s="13" t="n"/>
      <c r="J350" s="13" t="n"/>
      <c r="K350" s="13" t="n"/>
      <c r="L350" s="16" t="n"/>
      <c r="M350" s="16" t="n"/>
      <c r="N350" s="16" t="n"/>
      <c r="O350" s="13">
        <f>IF(OR(H350="",M350="ملغي"),0,H350*'حاسبة التسعير'!$B$19)</f>
        <v/>
      </c>
      <c r="P350" s="13">
        <f>IF(OR(I350="",M350="ملغي"),0,I350+J350-K350-O350)</f>
        <v/>
      </c>
      <c r="Q350" s="16" t="n"/>
    </row>
    <row r="351">
      <c r="A351" s="16" t="n"/>
      <c r="B351" s="20" t="n"/>
      <c r="C351" s="16" t="n"/>
      <c r="D351" s="16" t="n"/>
      <c r="E351" s="16" t="n"/>
      <c r="F351" s="16" t="n"/>
      <c r="G351" s="16" t="n"/>
      <c r="H351" s="16" t="n"/>
      <c r="I351" s="13" t="n"/>
      <c r="J351" s="13" t="n"/>
      <c r="K351" s="13" t="n"/>
      <c r="L351" s="16" t="n"/>
      <c r="M351" s="16" t="n"/>
      <c r="N351" s="16" t="n"/>
      <c r="O351" s="13">
        <f>IF(OR(H351="",M351="ملغي"),0,H351*'حاسبة التسعير'!$B$19)</f>
        <v/>
      </c>
      <c r="P351" s="13">
        <f>IF(OR(I351="",M351="ملغي"),0,I351+J351-K351-O351)</f>
        <v/>
      </c>
      <c r="Q351" s="16" t="n"/>
    </row>
    <row r="352">
      <c r="A352" s="16" t="n"/>
      <c r="B352" s="20" t="n"/>
      <c r="C352" s="16" t="n"/>
      <c r="D352" s="16" t="n"/>
      <c r="E352" s="16" t="n"/>
      <c r="F352" s="16" t="n"/>
      <c r="G352" s="16" t="n"/>
      <c r="H352" s="16" t="n"/>
      <c r="I352" s="13" t="n"/>
      <c r="J352" s="13" t="n"/>
      <c r="K352" s="13" t="n"/>
      <c r="L352" s="16" t="n"/>
      <c r="M352" s="16" t="n"/>
      <c r="N352" s="16" t="n"/>
      <c r="O352" s="13">
        <f>IF(OR(H352="",M352="ملغي"),0,H352*'حاسبة التسعير'!$B$19)</f>
        <v/>
      </c>
      <c r="P352" s="13">
        <f>IF(OR(I352="",M352="ملغي"),0,I352+J352-K352-O352)</f>
        <v/>
      </c>
      <c r="Q352" s="16" t="n"/>
    </row>
    <row r="353">
      <c r="A353" s="16" t="n"/>
      <c r="B353" s="20" t="n"/>
      <c r="C353" s="16" t="n"/>
      <c r="D353" s="16" t="n"/>
      <c r="E353" s="16" t="n"/>
      <c r="F353" s="16" t="n"/>
      <c r="G353" s="16" t="n"/>
      <c r="H353" s="16" t="n"/>
      <c r="I353" s="13" t="n"/>
      <c r="J353" s="13" t="n"/>
      <c r="K353" s="13" t="n"/>
      <c r="L353" s="16" t="n"/>
      <c r="M353" s="16" t="n"/>
      <c r="N353" s="16" t="n"/>
      <c r="O353" s="13">
        <f>IF(OR(H353="",M353="ملغي"),0,H353*'حاسبة التسعير'!$B$19)</f>
        <v/>
      </c>
      <c r="P353" s="13">
        <f>IF(OR(I353="",M353="ملغي"),0,I353+J353-K353-O353)</f>
        <v/>
      </c>
      <c r="Q353" s="16" t="n"/>
    </row>
    <row r="354">
      <c r="A354" s="16" t="n"/>
      <c r="B354" s="20" t="n"/>
      <c r="C354" s="16" t="n"/>
      <c r="D354" s="16" t="n"/>
      <c r="E354" s="16" t="n"/>
      <c r="F354" s="16" t="n"/>
      <c r="G354" s="16" t="n"/>
      <c r="H354" s="16" t="n"/>
      <c r="I354" s="13" t="n"/>
      <c r="J354" s="13" t="n"/>
      <c r="K354" s="13" t="n"/>
      <c r="L354" s="16" t="n"/>
      <c r="M354" s="16" t="n"/>
      <c r="N354" s="16" t="n"/>
      <c r="O354" s="13">
        <f>IF(OR(H354="",M354="ملغي"),0,H354*'حاسبة التسعير'!$B$19)</f>
        <v/>
      </c>
      <c r="P354" s="13">
        <f>IF(OR(I354="",M354="ملغي"),0,I354+J354-K354-O354)</f>
        <v/>
      </c>
      <c r="Q354" s="16" t="n"/>
    </row>
    <row r="355">
      <c r="A355" s="16" t="n"/>
      <c r="B355" s="20" t="n"/>
      <c r="C355" s="16" t="n"/>
      <c r="D355" s="16" t="n"/>
      <c r="E355" s="16" t="n"/>
      <c r="F355" s="16" t="n"/>
      <c r="G355" s="16" t="n"/>
      <c r="H355" s="16" t="n"/>
      <c r="I355" s="13" t="n"/>
      <c r="J355" s="13" t="n"/>
      <c r="K355" s="13" t="n"/>
      <c r="L355" s="16" t="n"/>
      <c r="M355" s="16" t="n"/>
      <c r="N355" s="16" t="n"/>
      <c r="O355" s="13">
        <f>IF(OR(H355="",M355="ملغي"),0,H355*'حاسبة التسعير'!$B$19)</f>
        <v/>
      </c>
      <c r="P355" s="13">
        <f>IF(OR(I355="",M355="ملغي"),0,I355+J355-K355-O355)</f>
        <v/>
      </c>
      <c r="Q355" s="16" t="n"/>
    </row>
    <row r="356">
      <c r="A356" s="16" t="n"/>
      <c r="B356" s="20" t="n"/>
      <c r="C356" s="16" t="n"/>
      <c r="D356" s="16" t="n"/>
      <c r="E356" s="16" t="n"/>
      <c r="F356" s="16" t="n"/>
      <c r="G356" s="16" t="n"/>
      <c r="H356" s="16" t="n"/>
      <c r="I356" s="13" t="n"/>
      <c r="J356" s="13" t="n"/>
      <c r="K356" s="13" t="n"/>
      <c r="L356" s="16" t="n"/>
      <c r="M356" s="16" t="n"/>
      <c r="N356" s="16" t="n"/>
      <c r="O356" s="13">
        <f>IF(OR(H356="",M356="ملغي"),0,H356*'حاسبة التسعير'!$B$19)</f>
        <v/>
      </c>
      <c r="P356" s="13">
        <f>IF(OR(I356="",M356="ملغي"),0,I356+J356-K356-O356)</f>
        <v/>
      </c>
      <c r="Q356" s="16" t="n"/>
    </row>
    <row r="357">
      <c r="A357" s="16" t="n"/>
      <c r="B357" s="20" t="n"/>
      <c r="C357" s="16" t="n"/>
      <c r="D357" s="16" t="n"/>
      <c r="E357" s="16" t="n"/>
      <c r="F357" s="16" t="n"/>
      <c r="G357" s="16" t="n"/>
      <c r="H357" s="16" t="n"/>
      <c r="I357" s="13" t="n"/>
      <c r="J357" s="13" t="n"/>
      <c r="K357" s="13" t="n"/>
      <c r="L357" s="16" t="n"/>
      <c r="M357" s="16" t="n"/>
      <c r="N357" s="16" t="n"/>
      <c r="O357" s="13">
        <f>IF(OR(H357="",M357="ملغي"),0,H357*'حاسبة التسعير'!$B$19)</f>
        <v/>
      </c>
      <c r="P357" s="13">
        <f>IF(OR(I357="",M357="ملغي"),0,I357+J357-K357-O357)</f>
        <v/>
      </c>
      <c r="Q357" s="16" t="n"/>
    </row>
    <row r="358">
      <c r="A358" s="16" t="n"/>
      <c r="B358" s="20" t="n"/>
      <c r="C358" s="16" t="n"/>
      <c r="D358" s="16" t="n"/>
      <c r="E358" s="16" t="n"/>
      <c r="F358" s="16" t="n"/>
      <c r="G358" s="16" t="n"/>
      <c r="H358" s="16" t="n"/>
      <c r="I358" s="13" t="n"/>
      <c r="J358" s="13" t="n"/>
      <c r="K358" s="13" t="n"/>
      <c r="L358" s="16" t="n"/>
      <c r="M358" s="16" t="n"/>
      <c r="N358" s="16" t="n"/>
      <c r="O358" s="13">
        <f>IF(OR(H358="",M358="ملغي"),0,H358*'حاسبة التسعير'!$B$19)</f>
        <v/>
      </c>
      <c r="P358" s="13">
        <f>IF(OR(I358="",M358="ملغي"),0,I358+J358-K358-O358)</f>
        <v/>
      </c>
      <c r="Q358" s="16" t="n"/>
    </row>
    <row r="359">
      <c r="A359" s="16" t="n"/>
      <c r="B359" s="20" t="n"/>
      <c r="C359" s="16" t="n"/>
      <c r="D359" s="16" t="n"/>
      <c r="E359" s="16" t="n"/>
      <c r="F359" s="16" t="n"/>
      <c r="G359" s="16" t="n"/>
      <c r="H359" s="16" t="n"/>
      <c r="I359" s="13" t="n"/>
      <c r="J359" s="13" t="n"/>
      <c r="K359" s="13" t="n"/>
      <c r="L359" s="16" t="n"/>
      <c r="M359" s="16" t="n"/>
      <c r="N359" s="16" t="n"/>
      <c r="O359" s="13">
        <f>IF(OR(H359="",M359="ملغي"),0,H359*'حاسبة التسعير'!$B$19)</f>
        <v/>
      </c>
      <c r="P359" s="13">
        <f>IF(OR(I359="",M359="ملغي"),0,I359+J359-K359-O359)</f>
        <v/>
      </c>
      <c r="Q359" s="16" t="n"/>
    </row>
    <row r="360">
      <c r="A360" s="16" t="n"/>
      <c r="B360" s="20" t="n"/>
      <c r="C360" s="16" t="n"/>
      <c r="D360" s="16" t="n"/>
      <c r="E360" s="16" t="n"/>
      <c r="F360" s="16" t="n"/>
      <c r="G360" s="16" t="n"/>
      <c r="H360" s="16" t="n"/>
      <c r="I360" s="13" t="n"/>
      <c r="J360" s="13" t="n"/>
      <c r="K360" s="13" t="n"/>
      <c r="L360" s="16" t="n"/>
      <c r="M360" s="16" t="n"/>
      <c r="N360" s="16" t="n"/>
      <c r="O360" s="13">
        <f>IF(OR(H360="",M360="ملغي"),0,H360*'حاسبة التسعير'!$B$19)</f>
        <v/>
      </c>
      <c r="P360" s="13">
        <f>IF(OR(I360="",M360="ملغي"),0,I360+J360-K360-O360)</f>
        <v/>
      </c>
      <c r="Q360" s="16" t="n"/>
    </row>
    <row r="361">
      <c r="A361" s="16" t="n"/>
      <c r="B361" s="20" t="n"/>
      <c r="C361" s="16" t="n"/>
      <c r="D361" s="16" t="n"/>
      <c r="E361" s="16" t="n"/>
      <c r="F361" s="16" t="n"/>
      <c r="G361" s="16" t="n"/>
      <c r="H361" s="16" t="n"/>
      <c r="I361" s="13" t="n"/>
      <c r="J361" s="13" t="n"/>
      <c r="K361" s="13" t="n"/>
      <c r="L361" s="16" t="n"/>
      <c r="M361" s="16" t="n"/>
      <c r="N361" s="16" t="n"/>
      <c r="O361" s="13">
        <f>IF(OR(H361="",M361="ملغي"),0,H361*'حاسبة التسعير'!$B$19)</f>
        <v/>
      </c>
      <c r="P361" s="13">
        <f>IF(OR(I361="",M361="ملغي"),0,I361+J361-K361-O361)</f>
        <v/>
      </c>
      <c r="Q361" s="16" t="n"/>
    </row>
    <row r="362">
      <c r="A362" s="16" t="n"/>
      <c r="B362" s="20" t="n"/>
      <c r="C362" s="16" t="n"/>
      <c r="D362" s="16" t="n"/>
      <c r="E362" s="16" t="n"/>
      <c r="F362" s="16" t="n"/>
      <c r="G362" s="16" t="n"/>
      <c r="H362" s="16" t="n"/>
      <c r="I362" s="13" t="n"/>
      <c r="J362" s="13" t="n"/>
      <c r="K362" s="13" t="n"/>
      <c r="L362" s="16" t="n"/>
      <c r="M362" s="16" t="n"/>
      <c r="N362" s="16" t="n"/>
      <c r="O362" s="13">
        <f>IF(OR(H362="",M362="ملغي"),0,H362*'حاسبة التسعير'!$B$19)</f>
        <v/>
      </c>
      <c r="P362" s="13">
        <f>IF(OR(I362="",M362="ملغي"),0,I362+J362-K362-O362)</f>
        <v/>
      </c>
      <c r="Q362" s="16" t="n"/>
    </row>
    <row r="363">
      <c r="A363" s="16" t="n"/>
      <c r="B363" s="20" t="n"/>
      <c r="C363" s="16" t="n"/>
      <c r="D363" s="16" t="n"/>
      <c r="E363" s="16" t="n"/>
      <c r="F363" s="16" t="n"/>
      <c r="G363" s="16" t="n"/>
      <c r="H363" s="16" t="n"/>
      <c r="I363" s="13" t="n"/>
      <c r="J363" s="13" t="n"/>
      <c r="K363" s="13" t="n"/>
      <c r="L363" s="16" t="n"/>
      <c r="M363" s="16" t="n"/>
      <c r="N363" s="16" t="n"/>
      <c r="O363" s="13">
        <f>IF(OR(H363="",M363="ملغي"),0,H363*'حاسبة التسعير'!$B$19)</f>
        <v/>
      </c>
      <c r="P363" s="13">
        <f>IF(OR(I363="",M363="ملغي"),0,I363+J363-K363-O363)</f>
        <v/>
      </c>
      <c r="Q363" s="16" t="n"/>
    </row>
    <row r="364">
      <c r="A364" s="16" t="n"/>
      <c r="B364" s="20" t="n"/>
      <c r="C364" s="16" t="n"/>
      <c r="D364" s="16" t="n"/>
      <c r="E364" s="16" t="n"/>
      <c r="F364" s="16" t="n"/>
      <c r="G364" s="16" t="n"/>
      <c r="H364" s="16" t="n"/>
      <c r="I364" s="13" t="n"/>
      <c r="J364" s="13" t="n"/>
      <c r="K364" s="13" t="n"/>
      <c r="L364" s="16" t="n"/>
      <c r="M364" s="16" t="n"/>
      <c r="N364" s="16" t="n"/>
      <c r="O364" s="13">
        <f>IF(OR(H364="",M364="ملغي"),0,H364*'حاسبة التسعير'!$B$19)</f>
        <v/>
      </c>
      <c r="P364" s="13">
        <f>IF(OR(I364="",M364="ملغي"),0,I364+J364-K364-O364)</f>
        <v/>
      </c>
      <c r="Q364" s="16" t="n"/>
    </row>
    <row r="365">
      <c r="A365" s="16" t="n"/>
      <c r="B365" s="20" t="n"/>
      <c r="C365" s="16" t="n"/>
      <c r="D365" s="16" t="n"/>
      <c r="E365" s="16" t="n"/>
      <c r="F365" s="16" t="n"/>
      <c r="G365" s="16" t="n"/>
      <c r="H365" s="16" t="n"/>
      <c r="I365" s="13" t="n"/>
      <c r="J365" s="13" t="n"/>
      <c r="K365" s="13" t="n"/>
      <c r="L365" s="16" t="n"/>
      <c r="M365" s="16" t="n"/>
      <c r="N365" s="16" t="n"/>
      <c r="O365" s="13">
        <f>IF(OR(H365="",M365="ملغي"),0,H365*'حاسبة التسعير'!$B$19)</f>
        <v/>
      </c>
      <c r="P365" s="13">
        <f>IF(OR(I365="",M365="ملغي"),0,I365+J365-K365-O365)</f>
        <v/>
      </c>
      <c r="Q365" s="16" t="n"/>
    </row>
    <row r="366">
      <c r="A366" s="16" t="n"/>
      <c r="B366" s="20" t="n"/>
      <c r="C366" s="16" t="n"/>
      <c r="D366" s="16" t="n"/>
      <c r="E366" s="16" t="n"/>
      <c r="F366" s="16" t="n"/>
      <c r="G366" s="16" t="n"/>
      <c r="H366" s="16" t="n"/>
      <c r="I366" s="13" t="n"/>
      <c r="J366" s="13" t="n"/>
      <c r="K366" s="13" t="n"/>
      <c r="L366" s="16" t="n"/>
      <c r="M366" s="16" t="n"/>
      <c r="N366" s="16" t="n"/>
      <c r="O366" s="13">
        <f>IF(OR(H366="",M366="ملغي"),0,H366*'حاسبة التسعير'!$B$19)</f>
        <v/>
      </c>
      <c r="P366" s="13">
        <f>IF(OR(I366="",M366="ملغي"),0,I366+J366-K366-O366)</f>
        <v/>
      </c>
      <c r="Q366" s="16" t="n"/>
    </row>
    <row r="367">
      <c r="A367" s="16" t="n"/>
      <c r="B367" s="20" t="n"/>
      <c r="C367" s="16" t="n"/>
      <c r="D367" s="16" t="n"/>
      <c r="E367" s="16" t="n"/>
      <c r="F367" s="16" t="n"/>
      <c r="G367" s="16" t="n"/>
      <c r="H367" s="16" t="n"/>
      <c r="I367" s="13" t="n"/>
      <c r="J367" s="13" t="n"/>
      <c r="K367" s="13" t="n"/>
      <c r="L367" s="16" t="n"/>
      <c r="M367" s="16" t="n"/>
      <c r="N367" s="16" t="n"/>
      <c r="O367" s="13">
        <f>IF(OR(H367="",M367="ملغي"),0,H367*'حاسبة التسعير'!$B$19)</f>
        <v/>
      </c>
      <c r="P367" s="13">
        <f>IF(OR(I367="",M367="ملغي"),0,I367+J367-K367-O367)</f>
        <v/>
      </c>
      <c r="Q367" s="16" t="n"/>
    </row>
    <row r="368">
      <c r="A368" s="16" t="n"/>
      <c r="B368" s="20" t="n"/>
      <c r="C368" s="16" t="n"/>
      <c r="D368" s="16" t="n"/>
      <c r="E368" s="16" t="n"/>
      <c r="F368" s="16" t="n"/>
      <c r="G368" s="16" t="n"/>
      <c r="H368" s="16" t="n"/>
      <c r="I368" s="13" t="n"/>
      <c r="J368" s="13" t="n"/>
      <c r="K368" s="13" t="n"/>
      <c r="L368" s="16" t="n"/>
      <c r="M368" s="16" t="n"/>
      <c r="N368" s="16" t="n"/>
      <c r="O368" s="13">
        <f>IF(OR(H368="",M368="ملغي"),0,H368*'حاسبة التسعير'!$B$19)</f>
        <v/>
      </c>
      <c r="P368" s="13">
        <f>IF(OR(I368="",M368="ملغي"),0,I368+J368-K368-O368)</f>
        <v/>
      </c>
      <c r="Q368" s="16" t="n"/>
    </row>
    <row r="369">
      <c r="A369" s="16" t="n"/>
      <c r="B369" s="20" t="n"/>
      <c r="C369" s="16" t="n"/>
      <c r="D369" s="16" t="n"/>
      <c r="E369" s="16" t="n"/>
      <c r="F369" s="16" t="n"/>
      <c r="G369" s="16" t="n"/>
      <c r="H369" s="16" t="n"/>
      <c r="I369" s="13" t="n"/>
      <c r="J369" s="13" t="n"/>
      <c r="K369" s="13" t="n"/>
      <c r="L369" s="16" t="n"/>
      <c r="M369" s="16" t="n"/>
      <c r="N369" s="16" t="n"/>
      <c r="O369" s="13">
        <f>IF(OR(H369="",M369="ملغي"),0,H369*'حاسبة التسعير'!$B$19)</f>
        <v/>
      </c>
      <c r="P369" s="13">
        <f>IF(OR(I369="",M369="ملغي"),0,I369+J369-K369-O369)</f>
        <v/>
      </c>
      <c r="Q369" s="16" t="n"/>
    </row>
    <row r="370">
      <c r="A370" s="16" t="n"/>
      <c r="B370" s="20" t="n"/>
      <c r="C370" s="16" t="n"/>
      <c r="D370" s="16" t="n"/>
      <c r="E370" s="16" t="n"/>
      <c r="F370" s="16" t="n"/>
      <c r="G370" s="16" t="n"/>
      <c r="H370" s="16" t="n"/>
      <c r="I370" s="13" t="n"/>
      <c r="J370" s="13" t="n"/>
      <c r="K370" s="13" t="n"/>
      <c r="L370" s="16" t="n"/>
      <c r="M370" s="16" t="n"/>
      <c r="N370" s="16" t="n"/>
      <c r="O370" s="13">
        <f>IF(OR(H370="",M370="ملغي"),0,H370*'حاسبة التسعير'!$B$19)</f>
        <v/>
      </c>
      <c r="P370" s="13">
        <f>IF(OR(I370="",M370="ملغي"),0,I370+J370-K370-O370)</f>
        <v/>
      </c>
      <c r="Q370" s="16" t="n"/>
    </row>
    <row r="371">
      <c r="A371" s="16" t="n"/>
      <c r="B371" s="20" t="n"/>
      <c r="C371" s="16" t="n"/>
      <c r="D371" s="16" t="n"/>
      <c r="E371" s="16" t="n"/>
      <c r="F371" s="16" t="n"/>
      <c r="G371" s="16" t="n"/>
      <c r="H371" s="16" t="n"/>
      <c r="I371" s="13" t="n"/>
      <c r="J371" s="13" t="n"/>
      <c r="K371" s="13" t="n"/>
      <c r="L371" s="16" t="n"/>
      <c r="M371" s="16" t="n"/>
      <c r="N371" s="16" t="n"/>
      <c r="O371" s="13">
        <f>IF(OR(H371="",M371="ملغي"),0,H371*'حاسبة التسعير'!$B$19)</f>
        <v/>
      </c>
      <c r="P371" s="13">
        <f>IF(OR(I371="",M371="ملغي"),0,I371+J371-K371-O371)</f>
        <v/>
      </c>
      <c r="Q371" s="16" t="n"/>
    </row>
    <row r="372">
      <c r="A372" s="16" t="n"/>
      <c r="B372" s="20" t="n"/>
      <c r="C372" s="16" t="n"/>
      <c r="D372" s="16" t="n"/>
      <c r="E372" s="16" t="n"/>
      <c r="F372" s="16" t="n"/>
      <c r="G372" s="16" t="n"/>
      <c r="H372" s="16" t="n"/>
      <c r="I372" s="13" t="n"/>
      <c r="J372" s="13" t="n"/>
      <c r="K372" s="13" t="n"/>
      <c r="L372" s="16" t="n"/>
      <c r="M372" s="16" t="n"/>
      <c r="N372" s="16" t="n"/>
      <c r="O372" s="13">
        <f>IF(OR(H372="",M372="ملغي"),0,H372*'حاسبة التسعير'!$B$19)</f>
        <v/>
      </c>
      <c r="P372" s="13">
        <f>IF(OR(I372="",M372="ملغي"),0,I372+J372-K372-O372)</f>
        <v/>
      </c>
      <c r="Q372" s="16" t="n"/>
    </row>
    <row r="373">
      <c r="A373" s="16" t="n"/>
      <c r="B373" s="20" t="n"/>
      <c r="C373" s="16" t="n"/>
      <c r="D373" s="16" t="n"/>
      <c r="E373" s="16" t="n"/>
      <c r="F373" s="16" t="n"/>
      <c r="G373" s="16" t="n"/>
      <c r="H373" s="16" t="n"/>
      <c r="I373" s="13" t="n"/>
      <c r="J373" s="13" t="n"/>
      <c r="K373" s="13" t="n"/>
      <c r="L373" s="16" t="n"/>
      <c r="M373" s="16" t="n"/>
      <c r="N373" s="16" t="n"/>
      <c r="O373" s="13">
        <f>IF(OR(H373="",M373="ملغي"),0,H373*'حاسبة التسعير'!$B$19)</f>
        <v/>
      </c>
      <c r="P373" s="13">
        <f>IF(OR(I373="",M373="ملغي"),0,I373+J373-K373-O373)</f>
        <v/>
      </c>
      <c r="Q373" s="16" t="n"/>
    </row>
    <row r="374">
      <c r="A374" s="16" t="n"/>
      <c r="B374" s="20" t="n"/>
      <c r="C374" s="16" t="n"/>
      <c r="D374" s="16" t="n"/>
      <c r="E374" s="16" t="n"/>
      <c r="F374" s="16" t="n"/>
      <c r="G374" s="16" t="n"/>
      <c r="H374" s="16" t="n"/>
      <c r="I374" s="13" t="n"/>
      <c r="J374" s="13" t="n"/>
      <c r="K374" s="13" t="n"/>
      <c r="L374" s="16" t="n"/>
      <c r="M374" s="16" t="n"/>
      <c r="N374" s="16" t="n"/>
      <c r="O374" s="13">
        <f>IF(OR(H374="",M374="ملغي"),0,H374*'حاسبة التسعير'!$B$19)</f>
        <v/>
      </c>
      <c r="P374" s="13">
        <f>IF(OR(I374="",M374="ملغي"),0,I374+J374-K374-O374)</f>
        <v/>
      </c>
      <c r="Q374" s="16" t="n"/>
    </row>
    <row r="375">
      <c r="A375" s="16" t="n"/>
      <c r="B375" s="20" t="n"/>
      <c r="C375" s="16" t="n"/>
      <c r="D375" s="16" t="n"/>
      <c r="E375" s="16" t="n"/>
      <c r="F375" s="16" t="n"/>
      <c r="G375" s="16" t="n"/>
      <c r="H375" s="16" t="n"/>
      <c r="I375" s="13" t="n"/>
      <c r="J375" s="13" t="n"/>
      <c r="K375" s="13" t="n"/>
      <c r="L375" s="16" t="n"/>
      <c r="M375" s="16" t="n"/>
      <c r="N375" s="16" t="n"/>
      <c r="O375" s="13">
        <f>IF(OR(H375="",M375="ملغي"),0,H375*'حاسبة التسعير'!$B$19)</f>
        <v/>
      </c>
      <c r="P375" s="13">
        <f>IF(OR(I375="",M375="ملغي"),0,I375+J375-K375-O375)</f>
        <v/>
      </c>
      <c r="Q375" s="16" t="n"/>
    </row>
    <row r="376">
      <c r="A376" s="16" t="n"/>
      <c r="B376" s="20" t="n"/>
      <c r="C376" s="16" t="n"/>
      <c r="D376" s="16" t="n"/>
      <c r="E376" s="16" t="n"/>
      <c r="F376" s="16" t="n"/>
      <c r="G376" s="16" t="n"/>
      <c r="H376" s="16" t="n"/>
      <c r="I376" s="13" t="n"/>
      <c r="J376" s="13" t="n"/>
      <c r="K376" s="13" t="n"/>
      <c r="L376" s="16" t="n"/>
      <c r="M376" s="16" t="n"/>
      <c r="N376" s="16" t="n"/>
      <c r="O376" s="13">
        <f>IF(OR(H376="",M376="ملغي"),0,H376*'حاسبة التسعير'!$B$19)</f>
        <v/>
      </c>
      <c r="P376" s="13">
        <f>IF(OR(I376="",M376="ملغي"),0,I376+J376-K376-O376)</f>
        <v/>
      </c>
      <c r="Q376" s="16" t="n"/>
    </row>
    <row r="377">
      <c r="A377" s="16" t="n"/>
      <c r="B377" s="20" t="n"/>
      <c r="C377" s="16" t="n"/>
      <c r="D377" s="16" t="n"/>
      <c r="E377" s="16" t="n"/>
      <c r="F377" s="16" t="n"/>
      <c r="G377" s="16" t="n"/>
      <c r="H377" s="16" t="n"/>
      <c r="I377" s="13" t="n"/>
      <c r="J377" s="13" t="n"/>
      <c r="K377" s="13" t="n"/>
      <c r="L377" s="16" t="n"/>
      <c r="M377" s="16" t="n"/>
      <c r="N377" s="16" t="n"/>
      <c r="O377" s="13">
        <f>IF(OR(H377="",M377="ملغي"),0,H377*'حاسبة التسعير'!$B$19)</f>
        <v/>
      </c>
      <c r="P377" s="13">
        <f>IF(OR(I377="",M377="ملغي"),0,I377+J377-K377-O377)</f>
        <v/>
      </c>
      <c r="Q377" s="16" t="n"/>
    </row>
    <row r="378">
      <c r="A378" s="16" t="n"/>
      <c r="B378" s="20" t="n"/>
      <c r="C378" s="16" t="n"/>
      <c r="D378" s="16" t="n"/>
      <c r="E378" s="16" t="n"/>
      <c r="F378" s="16" t="n"/>
      <c r="G378" s="16" t="n"/>
      <c r="H378" s="16" t="n"/>
      <c r="I378" s="13" t="n"/>
      <c r="J378" s="13" t="n"/>
      <c r="K378" s="13" t="n"/>
      <c r="L378" s="16" t="n"/>
      <c r="M378" s="16" t="n"/>
      <c r="N378" s="16" t="n"/>
      <c r="O378" s="13">
        <f>IF(OR(H378="",M378="ملغي"),0,H378*'حاسبة التسعير'!$B$19)</f>
        <v/>
      </c>
      <c r="P378" s="13">
        <f>IF(OR(I378="",M378="ملغي"),0,I378+J378-K378-O378)</f>
        <v/>
      </c>
      <c r="Q378" s="16" t="n"/>
    </row>
    <row r="379">
      <c r="A379" s="16" t="n"/>
      <c r="B379" s="20" t="n"/>
      <c r="C379" s="16" t="n"/>
      <c r="D379" s="16" t="n"/>
      <c r="E379" s="16" t="n"/>
      <c r="F379" s="16" t="n"/>
      <c r="G379" s="16" t="n"/>
      <c r="H379" s="16" t="n"/>
      <c r="I379" s="13" t="n"/>
      <c r="J379" s="13" t="n"/>
      <c r="K379" s="13" t="n"/>
      <c r="L379" s="16" t="n"/>
      <c r="M379" s="16" t="n"/>
      <c r="N379" s="16" t="n"/>
      <c r="O379" s="13">
        <f>IF(OR(H379="",M379="ملغي"),0,H379*'حاسبة التسعير'!$B$19)</f>
        <v/>
      </c>
      <c r="P379" s="13">
        <f>IF(OR(I379="",M379="ملغي"),0,I379+J379-K379-O379)</f>
        <v/>
      </c>
      <c r="Q379" s="16" t="n"/>
    </row>
    <row r="380">
      <c r="A380" s="16" t="n"/>
      <c r="B380" s="20" t="n"/>
      <c r="C380" s="16" t="n"/>
      <c r="D380" s="16" t="n"/>
      <c r="E380" s="16" t="n"/>
      <c r="F380" s="16" t="n"/>
      <c r="G380" s="16" t="n"/>
      <c r="H380" s="16" t="n"/>
      <c r="I380" s="13" t="n"/>
      <c r="J380" s="13" t="n"/>
      <c r="K380" s="13" t="n"/>
      <c r="L380" s="16" t="n"/>
      <c r="M380" s="16" t="n"/>
      <c r="N380" s="16" t="n"/>
      <c r="O380" s="13">
        <f>IF(OR(H380="",M380="ملغي"),0,H380*'حاسبة التسعير'!$B$19)</f>
        <v/>
      </c>
      <c r="P380" s="13">
        <f>IF(OR(I380="",M380="ملغي"),0,I380+J380-K380-O380)</f>
        <v/>
      </c>
      <c r="Q380" s="16" t="n"/>
    </row>
    <row r="381">
      <c r="A381" s="16" t="n"/>
      <c r="B381" s="20" t="n"/>
      <c r="C381" s="16" t="n"/>
      <c r="D381" s="16" t="n"/>
      <c r="E381" s="16" t="n"/>
      <c r="F381" s="16" t="n"/>
      <c r="G381" s="16" t="n"/>
      <c r="H381" s="16" t="n"/>
      <c r="I381" s="13" t="n"/>
      <c r="J381" s="13" t="n"/>
      <c r="K381" s="13" t="n"/>
      <c r="L381" s="16" t="n"/>
      <c r="M381" s="16" t="n"/>
      <c r="N381" s="16" t="n"/>
      <c r="O381" s="13">
        <f>IF(OR(H381="",M381="ملغي"),0,H381*'حاسبة التسعير'!$B$19)</f>
        <v/>
      </c>
      <c r="P381" s="13">
        <f>IF(OR(I381="",M381="ملغي"),0,I381+J381-K381-O381)</f>
        <v/>
      </c>
      <c r="Q381" s="16" t="n"/>
    </row>
    <row r="382">
      <c r="A382" s="16" t="n"/>
      <c r="B382" s="20" t="n"/>
      <c r="C382" s="16" t="n"/>
      <c r="D382" s="16" t="n"/>
      <c r="E382" s="16" t="n"/>
      <c r="F382" s="16" t="n"/>
      <c r="G382" s="16" t="n"/>
      <c r="H382" s="16" t="n"/>
      <c r="I382" s="13" t="n"/>
      <c r="J382" s="13" t="n"/>
      <c r="K382" s="13" t="n"/>
      <c r="L382" s="16" t="n"/>
      <c r="M382" s="16" t="n"/>
      <c r="N382" s="16" t="n"/>
      <c r="O382" s="13">
        <f>IF(OR(H382="",M382="ملغي"),0,H382*'حاسبة التسعير'!$B$19)</f>
        <v/>
      </c>
      <c r="P382" s="13">
        <f>IF(OR(I382="",M382="ملغي"),0,I382+J382-K382-O382)</f>
        <v/>
      </c>
      <c r="Q382" s="16" t="n"/>
    </row>
    <row r="383">
      <c r="A383" s="16" t="n"/>
      <c r="B383" s="20" t="n"/>
      <c r="C383" s="16" t="n"/>
      <c r="D383" s="16" t="n"/>
      <c r="E383" s="16" t="n"/>
      <c r="F383" s="16" t="n"/>
      <c r="G383" s="16" t="n"/>
      <c r="H383" s="16" t="n"/>
      <c r="I383" s="13" t="n"/>
      <c r="J383" s="13" t="n"/>
      <c r="K383" s="13" t="n"/>
      <c r="L383" s="16" t="n"/>
      <c r="M383" s="16" t="n"/>
      <c r="N383" s="16" t="n"/>
      <c r="O383" s="13">
        <f>IF(OR(H383="",M383="ملغي"),0,H383*'حاسبة التسعير'!$B$19)</f>
        <v/>
      </c>
      <c r="P383" s="13">
        <f>IF(OR(I383="",M383="ملغي"),0,I383+J383-K383-O383)</f>
        <v/>
      </c>
      <c r="Q383" s="16" t="n"/>
    </row>
    <row r="384">
      <c r="A384" s="16" t="n"/>
      <c r="B384" s="20" t="n"/>
      <c r="C384" s="16" t="n"/>
      <c r="D384" s="16" t="n"/>
      <c r="E384" s="16" t="n"/>
      <c r="F384" s="16" t="n"/>
      <c r="G384" s="16" t="n"/>
      <c r="H384" s="16" t="n"/>
      <c r="I384" s="13" t="n"/>
      <c r="J384" s="13" t="n"/>
      <c r="K384" s="13" t="n"/>
      <c r="L384" s="16" t="n"/>
      <c r="M384" s="16" t="n"/>
      <c r="N384" s="16" t="n"/>
      <c r="O384" s="13">
        <f>IF(OR(H384="",M384="ملغي"),0,H384*'حاسبة التسعير'!$B$19)</f>
        <v/>
      </c>
      <c r="P384" s="13">
        <f>IF(OR(I384="",M384="ملغي"),0,I384+J384-K384-O384)</f>
        <v/>
      </c>
      <c r="Q384" s="16" t="n"/>
    </row>
    <row r="385">
      <c r="A385" s="16" t="n"/>
      <c r="B385" s="20" t="n"/>
      <c r="C385" s="16" t="n"/>
      <c r="D385" s="16" t="n"/>
      <c r="E385" s="16" t="n"/>
      <c r="F385" s="16" t="n"/>
      <c r="G385" s="16" t="n"/>
      <c r="H385" s="16" t="n"/>
      <c r="I385" s="13" t="n"/>
      <c r="J385" s="13" t="n"/>
      <c r="K385" s="13" t="n"/>
      <c r="L385" s="16" t="n"/>
      <c r="M385" s="16" t="n"/>
      <c r="N385" s="16" t="n"/>
      <c r="O385" s="13">
        <f>IF(OR(H385="",M385="ملغي"),0,H385*'حاسبة التسعير'!$B$19)</f>
        <v/>
      </c>
      <c r="P385" s="13">
        <f>IF(OR(I385="",M385="ملغي"),0,I385+J385-K385-O385)</f>
        <v/>
      </c>
      <c r="Q385" s="16" t="n"/>
    </row>
    <row r="386">
      <c r="A386" s="16" t="n"/>
      <c r="B386" s="20" t="n"/>
      <c r="C386" s="16" t="n"/>
      <c r="D386" s="16" t="n"/>
      <c r="E386" s="16" t="n"/>
      <c r="F386" s="16" t="n"/>
      <c r="G386" s="16" t="n"/>
      <c r="H386" s="16" t="n"/>
      <c r="I386" s="13" t="n"/>
      <c r="J386" s="13" t="n"/>
      <c r="K386" s="13" t="n"/>
      <c r="L386" s="16" t="n"/>
      <c r="M386" s="16" t="n"/>
      <c r="N386" s="16" t="n"/>
      <c r="O386" s="13">
        <f>IF(OR(H386="",M386="ملغي"),0,H386*'حاسبة التسعير'!$B$19)</f>
        <v/>
      </c>
      <c r="P386" s="13">
        <f>IF(OR(I386="",M386="ملغي"),0,I386+J386-K386-O386)</f>
        <v/>
      </c>
      <c r="Q386" s="16" t="n"/>
    </row>
    <row r="387">
      <c r="A387" s="16" t="n"/>
      <c r="B387" s="20" t="n"/>
      <c r="C387" s="16" t="n"/>
      <c r="D387" s="16" t="n"/>
      <c r="E387" s="16" t="n"/>
      <c r="F387" s="16" t="n"/>
      <c r="G387" s="16" t="n"/>
      <c r="H387" s="16" t="n"/>
      <c r="I387" s="13" t="n"/>
      <c r="J387" s="13" t="n"/>
      <c r="K387" s="13" t="n"/>
      <c r="L387" s="16" t="n"/>
      <c r="M387" s="16" t="n"/>
      <c r="N387" s="16" t="n"/>
      <c r="O387" s="13">
        <f>IF(OR(H387="",M387="ملغي"),0,H387*'حاسبة التسعير'!$B$19)</f>
        <v/>
      </c>
      <c r="P387" s="13">
        <f>IF(OR(I387="",M387="ملغي"),0,I387+J387-K387-O387)</f>
        <v/>
      </c>
      <c r="Q387" s="16" t="n"/>
    </row>
    <row r="388">
      <c r="A388" s="16" t="n"/>
      <c r="B388" s="20" t="n"/>
      <c r="C388" s="16" t="n"/>
      <c r="D388" s="16" t="n"/>
      <c r="E388" s="16" t="n"/>
      <c r="F388" s="16" t="n"/>
      <c r="G388" s="16" t="n"/>
      <c r="H388" s="16" t="n"/>
      <c r="I388" s="13" t="n"/>
      <c r="J388" s="13" t="n"/>
      <c r="K388" s="13" t="n"/>
      <c r="L388" s="16" t="n"/>
      <c r="M388" s="16" t="n"/>
      <c r="N388" s="16" t="n"/>
      <c r="O388" s="13">
        <f>IF(OR(H388="",M388="ملغي"),0,H388*'حاسبة التسعير'!$B$19)</f>
        <v/>
      </c>
      <c r="P388" s="13">
        <f>IF(OR(I388="",M388="ملغي"),0,I388+J388-K388-O388)</f>
        <v/>
      </c>
      <c r="Q388" s="16" t="n"/>
    </row>
    <row r="389">
      <c r="A389" s="16" t="n"/>
      <c r="B389" s="20" t="n"/>
      <c r="C389" s="16" t="n"/>
      <c r="D389" s="16" t="n"/>
      <c r="E389" s="16" t="n"/>
      <c r="F389" s="16" t="n"/>
      <c r="G389" s="16" t="n"/>
      <c r="H389" s="16" t="n"/>
      <c r="I389" s="13" t="n"/>
      <c r="J389" s="13" t="n"/>
      <c r="K389" s="13" t="n"/>
      <c r="L389" s="16" t="n"/>
      <c r="M389" s="16" t="n"/>
      <c r="N389" s="16" t="n"/>
      <c r="O389" s="13">
        <f>IF(OR(H389="",M389="ملغي"),0,H389*'حاسبة التسعير'!$B$19)</f>
        <v/>
      </c>
      <c r="P389" s="13">
        <f>IF(OR(I389="",M389="ملغي"),0,I389+J389-K389-O389)</f>
        <v/>
      </c>
      <c r="Q389" s="16" t="n"/>
    </row>
    <row r="390">
      <c r="A390" s="16" t="n"/>
      <c r="B390" s="20" t="n"/>
      <c r="C390" s="16" t="n"/>
      <c r="D390" s="16" t="n"/>
      <c r="E390" s="16" t="n"/>
      <c r="F390" s="16" t="n"/>
      <c r="G390" s="16" t="n"/>
      <c r="H390" s="16" t="n"/>
      <c r="I390" s="13" t="n"/>
      <c r="J390" s="13" t="n"/>
      <c r="K390" s="13" t="n"/>
      <c r="L390" s="16" t="n"/>
      <c r="M390" s="16" t="n"/>
      <c r="N390" s="16" t="n"/>
      <c r="O390" s="13">
        <f>IF(OR(H390="",M390="ملغي"),0,H390*'حاسبة التسعير'!$B$19)</f>
        <v/>
      </c>
      <c r="P390" s="13">
        <f>IF(OR(I390="",M390="ملغي"),0,I390+J390-K390-O390)</f>
        <v/>
      </c>
      <c r="Q390" s="16" t="n"/>
    </row>
    <row r="391">
      <c r="A391" s="16" t="n"/>
      <c r="B391" s="20" t="n"/>
      <c r="C391" s="16" t="n"/>
      <c r="D391" s="16" t="n"/>
      <c r="E391" s="16" t="n"/>
      <c r="F391" s="16" t="n"/>
      <c r="G391" s="16" t="n"/>
      <c r="H391" s="16" t="n"/>
      <c r="I391" s="13" t="n"/>
      <c r="J391" s="13" t="n"/>
      <c r="K391" s="13" t="n"/>
      <c r="L391" s="16" t="n"/>
      <c r="M391" s="16" t="n"/>
      <c r="N391" s="16" t="n"/>
      <c r="O391" s="13">
        <f>IF(OR(H391="",M391="ملغي"),0,H391*'حاسبة التسعير'!$B$19)</f>
        <v/>
      </c>
      <c r="P391" s="13">
        <f>IF(OR(I391="",M391="ملغي"),0,I391+J391-K391-O391)</f>
        <v/>
      </c>
      <c r="Q391" s="16" t="n"/>
    </row>
    <row r="392">
      <c r="A392" s="16" t="n"/>
      <c r="B392" s="20" t="n"/>
      <c r="C392" s="16" t="n"/>
      <c r="D392" s="16" t="n"/>
      <c r="E392" s="16" t="n"/>
      <c r="F392" s="16" t="n"/>
      <c r="G392" s="16" t="n"/>
      <c r="H392" s="16" t="n"/>
      <c r="I392" s="13" t="n"/>
      <c r="J392" s="13" t="n"/>
      <c r="K392" s="13" t="n"/>
      <c r="L392" s="16" t="n"/>
      <c r="M392" s="16" t="n"/>
      <c r="N392" s="16" t="n"/>
      <c r="O392" s="13">
        <f>IF(OR(H392="",M392="ملغي"),0,H392*'حاسبة التسعير'!$B$19)</f>
        <v/>
      </c>
      <c r="P392" s="13">
        <f>IF(OR(I392="",M392="ملغي"),0,I392+J392-K392-O392)</f>
        <v/>
      </c>
      <c r="Q392" s="16" t="n"/>
    </row>
    <row r="393">
      <c r="A393" s="16" t="n"/>
      <c r="B393" s="20" t="n"/>
      <c r="C393" s="16" t="n"/>
      <c r="D393" s="16" t="n"/>
      <c r="E393" s="16" t="n"/>
      <c r="F393" s="16" t="n"/>
      <c r="G393" s="16" t="n"/>
      <c r="H393" s="16" t="n"/>
      <c r="I393" s="13" t="n"/>
      <c r="J393" s="13" t="n"/>
      <c r="K393" s="13" t="n"/>
      <c r="L393" s="16" t="n"/>
      <c r="M393" s="16" t="n"/>
      <c r="N393" s="16" t="n"/>
      <c r="O393" s="13">
        <f>IF(OR(H393="",M393="ملغي"),0,H393*'حاسبة التسعير'!$B$19)</f>
        <v/>
      </c>
      <c r="P393" s="13">
        <f>IF(OR(I393="",M393="ملغي"),0,I393+J393-K393-O393)</f>
        <v/>
      </c>
      <c r="Q393" s="16" t="n"/>
    </row>
    <row r="394">
      <c r="A394" s="16" t="n"/>
      <c r="B394" s="20" t="n"/>
      <c r="C394" s="16" t="n"/>
      <c r="D394" s="16" t="n"/>
      <c r="E394" s="16" t="n"/>
      <c r="F394" s="16" t="n"/>
      <c r="G394" s="16" t="n"/>
      <c r="H394" s="16" t="n"/>
      <c r="I394" s="13" t="n"/>
      <c r="J394" s="13" t="n"/>
      <c r="K394" s="13" t="n"/>
      <c r="L394" s="16" t="n"/>
      <c r="M394" s="16" t="n"/>
      <c r="N394" s="16" t="n"/>
      <c r="O394" s="13">
        <f>IF(OR(H394="",M394="ملغي"),0,H394*'حاسبة التسعير'!$B$19)</f>
        <v/>
      </c>
      <c r="P394" s="13">
        <f>IF(OR(I394="",M394="ملغي"),0,I394+J394-K394-O394)</f>
        <v/>
      </c>
      <c r="Q394" s="16" t="n"/>
    </row>
    <row r="395">
      <c r="A395" s="16" t="n"/>
      <c r="B395" s="20" t="n"/>
      <c r="C395" s="16" t="n"/>
      <c r="D395" s="16" t="n"/>
      <c r="E395" s="16" t="n"/>
      <c r="F395" s="16" t="n"/>
      <c r="G395" s="16" t="n"/>
      <c r="H395" s="16" t="n"/>
      <c r="I395" s="13" t="n"/>
      <c r="J395" s="13" t="n"/>
      <c r="K395" s="13" t="n"/>
      <c r="L395" s="16" t="n"/>
      <c r="M395" s="16" t="n"/>
      <c r="N395" s="16" t="n"/>
      <c r="O395" s="13">
        <f>IF(OR(H395="",M395="ملغي"),0,H395*'حاسبة التسعير'!$B$19)</f>
        <v/>
      </c>
      <c r="P395" s="13">
        <f>IF(OR(I395="",M395="ملغي"),0,I395+J395-K395-O395)</f>
        <v/>
      </c>
      <c r="Q395" s="16" t="n"/>
    </row>
    <row r="396">
      <c r="A396" s="16" t="n"/>
      <c r="B396" s="20" t="n"/>
      <c r="C396" s="16" t="n"/>
      <c r="D396" s="16" t="n"/>
      <c r="E396" s="16" t="n"/>
      <c r="F396" s="16" t="n"/>
      <c r="G396" s="16" t="n"/>
      <c r="H396" s="16" t="n"/>
      <c r="I396" s="13" t="n"/>
      <c r="J396" s="13" t="n"/>
      <c r="K396" s="13" t="n"/>
      <c r="L396" s="16" t="n"/>
      <c r="M396" s="16" t="n"/>
      <c r="N396" s="16" t="n"/>
      <c r="O396" s="13">
        <f>IF(OR(H396="",M396="ملغي"),0,H396*'حاسبة التسعير'!$B$19)</f>
        <v/>
      </c>
      <c r="P396" s="13">
        <f>IF(OR(I396="",M396="ملغي"),0,I396+J396-K396-O396)</f>
        <v/>
      </c>
      <c r="Q396" s="16" t="n"/>
    </row>
    <row r="397">
      <c r="A397" s="16" t="n"/>
      <c r="B397" s="20" t="n"/>
      <c r="C397" s="16" t="n"/>
      <c r="D397" s="16" t="n"/>
      <c r="E397" s="16" t="n"/>
      <c r="F397" s="16" t="n"/>
      <c r="G397" s="16" t="n"/>
      <c r="H397" s="16" t="n"/>
      <c r="I397" s="13" t="n"/>
      <c r="J397" s="13" t="n"/>
      <c r="K397" s="13" t="n"/>
      <c r="L397" s="16" t="n"/>
      <c r="M397" s="16" t="n"/>
      <c r="N397" s="16" t="n"/>
      <c r="O397" s="13">
        <f>IF(OR(H397="",M397="ملغي"),0,H397*'حاسبة التسعير'!$B$19)</f>
        <v/>
      </c>
      <c r="P397" s="13">
        <f>IF(OR(I397="",M397="ملغي"),0,I397+J397-K397-O397)</f>
        <v/>
      </c>
      <c r="Q397" s="16" t="n"/>
    </row>
    <row r="398">
      <c r="A398" s="16" t="n"/>
      <c r="B398" s="20" t="n"/>
      <c r="C398" s="16" t="n"/>
      <c r="D398" s="16" t="n"/>
      <c r="E398" s="16" t="n"/>
      <c r="F398" s="16" t="n"/>
      <c r="G398" s="16" t="n"/>
      <c r="H398" s="16" t="n"/>
      <c r="I398" s="13" t="n"/>
      <c r="J398" s="13" t="n"/>
      <c r="K398" s="13" t="n"/>
      <c r="L398" s="16" t="n"/>
      <c r="M398" s="16" t="n"/>
      <c r="N398" s="16" t="n"/>
      <c r="O398" s="13">
        <f>IF(OR(H398="",M398="ملغي"),0,H398*'حاسبة التسعير'!$B$19)</f>
        <v/>
      </c>
      <c r="P398" s="13">
        <f>IF(OR(I398="",M398="ملغي"),0,I398+J398-K398-O398)</f>
        <v/>
      </c>
      <c r="Q398" s="16" t="n"/>
    </row>
    <row r="399">
      <c r="A399" s="16" t="n"/>
      <c r="B399" s="20" t="n"/>
      <c r="C399" s="16" t="n"/>
      <c r="D399" s="16" t="n"/>
      <c r="E399" s="16" t="n"/>
      <c r="F399" s="16" t="n"/>
      <c r="G399" s="16" t="n"/>
      <c r="H399" s="16" t="n"/>
      <c r="I399" s="13" t="n"/>
      <c r="J399" s="13" t="n"/>
      <c r="K399" s="13" t="n"/>
      <c r="L399" s="16" t="n"/>
      <c r="M399" s="16" t="n"/>
      <c r="N399" s="16" t="n"/>
      <c r="O399" s="13">
        <f>IF(OR(H399="",M399="ملغي"),0,H399*'حاسبة التسعير'!$B$19)</f>
        <v/>
      </c>
      <c r="P399" s="13">
        <f>IF(OR(I399="",M399="ملغي"),0,I399+J399-K399-O399)</f>
        <v/>
      </c>
      <c r="Q399" s="16" t="n"/>
    </row>
    <row r="400">
      <c r="A400" s="16" t="n"/>
      <c r="B400" s="20" t="n"/>
      <c r="C400" s="16" t="n"/>
      <c r="D400" s="16" t="n"/>
      <c r="E400" s="16" t="n"/>
      <c r="F400" s="16" t="n"/>
      <c r="G400" s="16" t="n"/>
      <c r="H400" s="16" t="n"/>
      <c r="I400" s="13" t="n"/>
      <c r="J400" s="13" t="n"/>
      <c r="K400" s="13" t="n"/>
      <c r="L400" s="16" t="n"/>
      <c r="M400" s="16" t="n"/>
      <c r="N400" s="16" t="n"/>
      <c r="O400" s="13">
        <f>IF(OR(H400="",M400="ملغي"),0,H400*'حاسبة التسعير'!$B$19)</f>
        <v/>
      </c>
      <c r="P400" s="13">
        <f>IF(OR(I400="",M400="ملغي"),0,I400+J400-K400-O400)</f>
        <v/>
      </c>
      <c r="Q400" s="16" t="n"/>
    </row>
    <row r="401">
      <c r="A401" s="16" t="n"/>
      <c r="B401" s="20" t="n"/>
      <c r="C401" s="16" t="n"/>
      <c r="D401" s="16" t="n"/>
      <c r="E401" s="16" t="n"/>
      <c r="F401" s="16" t="n"/>
      <c r="G401" s="16" t="n"/>
      <c r="H401" s="16" t="n"/>
      <c r="I401" s="13" t="n"/>
      <c r="J401" s="13" t="n"/>
      <c r="K401" s="13" t="n"/>
      <c r="L401" s="16" t="n"/>
      <c r="M401" s="16" t="n"/>
      <c r="N401" s="16" t="n"/>
      <c r="O401" s="13">
        <f>IF(OR(H401="",M401="ملغي"),0,H401*'حاسبة التسعير'!$B$19)</f>
        <v/>
      </c>
      <c r="P401" s="13">
        <f>IF(OR(I401="",M401="ملغي"),0,I401+J401-K401-O401)</f>
        <v/>
      </c>
      <c r="Q401" s="16" t="n"/>
    </row>
    <row r="402">
      <c r="A402" s="16" t="n"/>
      <c r="B402" s="20" t="n"/>
      <c r="C402" s="16" t="n"/>
      <c r="D402" s="16" t="n"/>
      <c r="E402" s="16" t="n"/>
      <c r="F402" s="16" t="n"/>
      <c r="G402" s="16" t="n"/>
      <c r="H402" s="16" t="n"/>
      <c r="I402" s="13" t="n"/>
      <c r="J402" s="13" t="n"/>
      <c r="K402" s="13" t="n"/>
      <c r="L402" s="16" t="n"/>
      <c r="M402" s="16" t="n"/>
      <c r="N402" s="16" t="n"/>
      <c r="O402" s="13">
        <f>IF(OR(H402="",M402="ملغي"),0,H402*'حاسبة التسعير'!$B$19)</f>
        <v/>
      </c>
      <c r="P402" s="13">
        <f>IF(OR(I402="",M402="ملغي"),0,I402+J402-K402-O402)</f>
        <v/>
      </c>
      <c r="Q402" s="16" t="n"/>
    </row>
    <row r="403">
      <c r="A403" s="16" t="n"/>
      <c r="B403" s="20" t="n"/>
      <c r="C403" s="16" t="n"/>
      <c r="D403" s="16" t="n"/>
      <c r="E403" s="16" t="n"/>
      <c r="F403" s="16" t="n"/>
      <c r="G403" s="16" t="n"/>
      <c r="H403" s="16" t="n"/>
      <c r="I403" s="13" t="n"/>
      <c r="J403" s="13" t="n"/>
      <c r="K403" s="13" t="n"/>
      <c r="L403" s="16" t="n"/>
      <c r="M403" s="16" t="n"/>
      <c r="N403" s="16" t="n"/>
      <c r="O403" s="13">
        <f>IF(OR(H403="",M403="ملغي"),0,H403*'حاسبة التسعير'!$B$19)</f>
        <v/>
      </c>
      <c r="P403" s="13">
        <f>IF(OR(I403="",M403="ملغي"),0,I403+J403-K403-O403)</f>
        <v/>
      </c>
      <c r="Q403" s="16" t="n"/>
    </row>
    <row r="404">
      <c r="A404" s="16" t="n"/>
      <c r="B404" s="20" t="n"/>
      <c r="C404" s="16" t="n"/>
      <c r="D404" s="16" t="n"/>
      <c r="E404" s="16" t="n"/>
      <c r="F404" s="16" t="n"/>
      <c r="G404" s="16" t="n"/>
      <c r="H404" s="16" t="n"/>
      <c r="I404" s="13" t="n"/>
      <c r="J404" s="13" t="n"/>
      <c r="K404" s="13" t="n"/>
      <c r="L404" s="16" t="n"/>
      <c r="M404" s="16" t="n"/>
      <c r="N404" s="16" t="n"/>
      <c r="O404" s="13">
        <f>IF(OR(H404="",M404="ملغي"),0,H404*'حاسبة التسعير'!$B$19)</f>
        <v/>
      </c>
      <c r="P404" s="13">
        <f>IF(OR(I404="",M404="ملغي"),0,I404+J404-K404-O404)</f>
        <v/>
      </c>
      <c r="Q404" s="16" t="n"/>
    </row>
    <row r="405">
      <c r="A405" s="16" t="n"/>
      <c r="B405" s="20" t="n"/>
      <c r="C405" s="16" t="n"/>
      <c r="D405" s="16" t="n"/>
      <c r="E405" s="16" t="n"/>
      <c r="F405" s="16" t="n"/>
      <c r="G405" s="16" t="n"/>
      <c r="H405" s="16" t="n"/>
      <c r="I405" s="13" t="n"/>
      <c r="J405" s="13" t="n"/>
      <c r="K405" s="13" t="n"/>
      <c r="L405" s="16" t="n"/>
      <c r="M405" s="16" t="n"/>
      <c r="N405" s="16" t="n"/>
      <c r="O405" s="13">
        <f>IF(OR(H405="",M405="ملغي"),0,H405*'حاسبة التسعير'!$B$19)</f>
        <v/>
      </c>
      <c r="P405" s="13">
        <f>IF(OR(I405="",M405="ملغي"),0,I405+J405-K405-O405)</f>
        <v/>
      </c>
      <c r="Q405" s="16" t="n"/>
    </row>
    <row r="406">
      <c r="A406" s="16" t="n"/>
      <c r="B406" s="20" t="n"/>
      <c r="C406" s="16" t="n"/>
      <c r="D406" s="16" t="n"/>
      <c r="E406" s="16" t="n"/>
      <c r="F406" s="16" t="n"/>
      <c r="G406" s="16" t="n"/>
      <c r="H406" s="16" t="n"/>
      <c r="I406" s="13" t="n"/>
      <c r="J406" s="13" t="n"/>
      <c r="K406" s="13" t="n"/>
      <c r="L406" s="16" t="n"/>
      <c r="M406" s="16" t="n"/>
      <c r="N406" s="16" t="n"/>
      <c r="O406" s="13">
        <f>IF(OR(H406="",M406="ملغي"),0,H406*'حاسبة التسعير'!$B$19)</f>
        <v/>
      </c>
      <c r="P406" s="13">
        <f>IF(OR(I406="",M406="ملغي"),0,I406+J406-K406-O406)</f>
        <v/>
      </c>
      <c r="Q406" s="16" t="n"/>
    </row>
    <row r="407">
      <c r="A407" s="16" t="n"/>
      <c r="B407" s="20" t="n"/>
      <c r="C407" s="16" t="n"/>
      <c r="D407" s="16" t="n"/>
      <c r="E407" s="16" t="n"/>
      <c r="F407" s="16" t="n"/>
      <c r="G407" s="16" t="n"/>
      <c r="H407" s="16" t="n"/>
      <c r="I407" s="13" t="n"/>
      <c r="J407" s="13" t="n"/>
      <c r="K407" s="13" t="n"/>
      <c r="L407" s="16" t="n"/>
      <c r="M407" s="16" t="n"/>
      <c r="N407" s="16" t="n"/>
      <c r="O407" s="13">
        <f>IF(OR(H407="",M407="ملغي"),0,H407*'حاسبة التسعير'!$B$19)</f>
        <v/>
      </c>
      <c r="P407" s="13">
        <f>IF(OR(I407="",M407="ملغي"),0,I407+J407-K407-O407)</f>
        <v/>
      </c>
      <c r="Q407" s="16" t="n"/>
    </row>
    <row r="408">
      <c r="A408" s="16" t="n"/>
      <c r="B408" s="20" t="n"/>
      <c r="C408" s="16" t="n"/>
      <c r="D408" s="16" t="n"/>
      <c r="E408" s="16" t="n"/>
      <c r="F408" s="16" t="n"/>
      <c r="G408" s="16" t="n"/>
      <c r="H408" s="16" t="n"/>
      <c r="I408" s="13" t="n"/>
      <c r="J408" s="13" t="n"/>
      <c r="K408" s="13" t="n"/>
      <c r="L408" s="16" t="n"/>
      <c r="M408" s="16" t="n"/>
      <c r="N408" s="16" t="n"/>
      <c r="O408" s="13">
        <f>IF(OR(H408="",M408="ملغي"),0,H408*'حاسبة التسعير'!$B$19)</f>
        <v/>
      </c>
      <c r="P408" s="13">
        <f>IF(OR(I408="",M408="ملغي"),0,I408+J408-K408-O408)</f>
        <v/>
      </c>
      <c r="Q408" s="16" t="n"/>
    </row>
    <row r="409">
      <c r="A409" s="16" t="n"/>
      <c r="B409" s="20" t="n"/>
      <c r="C409" s="16" t="n"/>
      <c r="D409" s="16" t="n"/>
      <c r="E409" s="16" t="n"/>
      <c r="F409" s="16" t="n"/>
      <c r="G409" s="16" t="n"/>
      <c r="H409" s="16" t="n"/>
      <c r="I409" s="13" t="n"/>
      <c r="J409" s="13" t="n"/>
      <c r="K409" s="13" t="n"/>
      <c r="L409" s="16" t="n"/>
      <c r="M409" s="16" t="n"/>
      <c r="N409" s="16" t="n"/>
      <c r="O409" s="13">
        <f>IF(OR(H409="",M409="ملغي"),0,H409*'حاسبة التسعير'!$B$19)</f>
        <v/>
      </c>
      <c r="P409" s="13">
        <f>IF(OR(I409="",M409="ملغي"),0,I409+J409-K409-O409)</f>
        <v/>
      </c>
      <c r="Q409" s="16" t="n"/>
    </row>
    <row r="410">
      <c r="A410" s="16" t="n"/>
      <c r="B410" s="20" t="n"/>
      <c r="C410" s="16" t="n"/>
      <c r="D410" s="16" t="n"/>
      <c r="E410" s="16" t="n"/>
      <c r="F410" s="16" t="n"/>
      <c r="G410" s="16" t="n"/>
      <c r="H410" s="16" t="n"/>
      <c r="I410" s="13" t="n"/>
      <c r="J410" s="13" t="n"/>
      <c r="K410" s="13" t="n"/>
      <c r="L410" s="16" t="n"/>
      <c r="M410" s="16" t="n"/>
      <c r="N410" s="16" t="n"/>
      <c r="O410" s="13">
        <f>IF(OR(H410="",M410="ملغي"),0,H410*'حاسبة التسعير'!$B$19)</f>
        <v/>
      </c>
      <c r="P410" s="13">
        <f>IF(OR(I410="",M410="ملغي"),0,I410+J410-K410-O410)</f>
        <v/>
      </c>
      <c r="Q410" s="16" t="n"/>
    </row>
    <row r="411">
      <c r="A411" s="16" t="n"/>
      <c r="B411" s="20" t="n"/>
      <c r="C411" s="16" t="n"/>
      <c r="D411" s="16" t="n"/>
      <c r="E411" s="16" t="n"/>
      <c r="F411" s="16" t="n"/>
      <c r="G411" s="16" t="n"/>
      <c r="H411" s="16" t="n"/>
      <c r="I411" s="13" t="n"/>
      <c r="J411" s="13" t="n"/>
      <c r="K411" s="13" t="n"/>
      <c r="L411" s="16" t="n"/>
      <c r="M411" s="16" t="n"/>
      <c r="N411" s="16" t="n"/>
      <c r="O411" s="13">
        <f>IF(OR(H411="",M411="ملغي"),0,H411*'حاسبة التسعير'!$B$19)</f>
        <v/>
      </c>
      <c r="P411" s="13">
        <f>IF(OR(I411="",M411="ملغي"),0,I411+J411-K411-O411)</f>
        <v/>
      </c>
      <c r="Q411" s="16" t="n"/>
    </row>
    <row r="412">
      <c r="A412" s="16" t="n"/>
      <c r="B412" s="20" t="n"/>
      <c r="C412" s="16" t="n"/>
      <c r="D412" s="16" t="n"/>
      <c r="E412" s="16" t="n"/>
      <c r="F412" s="16" t="n"/>
      <c r="G412" s="16" t="n"/>
      <c r="H412" s="16" t="n"/>
      <c r="I412" s="13" t="n"/>
      <c r="J412" s="13" t="n"/>
      <c r="K412" s="13" t="n"/>
      <c r="L412" s="16" t="n"/>
      <c r="M412" s="16" t="n"/>
      <c r="N412" s="16" t="n"/>
      <c r="O412" s="13">
        <f>IF(OR(H412="",M412="ملغي"),0,H412*'حاسبة التسعير'!$B$19)</f>
        <v/>
      </c>
      <c r="P412" s="13">
        <f>IF(OR(I412="",M412="ملغي"),0,I412+J412-K412-O412)</f>
        <v/>
      </c>
      <c r="Q412" s="16" t="n"/>
    </row>
    <row r="413">
      <c r="A413" s="16" t="n"/>
      <c r="B413" s="20" t="n"/>
      <c r="C413" s="16" t="n"/>
      <c r="D413" s="16" t="n"/>
      <c r="E413" s="16" t="n"/>
      <c r="F413" s="16" t="n"/>
      <c r="G413" s="16" t="n"/>
      <c r="H413" s="16" t="n"/>
      <c r="I413" s="13" t="n"/>
      <c r="J413" s="13" t="n"/>
      <c r="K413" s="13" t="n"/>
      <c r="L413" s="16" t="n"/>
      <c r="M413" s="16" t="n"/>
      <c r="N413" s="16" t="n"/>
      <c r="O413" s="13">
        <f>IF(OR(H413="",M413="ملغي"),0,H413*'حاسبة التسعير'!$B$19)</f>
        <v/>
      </c>
      <c r="P413" s="13">
        <f>IF(OR(I413="",M413="ملغي"),0,I413+J413-K413-O413)</f>
        <v/>
      </c>
      <c r="Q413" s="16" t="n"/>
    </row>
    <row r="414">
      <c r="A414" s="16" t="n"/>
      <c r="B414" s="20" t="n"/>
      <c r="C414" s="16" t="n"/>
      <c r="D414" s="16" t="n"/>
      <c r="E414" s="16" t="n"/>
      <c r="F414" s="16" t="n"/>
      <c r="G414" s="16" t="n"/>
      <c r="H414" s="16" t="n"/>
      <c r="I414" s="13" t="n"/>
      <c r="J414" s="13" t="n"/>
      <c r="K414" s="13" t="n"/>
      <c r="L414" s="16" t="n"/>
      <c r="M414" s="16" t="n"/>
      <c r="N414" s="16" t="n"/>
      <c r="O414" s="13">
        <f>IF(OR(H414="",M414="ملغي"),0,H414*'حاسبة التسعير'!$B$19)</f>
        <v/>
      </c>
      <c r="P414" s="13">
        <f>IF(OR(I414="",M414="ملغي"),0,I414+J414-K414-O414)</f>
        <v/>
      </c>
      <c r="Q414" s="16" t="n"/>
    </row>
    <row r="415">
      <c r="A415" s="16" t="n"/>
      <c r="B415" s="20" t="n"/>
      <c r="C415" s="16" t="n"/>
      <c r="D415" s="16" t="n"/>
      <c r="E415" s="16" t="n"/>
      <c r="F415" s="16" t="n"/>
      <c r="G415" s="16" t="n"/>
      <c r="H415" s="16" t="n"/>
      <c r="I415" s="13" t="n"/>
      <c r="J415" s="13" t="n"/>
      <c r="K415" s="13" t="n"/>
      <c r="L415" s="16" t="n"/>
      <c r="M415" s="16" t="n"/>
      <c r="N415" s="16" t="n"/>
      <c r="O415" s="13">
        <f>IF(OR(H415="",M415="ملغي"),0,H415*'حاسبة التسعير'!$B$19)</f>
        <v/>
      </c>
      <c r="P415" s="13">
        <f>IF(OR(I415="",M415="ملغي"),0,I415+J415-K415-O415)</f>
        <v/>
      </c>
      <c r="Q415" s="16" t="n"/>
    </row>
    <row r="416">
      <c r="A416" s="16" t="n"/>
      <c r="B416" s="20" t="n"/>
      <c r="C416" s="16" t="n"/>
      <c r="D416" s="16" t="n"/>
      <c r="E416" s="16" t="n"/>
      <c r="F416" s="16" t="n"/>
      <c r="G416" s="16" t="n"/>
      <c r="H416" s="16" t="n"/>
      <c r="I416" s="13" t="n"/>
      <c r="J416" s="13" t="n"/>
      <c r="K416" s="13" t="n"/>
      <c r="L416" s="16" t="n"/>
      <c r="M416" s="16" t="n"/>
      <c r="N416" s="16" t="n"/>
      <c r="O416" s="13">
        <f>IF(OR(H416="",M416="ملغي"),0,H416*'حاسبة التسعير'!$B$19)</f>
        <v/>
      </c>
      <c r="P416" s="13">
        <f>IF(OR(I416="",M416="ملغي"),0,I416+J416-K416-O416)</f>
        <v/>
      </c>
      <c r="Q416" s="16" t="n"/>
    </row>
    <row r="417">
      <c r="A417" s="16" t="n"/>
      <c r="B417" s="20" t="n"/>
      <c r="C417" s="16" t="n"/>
      <c r="D417" s="16" t="n"/>
      <c r="E417" s="16" t="n"/>
      <c r="F417" s="16" t="n"/>
      <c r="G417" s="16" t="n"/>
      <c r="H417" s="16" t="n"/>
      <c r="I417" s="13" t="n"/>
      <c r="J417" s="13" t="n"/>
      <c r="K417" s="13" t="n"/>
      <c r="L417" s="16" t="n"/>
      <c r="M417" s="16" t="n"/>
      <c r="N417" s="16" t="n"/>
      <c r="O417" s="13">
        <f>IF(OR(H417="",M417="ملغي"),0,H417*'حاسبة التسعير'!$B$19)</f>
        <v/>
      </c>
      <c r="P417" s="13">
        <f>IF(OR(I417="",M417="ملغي"),0,I417+J417-K417-O417)</f>
        <v/>
      </c>
      <c r="Q417" s="16" t="n"/>
    </row>
    <row r="418">
      <c r="A418" s="16" t="n"/>
      <c r="B418" s="20" t="n"/>
      <c r="C418" s="16" t="n"/>
      <c r="D418" s="16" t="n"/>
      <c r="E418" s="16" t="n"/>
      <c r="F418" s="16" t="n"/>
      <c r="G418" s="16" t="n"/>
      <c r="H418" s="16" t="n"/>
      <c r="I418" s="13" t="n"/>
      <c r="J418" s="13" t="n"/>
      <c r="K418" s="13" t="n"/>
      <c r="L418" s="16" t="n"/>
      <c r="M418" s="16" t="n"/>
      <c r="N418" s="16" t="n"/>
      <c r="O418" s="13">
        <f>IF(OR(H418="",M418="ملغي"),0,H418*'حاسبة التسعير'!$B$19)</f>
        <v/>
      </c>
      <c r="P418" s="13">
        <f>IF(OR(I418="",M418="ملغي"),0,I418+J418-K418-O418)</f>
        <v/>
      </c>
      <c r="Q418" s="16" t="n"/>
    </row>
    <row r="419">
      <c r="A419" s="16" t="n"/>
      <c r="B419" s="20" t="n"/>
      <c r="C419" s="16" t="n"/>
      <c r="D419" s="16" t="n"/>
      <c r="E419" s="16" t="n"/>
      <c r="F419" s="16" t="n"/>
      <c r="G419" s="16" t="n"/>
      <c r="H419" s="16" t="n"/>
      <c r="I419" s="13" t="n"/>
      <c r="J419" s="13" t="n"/>
      <c r="K419" s="13" t="n"/>
      <c r="L419" s="16" t="n"/>
      <c r="M419" s="16" t="n"/>
      <c r="N419" s="16" t="n"/>
      <c r="O419" s="13">
        <f>IF(OR(H419="",M419="ملغي"),0,H419*'حاسبة التسعير'!$B$19)</f>
        <v/>
      </c>
      <c r="P419" s="13">
        <f>IF(OR(I419="",M419="ملغي"),0,I419+J419-K419-O419)</f>
        <v/>
      </c>
      <c r="Q419" s="16" t="n"/>
    </row>
    <row r="420">
      <c r="A420" s="16" t="n"/>
      <c r="B420" s="20" t="n"/>
      <c r="C420" s="16" t="n"/>
      <c r="D420" s="16" t="n"/>
      <c r="E420" s="16" t="n"/>
      <c r="F420" s="16" t="n"/>
      <c r="G420" s="16" t="n"/>
      <c r="H420" s="16" t="n"/>
      <c r="I420" s="13" t="n"/>
      <c r="J420" s="13" t="n"/>
      <c r="K420" s="13" t="n"/>
      <c r="L420" s="16" t="n"/>
      <c r="M420" s="16" t="n"/>
      <c r="N420" s="16" t="n"/>
      <c r="O420" s="13">
        <f>IF(OR(H420="",M420="ملغي"),0,H420*'حاسبة التسعير'!$B$19)</f>
        <v/>
      </c>
      <c r="P420" s="13">
        <f>IF(OR(I420="",M420="ملغي"),0,I420+J420-K420-O420)</f>
        <v/>
      </c>
      <c r="Q420" s="16" t="n"/>
    </row>
    <row r="421">
      <c r="A421" s="16" t="n"/>
      <c r="B421" s="20" t="n"/>
      <c r="C421" s="16" t="n"/>
      <c r="D421" s="16" t="n"/>
      <c r="E421" s="16" t="n"/>
      <c r="F421" s="16" t="n"/>
      <c r="G421" s="16" t="n"/>
      <c r="H421" s="16" t="n"/>
      <c r="I421" s="13" t="n"/>
      <c r="J421" s="13" t="n"/>
      <c r="K421" s="13" t="n"/>
      <c r="L421" s="16" t="n"/>
      <c r="M421" s="16" t="n"/>
      <c r="N421" s="16" t="n"/>
      <c r="O421" s="13">
        <f>IF(OR(H421="",M421="ملغي"),0,H421*'حاسبة التسعير'!$B$19)</f>
        <v/>
      </c>
      <c r="P421" s="13">
        <f>IF(OR(I421="",M421="ملغي"),0,I421+J421-K421-O421)</f>
        <v/>
      </c>
      <c r="Q421" s="16" t="n"/>
    </row>
    <row r="422">
      <c r="A422" s="16" t="n"/>
      <c r="B422" s="20" t="n"/>
      <c r="C422" s="16" t="n"/>
      <c r="D422" s="16" t="n"/>
      <c r="E422" s="16" t="n"/>
      <c r="F422" s="16" t="n"/>
      <c r="G422" s="16" t="n"/>
      <c r="H422" s="16" t="n"/>
      <c r="I422" s="13" t="n"/>
      <c r="J422" s="13" t="n"/>
      <c r="K422" s="13" t="n"/>
      <c r="L422" s="16" t="n"/>
      <c r="M422" s="16" t="n"/>
      <c r="N422" s="16" t="n"/>
      <c r="O422" s="13">
        <f>IF(OR(H422="",M422="ملغي"),0,H422*'حاسبة التسعير'!$B$19)</f>
        <v/>
      </c>
      <c r="P422" s="13">
        <f>IF(OR(I422="",M422="ملغي"),0,I422+J422-K422-O422)</f>
        <v/>
      </c>
      <c r="Q422" s="16" t="n"/>
    </row>
    <row r="423">
      <c r="A423" s="16" t="n"/>
      <c r="B423" s="20" t="n"/>
      <c r="C423" s="16" t="n"/>
      <c r="D423" s="16" t="n"/>
      <c r="E423" s="16" t="n"/>
      <c r="F423" s="16" t="n"/>
      <c r="G423" s="16" t="n"/>
      <c r="H423" s="16" t="n"/>
      <c r="I423" s="13" t="n"/>
      <c r="J423" s="13" t="n"/>
      <c r="K423" s="13" t="n"/>
      <c r="L423" s="16" t="n"/>
      <c r="M423" s="16" t="n"/>
      <c r="N423" s="16" t="n"/>
      <c r="O423" s="13">
        <f>IF(OR(H423="",M423="ملغي"),0,H423*'حاسبة التسعير'!$B$19)</f>
        <v/>
      </c>
      <c r="P423" s="13">
        <f>IF(OR(I423="",M423="ملغي"),0,I423+J423-K423-O423)</f>
        <v/>
      </c>
      <c r="Q423" s="16" t="n"/>
    </row>
    <row r="424">
      <c r="A424" s="16" t="n"/>
      <c r="B424" s="20" t="n"/>
      <c r="C424" s="16" t="n"/>
      <c r="D424" s="16" t="n"/>
      <c r="E424" s="16" t="n"/>
      <c r="F424" s="16" t="n"/>
      <c r="G424" s="16" t="n"/>
      <c r="H424" s="16" t="n"/>
      <c r="I424" s="13" t="n"/>
      <c r="J424" s="13" t="n"/>
      <c r="K424" s="13" t="n"/>
      <c r="L424" s="16" t="n"/>
      <c r="M424" s="16" t="n"/>
      <c r="N424" s="16" t="n"/>
      <c r="O424" s="13">
        <f>IF(OR(H424="",M424="ملغي"),0,H424*'حاسبة التسعير'!$B$19)</f>
        <v/>
      </c>
      <c r="P424" s="13">
        <f>IF(OR(I424="",M424="ملغي"),0,I424+J424-K424-O424)</f>
        <v/>
      </c>
      <c r="Q424" s="16" t="n"/>
    </row>
    <row r="425">
      <c r="A425" s="16" t="n"/>
      <c r="B425" s="20" t="n"/>
      <c r="C425" s="16" t="n"/>
      <c r="D425" s="16" t="n"/>
      <c r="E425" s="16" t="n"/>
      <c r="F425" s="16" t="n"/>
      <c r="G425" s="16" t="n"/>
      <c r="H425" s="16" t="n"/>
      <c r="I425" s="13" t="n"/>
      <c r="J425" s="13" t="n"/>
      <c r="K425" s="13" t="n"/>
      <c r="L425" s="16" t="n"/>
      <c r="M425" s="16" t="n"/>
      <c r="N425" s="16" t="n"/>
      <c r="O425" s="13">
        <f>IF(OR(H425="",M425="ملغي"),0,H425*'حاسبة التسعير'!$B$19)</f>
        <v/>
      </c>
      <c r="P425" s="13">
        <f>IF(OR(I425="",M425="ملغي"),0,I425+J425-K425-O425)</f>
        <v/>
      </c>
      <c r="Q425" s="16" t="n"/>
    </row>
    <row r="426">
      <c r="A426" s="16" t="n"/>
      <c r="B426" s="20" t="n"/>
      <c r="C426" s="16" t="n"/>
      <c r="D426" s="16" t="n"/>
      <c r="E426" s="16" t="n"/>
      <c r="F426" s="16" t="n"/>
      <c r="G426" s="16" t="n"/>
      <c r="H426" s="16" t="n"/>
      <c r="I426" s="13" t="n"/>
      <c r="J426" s="13" t="n"/>
      <c r="K426" s="13" t="n"/>
      <c r="L426" s="16" t="n"/>
      <c r="M426" s="16" t="n"/>
      <c r="N426" s="16" t="n"/>
      <c r="O426" s="13">
        <f>IF(OR(H426="",M426="ملغي"),0,H426*'حاسبة التسعير'!$B$19)</f>
        <v/>
      </c>
      <c r="P426" s="13">
        <f>IF(OR(I426="",M426="ملغي"),0,I426+J426-K426-O426)</f>
        <v/>
      </c>
      <c r="Q426" s="16" t="n"/>
    </row>
    <row r="427">
      <c r="A427" s="16" t="n"/>
      <c r="B427" s="20" t="n"/>
      <c r="C427" s="16" t="n"/>
      <c r="D427" s="16" t="n"/>
      <c r="E427" s="16" t="n"/>
      <c r="F427" s="16" t="n"/>
      <c r="G427" s="16" t="n"/>
      <c r="H427" s="16" t="n"/>
      <c r="I427" s="13" t="n"/>
      <c r="J427" s="13" t="n"/>
      <c r="K427" s="13" t="n"/>
      <c r="L427" s="16" t="n"/>
      <c r="M427" s="16" t="n"/>
      <c r="N427" s="16" t="n"/>
      <c r="O427" s="13">
        <f>IF(OR(H427="",M427="ملغي"),0,H427*'حاسبة التسعير'!$B$19)</f>
        <v/>
      </c>
      <c r="P427" s="13">
        <f>IF(OR(I427="",M427="ملغي"),0,I427+J427-K427-O427)</f>
        <v/>
      </c>
      <c r="Q427" s="16" t="n"/>
    </row>
    <row r="428">
      <c r="A428" s="16" t="n"/>
      <c r="B428" s="20" t="n"/>
      <c r="C428" s="16" t="n"/>
      <c r="D428" s="16" t="n"/>
      <c r="E428" s="16" t="n"/>
      <c r="F428" s="16" t="n"/>
      <c r="G428" s="16" t="n"/>
      <c r="H428" s="16" t="n"/>
      <c r="I428" s="13" t="n"/>
      <c r="J428" s="13" t="n"/>
      <c r="K428" s="13" t="n"/>
      <c r="L428" s="16" t="n"/>
      <c r="M428" s="16" t="n"/>
      <c r="N428" s="16" t="n"/>
      <c r="O428" s="13">
        <f>IF(OR(H428="",M428="ملغي"),0,H428*'حاسبة التسعير'!$B$19)</f>
        <v/>
      </c>
      <c r="P428" s="13">
        <f>IF(OR(I428="",M428="ملغي"),0,I428+J428-K428-O428)</f>
        <v/>
      </c>
      <c r="Q428" s="16" t="n"/>
    </row>
    <row r="429">
      <c r="A429" s="16" t="n"/>
      <c r="B429" s="20" t="n"/>
      <c r="C429" s="16" t="n"/>
      <c r="D429" s="16" t="n"/>
      <c r="E429" s="16" t="n"/>
      <c r="F429" s="16" t="n"/>
      <c r="G429" s="16" t="n"/>
      <c r="H429" s="16" t="n"/>
      <c r="I429" s="13" t="n"/>
      <c r="J429" s="13" t="n"/>
      <c r="K429" s="13" t="n"/>
      <c r="L429" s="16" t="n"/>
      <c r="M429" s="16" t="n"/>
      <c r="N429" s="16" t="n"/>
      <c r="O429" s="13">
        <f>IF(OR(H429="",M429="ملغي"),0,H429*'حاسبة التسعير'!$B$19)</f>
        <v/>
      </c>
      <c r="P429" s="13">
        <f>IF(OR(I429="",M429="ملغي"),0,I429+J429-K429-O429)</f>
        <v/>
      </c>
      <c r="Q429" s="16" t="n"/>
    </row>
    <row r="430">
      <c r="A430" s="16" t="n"/>
      <c r="B430" s="20" t="n"/>
      <c r="C430" s="16" t="n"/>
      <c r="D430" s="16" t="n"/>
      <c r="E430" s="16" t="n"/>
      <c r="F430" s="16" t="n"/>
      <c r="G430" s="16" t="n"/>
      <c r="H430" s="16" t="n"/>
      <c r="I430" s="13" t="n"/>
      <c r="J430" s="13" t="n"/>
      <c r="K430" s="13" t="n"/>
      <c r="L430" s="16" t="n"/>
      <c r="M430" s="16" t="n"/>
      <c r="N430" s="16" t="n"/>
      <c r="O430" s="13">
        <f>IF(OR(H430="",M430="ملغي"),0,H430*'حاسبة التسعير'!$B$19)</f>
        <v/>
      </c>
      <c r="P430" s="13">
        <f>IF(OR(I430="",M430="ملغي"),0,I430+J430-K430-O430)</f>
        <v/>
      </c>
      <c r="Q430" s="16" t="n"/>
    </row>
    <row r="431">
      <c r="A431" s="16" t="n"/>
      <c r="B431" s="20" t="n"/>
      <c r="C431" s="16" t="n"/>
      <c r="D431" s="16" t="n"/>
      <c r="E431" s="16" t="n"/>
      <c r="F431" s="16" t="n"/>
      <c r="G431" s="16" t="n"/>
      <c r="H431" s="16" t="n"/>
      <c r="I431" s="13" t="n"/>
      <c r="J431" s="13" t="n"/>
      <c r="K431" s="13" t="n"/>
      <c r="L431" s="16" t="n"/>
      <c r="M431" s="16" t="n"/>
      <c r="N431" s="16" t="n"/>
      <c r="O431" s="13">
        <f>IF(OR(H431="",M431="ملغي"),0,H431*'حاسبة التسعير'!$B$19)</f>
        <v/>
      </c>
      <c r="P431" s="13">
        <f>IF(OR(I431="",M431="ملغي"),0,I431+J431-K431-O431)</f>
        <v/>
      </c>
      <c r="Q431" s="16" t="n"/>
    </row>
    <row r="432">
      <c r="A432" s="16" t="n"/>
      <c r="B432" s="20" t="n"/>
      <c r="C432" s="16" t="n"/>
      <c r="D432" s="16" t="n"/>
      <c r="E432" s="16" t="n"/>
      <c r="F432" s="16" t="n"/>
      <c r="G432" s="16" t="n"/>
      <c r="H432" s="16" t="n"/>
      <c r="I432" s="13" t="n"/>
      <c r="J432" s="13" t="n"/>
      <c r="K432" s="13" t="n"/>
      <c r="L432" s="16" t="n"/>
      <c r="M432" s="16" t="n"/>
      <c r="N432" s="16" t="n"/>
      <c r="O432" s="13">
        <f>IF(OR(H432="",M432="ملغي"),0,H432*'حاسبة التسعير'!$B$19)</f>
        <v/>
      </c>
      <c r="P432" s="13">
        <f>IF(OR(I432="",M432="ملغي"),0,I432+J432-K432-O432)</f>
        <v/>
      </c>
      <c r="Q432" s="16" t="n"/>
    </row>
    <row r="433">
      <c r="A433" s="16" t="n"/>
      <c r="B433" s="20" t="n"/>
      <c r="C433" s="16" t="n"/>
      <c r="D433" s="16" t="n"/>
      <c r="E433" s="16" t="n"/>
      <c r="F433" s="16" t="n"/>
      <c r="G433" s="16" t="n"/>
      <c r="H433" s="16" t="n"/>
      <c r="I433" s="13" t="n"/>
      <c r="J433" s="13" t="n"/>
      <c r="K433" s="13" t="n"/>
      <c r="L433" s="16" t="n"/>
      <c r="M433" s="16" t="n"/>
      <c r="N433" s="16" t="n"/>
      <c r="O433" s="13">
        <f>IF(OR(H433="",M433="ملغي"),0,H433*'حاسبة التسعير'!$B$19)</f>
        <v/>
      </c>
      <c r="P433" s="13">
        <f>IF(OR(I433="",M433="ملغي"),0,I433+J433-K433-O433)</f>
        <v/>
      </c>
      <c r="Q433" s="16" t="n"/>
    </row>
    <row r="434">
      <c r="A434" s="16" t="n"/>
      <c r="B434" s="20" t="n"/>
      <c r="C434" s="16" t="n"/>
      <c r="D434" s="16" t="n"/>
      <c r="E434" s="16" t="n"/>
      <c r="F434" s="16" t="n"/>
      <c r="G434" s="16" t="n"/>
      <c r="H434" s="16" t="n"/>
      <c r="I434" s="13" t="n"/>
      <c r="J434" s="13" t="n"/>
      <c r="K434" s="13" t="n"/>
      <c r="L434" s="16" t="n"/>
      <c r="M434" s="16" t="n"/>
      <c r="N434" s="16" t="n"/>
      <c r="O434" s="13">
        <f>IF(OR(H434="",M434="ملغي"),0,H434*'حاسبة التسعير'!$B$19)</f>
        <v/>
      </c>
      <c r="P434" s="13">
        <f>IF(OR(I434="",M434="ملغي"),0,I434+J434-K434-O434)</f>
        <v/>
      </c>
      <c r="Q434" s="16" t="n"/>
    </row>
    <row r="435">
      <c r="A435" s="16" t="n"/>
      <c r="B435" s="20" t="n"/>
      <c r="C435" s="16" t="n"/>
      <c r="D435" s="16" t="n"/>
      <c r="E435" s="16" t="n"/>
      <c r="F435" s="16" t="n"/>
      <c r="G435" s="16" t="n"/>
      <c r="H435" s="16" t="n"/>
      <c r="I435" s="13" t="n"/>
      <c r="J435" s="13" t="n"/>
      <c r="K435" s="13" t="n"/>
      <c r="L435" s="16" t="n"/>
      <c r="M435" s="16" t="n"/>
      <c r="N435" s="16" t="n"/>
      <c r="O435" s="13">
        <f>IF(OR(H435="",M435="ملغي"),0,H435*'حاسبة التسعير'!$B$19)</f>
        <v/>
      </c>
      <c r="P435" s="13">
        <f>IF(OR(I435="",M435="ملغي"),0,I435+J435-K435-O435)</f>
        <v/>
      </c>
      <c r="Q435" s="16" t="n"/>
    </row>
    <row r="436">
      <c r="A436" s="16" t="n"/>
      <c r="B436" s="20" t="n"/>
      <c r="C436" s="16" t="n"/>
      <c r="D436" s="16" t="n"/>
      <c r="E436" s="16" t="n"/>
      <c r="F436" s="16" t="n"/>
      <c r="G436" s="16" t="n"/>
      <c r="H436" s="16" t="n"/>
      <c r="I436" s="13" t="n"/>
      <c r="J436" s="13" t="n"/>
      <c r="K436" s="13" t="n"/>
      <c r="L436" s="16" t="n"/>
      <c r="M436" s="16" t="n"/>
      <c r="N436" s="16" t="n"/>
      <c r="O436" s="13">
        <f>IF(OR(H436="",M436="ملغي"),0,H436*'حاسبة التسعير'!$B$19)</f>
        <v/>
      </c>
      <c r="P436" s="13">
        <f>IF(OR(I436="",M436="ملغي"),0,I436+J436-K436-O436)</f>
        <v/>
      </c>
      <c r="Q436" s="16" t="n"/>
    </row>
    <row r="437">
      <c r="A437" s="16" t="n"/>
      <c r="B437" s="20" t="n"/>
      <c r="C437" s="16" t="n"/>
      <c r="D437" s="16" t="n"/>
      <c r="E437" s="16" t="n"/>
      <c r="F437" s="16" t="n"/>
      <c r="G437" s="16" t="n"/>
      <c r="H437" s="16" t="n"/>
      <c r="I437" s="13" t="n"/>
      <c r="J437" s="13" t="n"/>
      <c r="K437" s="13" t="n"/>
      <c r="L437" s="16" t="n"/>
      <c r="M437" s="16" t="n"/>
      <c r="N437" s="16" t="n"/>
      <c r="O437" s="13">
        <f>IF(OR(H437="",M437="ملغي"),0,H437*'حاسبة التسعير'!$B$19)</f>
        <v/>
      </c>
      <c r="P437" s="13">
        <f>IF(OR(I437="",M437="ملغي"),0,I437+J437-K437-O437)</f>
        <v/>
      </c>
      <c r="Q437" s="16" t="n"/>
    </row>
    <row r="438">
      <c r="A438" s="16" t="n"/>
      <c r="B438" s="20" t="n"/>
      <c r="C438" s="16" t="n"/>
      <c r="D438" s="16" t="n"/>
      <c r="E438" s="16" t="n"/>
      <c r="F438" s="16" t="n"/>
      <c r="G438" s="16" t="n"/>
      <c r="H438" s="16" t="n"/>
      <c r="I438" s="13" t="n"/>
      <c r="J438" s="13" t="n"/>
      <c r="K438" s="13" t="n"/>
      <c r="L438" s="16" t="n"/>
      <c r="M438" s="16" t="n"/>
      <c r="N438" s="16" t="n"/>
      <c r="O438" s="13">
        <f>IF(OR(H438="",M438="ملغي"),0,H438*'حاسبة التسعير'!$B$19)</f>
        <v/>
      </c>
      <c r="P438" s="13">
        <f>IF(OR(I438="",M438="ملغي"),0,I438+J438-K438-O438)</f>
        <v/>
      </c>
      <c r="Q438" s="16" t="n"/>
    </row>
    <row r="439">
      <c r="A439" s="16" t="n"/>
      <c r="B439" s="20" t="n"/>
      <c r="C439" s="16" t="n"/>
      <c r="D439" s="16" t="n"/>
      <c r="E439" s="16" t="n"/>
      <c r="F439" s="16" t="n"/>
      <c r="G439" s="16" t="n"/>
      <c r="H439" s="16" t="n"/>
      <c r="I439" s="13" t="n"/>
      <c r="J439" s="13" t="n"/>
      <c r="K439" s="13" t="n"/>
      <c r="L439" s="16" t="n"/>
      <c r="M439" s="16" t="n"/>
      <c r="N439" s="16" t="n"/>
      <c r="O439" s="13">
        <f>IF(OR(H439="",M439="ملغي"),0,H439*'حاسبة التسعير'!$B$19)</f>
        <v/>
      </c>
      <c r="P439" s="13">
        <f>IF(OR(I439="",M439="ملغي"),0,I439+J439-K439-O439)</f>
        <v/>
      </c>
      <c r="Q439" s="16" t="n"/>
    </row>
    <row r="440">
      <c r="A440" s="16" t="n"/>
      <c r="B440" s="20" t="n"/>
      <c r="C440" s="16" t="n"/>
      <c r="D440" s="16" t="n"/>
      <c r="E440" s="16" t="n"/>
      <c r="F440" s="16" t="n"/>
      <c r="G440" s="16" t="n"/>
      <c r="H440" s="16" t="n"/>
      <c r="I440" s="13" t="n"/>
      <c r="J440" s="13" t="n"/>
      <c r="K440" s="13" t="n"/>
      <c r="L440" s="16" t="n"/>
      <c r="M440" s="16" t="n"/>
      <c r="N440" s="16" t="n"/>
      <c r="O440" s="13">
        <f>IF(OR(H440="",M440="ملغي"),0,H440*'حاسبة التسعير'!$B$19)</f>
        <v/>
      </c>
      <c r="P440" s="13">
        <f>IF(OR(I440="",M440="ملغي"),0,I440+J440-K440-O440)</f>
        <v/>
      </c>
      <c r="Q440" s="16" t="n"/>
    </row>
    <row r="441">
      <c r="A441" s="16" t="n"/>
      <c r="B441" s="20" t="n"/>
      <c r="C441" s="16" t="n"/>
      <c r="D441" s="16" t="n"/>
      <c r="E441" s="16" t="n"/>
      <c r="F441" s="16" t="n"/>
      <c r="G441" s="16" t="n"/>
      <c r="H441" s="16" t="n"/>
      <c r="I441" s="13" t="n"/>
      <c r="J441" s="13" t="n"/>
      <c r="K441" s="13" t="n"/>
      <c r="L441" s="16" t="n"/>
      <c r="M441" s="16" t="n"/>
      <c r="N441" s="16" t="n"/>
      <c r="O441" s="13">
        <f>IF(OR(H441="",M441="ملغي"),0,H441*'حاسبة التسعير'!$B$19)</f>
        <v/>
      </c>
      <c r="P441" s="13">
        <f>IF(OR(I441="",M441="ملغي"),0,I441+J441-K441-O441)</f>
        <v/>
      </c>
      <c r="Q441" s="16" t="n"/>
    </row>
    <row r="442">
      <c r="A442" s="16" t="n"/>
      <c r="B442" s="20" t="n"/>
      <c r="C442" s="16" t="n"/>
      <c r="D442" s="16" t="n"/>
      <c r="E442" s="16" t="n"/>
      <c r="F442" s="16" t="n"/>
      <c r="G442" s="16" t="n"/>
      <c r="H442" s="16" t="n"/>
      <c r="I442" s="13" t="n"/>
      <c r="J442" s="13" t="n"/>
      <c r="K442" s="13" t="n"/>
      <c r="L442" s="16" t="n"/>
      <c r="M442" s="16" t="n"/>
      <c r="N442" s="16" t="n"/>
      <c r="O442" s="13">
        <f>IF(OR(H442="",M442="ملغي"),0,H442*'حاسبة التسعير'!$B$19)</f>
        <v/>
      </c>
      <c r="P442" s="13">
        <f>IF(OR(I442="",M442="ملغي"),0,I442+J442-K442-O442)</f>
        <v/>
      </c>
      <c r="Q442" s="16" t="n"/>
    </row>
    <row r="443">
      <c r="A443" s="16" t="n"/>
      <c r="B443" s="20" t="n"/>
      <c r="C443" s="16" t="n"/>
      <c r="D443" s="16" t="n"/>
      <c r="E443" s="16" t="n"/>
      <c r="F443" s="16" t="n"/>
      <c r="G443" s="16" t="n"/>
      <c r="H443" s="16" t="n"/>
      <c r="I443" s="13" t="n"/>
      <c r="J443" s="13" t="n"/>
      <c r="K443" s="13" t="n"/>
      <c r="L443" s="16" t="n"/>
      <c r="M443" s="16" t="n"/>
      <c r="N443" s="16" t="n"/>
      <c r="O443" s="13">
        <f>IF(OR(H443="",M443="ملغي"),0,H443*'حاسبة التسعير'!$B$19)</f>
        <v/>
      </c>
      <c r="P443" s="13">
        <f>IF(OR(I443="",M443="ملغي"),0,I443+J443-K443-O443)</f>
        <v/>
      </c>
      <c r="Q443" s="16" t="n"/>
    </row>
    <row r="444">
      <c r="A444" s="16" t="n"/>
      <c r="B444" s="20" t="n"/>
      <c r="C444" s="16" t="n"/>
      <c r="D444" s="16" t="n"/>
      <c r="E444" s="16" t="n"/>
      <c r="F444" s="16" t="n"/>
      <c r="G444" s="16" t="n"/>
      <c r="H444" s="16" t="n"/>
      <c r="I444" s="13" t="n"/>
      <c r="J444" s="13" t="n"/>
      <c r="K444" s="13" t="n"/>
      <c r="L444" s="16" t="n"/>
      <c r="M444" s="16" t="n"/>
      <c r="N444" s="16" t="n"/>
      <c r="O444" s="13">
        <f>IF(OR(H444="",M444="ملغي"),0,H444*'حاسبة التسعير'!$B$19)</f>
        <v/>
      </c>
      <c r="P444" s="13">
        <f>IF(OR(I444="",M444="ملغي"),0,I444+J444-K444-O444)</f>
        <v/>
      </c>
      <c r="Q444" s="16" t="n"/>
    </row>
    <row r="445">
      <c r="A445" s="16" t="n"/>
      <c r="B445" s="20" t="n"/>
      <c r="C445" s="16" t="n"/>
      <c r="D445" s="16" t="n"/>
      <c r="E445" s="16" t="n"/>
      <c r="F445" s="16" t="n"/>
      <c r="G445" s="16" t="n"/>
      <c r="H445" s="16" t="n"/>
      <c r="I445" s="13" t="n"/>
      <c r="J445" s="13" t="n"/>
      <c r="K445" s="13" t="n"/>
      <c r="L445" s="16" t="n"/>
      <c r="M445" s="16" t="n"/>
      <c r="N445" s="16" t="n"/>
      <c r="O445" s="13">
        <f>IF(OR(H445="",M445="ملغي"),0,H445*'حاسبة التسعير'!$B$19)</f>
        <v/>
      </c>
      <c r="P445" s="13">
        <f>IF(OR(I445="",M445="ملغي"),0,I445+J445-K445-O445)</f>
        <v/>
      </c>
      <c r="Q445" s="16" t="n"/>
    </row>
    <row r="446">
      <c r="A446" s="16" t="n"/>
      <c r="B446" s="20" t="n"/>
      <c r="C446" s="16" t="n"/>
      <c r="D446" s="16" t="n"/>
      <c r="E446" s="16" t="n"/>
      <c r="F446" s="16" t="n"/>
      <c r="G446" s="16" t="n"/>
      <c r="H446" s="16" t="n"/>
      <c r="I446" s="13" t="n"/>
      <c r="J446" s="13" t="n"/>
      <c r="K446" s="13" t="n"/>
      <c r="L446" s="16" t="n"/>
      <c r="M446" s="16" t="n"/>
      <c r="N446" s="16" t="n"/>
      <c r="O446" s="13">
        <f>IF(OR(H446="",M446="ملغي"),0,H446*'حاسبة التسعير'!$B$19)</f>
        <v/>
      </c>
      <c r="P446" s="13">
        <f>IF(OR(I446="",M446="ملغي"),0,I446+J446-K446-O446)</f>
        <v/>
      </c>
      <c r="Q446" s="16" t="n"/>
    </row>
    <row r="447">
      <c r="A447" s="16" t="n"/>
      <c r="B447" s="20" t="n"/>
      <c r="C447" s="16" t="n"/>
      <c r="D447" s="16" t="n"/>
      <c r="E447" s="16" t="n"/>
      <c r="F447" s="16" t="n"/>
      <c r="G447" s="16" t="n"/>
      <c r="H447" s="16" t="n"/>
      <c r="I447" s="13" t="n"/>
      <c r="J447" s="13" t="n"/>
      <c r="K447" s="13" t="n"/>
      <c r="L447" s="16" t="n"/>
      <c r="M447" s="16" t="n"/>
      <c r="N447" s="16" t="n"/>
      <c r="O447" s="13">
        <f>IF(OR(H447="",M447="ملغي"),0,H447*'حاسبة التسعير'!$B$19)</f>
        <v/>
      </c>
      <c r="P447" s="13">
        <f>IF(OR(I447="",M447="ملغي"),0,I447+J447-K447-O447)</f>
        <v/>
      </c>
      <c r="Q447" s="16" t="n"/>
    </row>
    <row r="448">
      <c r="A448" s="16" t="n"/>
      <c r="B448" s="20" t="n"/>
      <c r="C448" s="16" t="n"/>
      <c r="D448" s="16" t="n"/>
      <c r="E448" s="16" t="n"/>
      <c r="F448" s="16" t="n"/>
      <c r="G448" s="16" t="n"/>
      <c r="H448" s="16" t="n"/>
      <c r="I448" s="13" t="n"/>
      <c r="J448" s="13" t="n"/>
      <c r="K448" s="13" t="n"/>
      <c r="L448" s="16" t="n"/>
      <c r="M448" s="16" t="n"/>
      <c r="N448" s="16" t="n"/>
      <c r="O448" s="13">
        <f>IF(OR(H448="",M448="ملغي"),0,H448*'حاسبة التسعير'!$B$19)</f>
        <v/>
      </c>
      <c r="P448" s="13">
        <f>IF(OR(I448="",M448="ملغي"),0,I448+J448-K448-O448)</f>
        <v/>
      </c>
      <c r="Q448" s="16" t="n"/>
    </row>
    <row r="449">
      <c r="A449" s="16" t="n"/>
      <c r="B449" s="20" t="n"/>
      <c r="C449" s="16" t="n"/>
      <c r="D449" s="16" t="n"/>
      <c r="E449" s="16" t="n"/>
      <c r="F449" s="16" t="n"/>
      <c r="G449" s="16" t="n"/>
      <c r="H449" s="16" t="n"/>
      <c r="I449" s="13" t="n"/>
      <c r="J449" s="13" t="n"/>
      <c r="K449" s="13" t="n"/>
      <c r="L449" s="16" t="n"/>
      <c r="M449" s="16" t="n"/>
      <c r="N449" s="16" t="n"/>
      <c r="O449" s="13">
        <f>IF(OR(H449="",M449="ملغي"),0,H449*'حاسبة التسعير'!$B$19)</f>
        <v/>
      </c>
      <c r="P449" s="13">
        <f>IF(OR(I449="",M449="ملغي"),0,I449+J449-K449-O449)</f>
        <v/>
      </c>
      <c r="Q449" s="16" t="n"/>
    </row>
    <row r="450">
      <c r="A450" s="16" t="n"/>
      <c r="B450" s="20" t="n"/>
      <c r="C450" s="16" t="n"/>
      <c r="D450" s="16" t="n"/>
      <c r="E450" s="16" t="n"/>
      <c r="F450" s="16" t="n"/>
      <c r="G450" s="16" t="n"/>
      <c r="H450" s="16" t="n"/>
      <c r="I450" s="13" t="n"/>
      <c r="J450" s="13" t="n"/>
      <c r="K450" s="13" t="n"/>
      <c r="L450" s="16" t="n"/>
      <c r="M450" s="16" t="n"/>
      <c r="N450" s="16" t="n"/>
      <c r="O450" s="13">
        <f>IF(OR(H450="",M450="ملغي"),0,H450*'حاسبة التسعير'!$B$19)</f>
        <v/>
      </c>
      <c r="P450" s="13">
        <f>IF(OR(I450="",M450="ملغي"),0,I450+J450-K450-O450)</f>
        <v/>
      </c>
      <c r="Q450" s="16" t="n"/>
    </row>
    <row r="451">
      <c r="A451" s="16" t="n"/>
      <c r="B451" s="20" t="n"/>
      <c r="C451" s="16" t="n"/>
      <c r="D451" s="16" t="n"/>
      <c r="E451" s="16" t="n"/>
      <c r="F451" s="16" t="n"/>
      <c r="G451" s="16" t="n"/>
      <c r="H451" s="16" t="n"/>
      <c r="I451" s="13" t="n"/>
      <c r="J451" s="13" t="n"/>
      <c r="K451" s="13" t="n"/>
      <c r="L451" s="16" t="n"/>
      <c r="M451" s="16" t="n"/>
      <c r="N451" s="16" t="n"/>
      <c r="O451" s="13">
        <f>IF(OR(H451="",M451="ملغي"),0,H451*'حاسبة التسعير'!$B$19)</f>
        <v/>
      </c>
      <c r="P451" s="13">
        <f>IF(OR(I451="",M451="ملغي"),0,I451+J451-K451-O451)</f>
        <v/>
      </c>
      <c r="Q451" s="16" t="n"/>
    </row>
    <row r="452">
      <c r="A452" s="16" t="n"/>
      <c r="B452" s="20" t="n"/>
      <c r="C452" s="16" t="n"/>
      <c r="D452" s="16" t="n"/>
      <c r="E452" s="16" t="n"/>
      <c r="F452" s="16" t="n"/>
      <c r="G452" s="16" t="n"/>
      <c r="H452" s="16" t="n"/>
      <c r="I452" s="13" t="n"/>
      <c r="J452" s="13" t="n"/>
      <c r="K452" s="13" t="n"/>
      <c r="L452" s="16" t="n"/>
      <c r="M452" s="16" t="n"/>
      <c r="N452" s="16" t="n"/>
      <c r="O452" s="13">
        <f>IF(OR(H452="",M452="ملغي"),0,H452*'حاسبة التسعير'!$B$19)</f>
        <v/>
      </c>
      <c r="P452" s="13">
        <f>IF(OR(I452="",M452="ملغي"),0,I452+J452-K452-O452)</f>
        <v/>
      </c>
      <c r="Q452" s="16" t="n"/>
    </row>
    <row r="453">
      <c r="A453" s="16" t="n"/>
      <c r="B453" s="20" t="n"/>
      <c r="C453" s="16" t="n"/>
      <c r="D453" s="16" t="n"/>
      <c r="E453" s="16" t="n"/>
      <c r="F453" s="16" t="n"/>
      <c r="G453" s="16" t="n"/>
      <c r="H453" s="16" t="n"/>
      <c r="I453" s="13" t="n"/>
      <c r="J453" s="13" t="n"/>
      <c r="K453" s="13" t="n"/>
      <c r="L453" s="16" t="n"/>
      <c r="M453" s="16" t="n"/>
      <c r="N453" s="16" t="n"/>
      <c r="O453" s="13">
        <f>IF(OR(H453="",M453="ملغي"),0,H453*'حاسبة التسعير'!$B$19)</f>
        <v/>
      </c>
      <c r="P453" s="13">
        <f>IF(OR(I453="",M453="ملغي"),0,I453+J453-K453-O453)</f>
        <v/>
      </c>
      <c r="Q453" s="16" t="n"/>
    </row>
    <row r="454">
      <c r="A454" s="16" t="n"/>
      <c r="B454" s="20" t="n"/>
      <c r="C454" s="16" t="n"/>
      <c r="D454" s="16" t="n"/>
      <c r="E454" s="16" t="n"/>
      <c r="F454" s="16" t="n"/>
      <c r="G454" s="16" t="n"/>
      <c r="H454" s="16" t="n"/>
      <c r="I454" s="13" t="n"/>
      <c r="J454" s="13" t="n"/>
      <c r="K454" s="13" t="n"/>
      <c r="L454" s="16" t="n"/>
      <c r="M454" s="16" t="n"/>
      <c r="N454" s="16" t="n"/>
      <c r="O454" s="13">
        <f>IF(OR(H454="",M454="ملغي"),0,H454*'حاسبة التسعير'!$B$19)</f>
        <v/>
      </c>
      <c r="P454" s="13">
        <f>IF(OR(I454="",M454="ملغي"),0,I454+J454-K454-O454)</f>
        <v/>
      </c>
      <c r="Q454" s="16" t="n"/>
    </row>
    <row r="455">
      <c r="A455" s="16" t="n"/>
      <c r="B455" s="20" t="n"/>
      <c r="C455" s="16" t="n"/>
      <c r="D455" s="16" t="n"/>
      <c r="E455" s="16" t="n"/>
      <c r="F455" s="16" t="n"/>
      <c r="G455" s="16" t="n"/>
      <c r="H455" s="16" t="n"/>
      <c r="I455" s="13" t="n"/>
      <c r="J455" s="13" t="n"/>
      <c r="K455" s="13" t="n"/>
      <c r="L455" s="16" t="n"/>
      <c r="M455" s="16" t="n"/>
      <c r="N455" s="16" t="n"/>
      <c r="O455" s="13">
        <f>IF(OR(H455="",M455="ملغي"),0,H455*'حاسبة التسعير'!$B$19)</f>
        <v/>
      </c>
      <c r="P455" s="13">
        <f>IF(OR(I455="",M455="ملغي"),0,I455+J455-K455-O455)</f>
        <v/>
      </c>
      <c r="Q455" s="16" t="n"/>
    </row>
    <row r="456">
      <c r="A456" s="16" t="n"/>
      <c r="B456" s="20" t="n"/>
      <c r="C456" s="16" t="n"/>
      <c r="D456" s="16" t="n"/>
      <c r="E456" s="16" t="n"/>
      <c r="F456" s="16" t="n"/>
      <c r="G456" s="16" t="n"/>
      <c r="H456" s="16" t="n"/>
      <c r="I456" s="13" t="n"/>
      <c r="J456" s="13" t="n"/>
      <c r="K456" s="13" t="n"/>
      <c r="L456" s="16" t="n"/>
      <c r="M456" s="16" t="n"/>
      <c r="N456" s="16" t="n"/>
      <c r="O456" s="13">
        <f>IF(OR(H456="",M456="ملغي"),0,H456*'حاسبة التسعير'!$B$19)</f>
        <v/>
      </c>
      <c r="P456" s="13">
        <f>IF(OR(I456="",M456="ملغي"),0,I456+J456-K456-O456)</f>
        <v/>
      </c>
      <c r="Q456" s="16" t="n"/>
    </row>
    <row r="457">
      <c r="A457" s="16" t="n"/>
      <c r="B457" s="20" t="n"/>
      <c r="C457" s="16" t="n"/>
      <c r="D457" s="16" t="n"/>
      <c r="E457" s="16" t="n"/>
      <c r="F457" s="16" t="n"/>
      <c r="G457" s="16" t="n"/>
      <c r="H457" s="16" t="n"/>
      <c r="I457" s="13" t="n"/>
      <c r="J457" s="13" t="n"/>
      <c r="K457" s="13" t="n"/>
      <c r="L457" s="16" t="n"/>
      <c r="M457" s="16" t="n"/>
      <c r="N457" s="16" t="n"/>
      <c r="O457" s="13">
        <f>IF(OR(H457="",M457="ملغي"),0,H457*'حاسبة التسعير'!$B$19)</f>
        <v/>
      </c>
      <c r="P457" s="13">
        <f>IF(OR(I457="",M457="ملغي"),0,I457+J457-K457-O457)</f>
        <v/>
      </c>
      <c r="Q457" s="16" t="n"/>
    </row>
    <row r="458">
      <c r="A458" s="16" t="n"/>
      <c r="B458" s="20" t="n"/>
      <c r="C458" s="16" t="n"/>
      <c r="D458" s="16" t="n"/>
      <c r="E458" s="16" t="n"/>
      <c r="F458" s="16" t="n"/>
      <c r="G458" s="16" t="n"/>
      <c r="H458" s="16" t="n"/>
      <c r="I458" s="13" t="n"/>
      <c r="J458" s="13" t="n"/>
      <c r="K458" s="13" t="n"/>
      <c r="L458" s="16" t="n"/>
      <c r="M458" s="16" t="n"/>
      <c r="N458" s="16" t="n"/>
      <c r="O458" s="13">
        <f>IF(OR(H458="",M458="ملغي"),0,H458*'حاسبة التسعير'!$B$19)</f>
        <v/>
      </c>
      <c r="P458" s="13">
        <f>IF(OR(I458="",M458="ملغي"),0,I458+J458-K458-O458)</f>
        <v/>
      </c>
      <c r="Q458" s="16" t="n"/>
    </row>
    <row r="459">
      <c r="A459" s="16" t="n"/>
      <c r="B459" s="20" t="n"/>
      <c r="C459" s="16" t="n"/>
      <c r="D459" s="16" t="n"/>
      <c r="E459" s="16" t="n"/>
      <c r="F459" s="16" t="n"/>
      <c r="G459" s="16" t="n"/>
      <c r="H459" s="16" t="n"/>
      <c r="I459" s="13" t="n"/>
      <c r="J459" s="13" t="n"/>
      <c r="K459" s="13" t="n"/>
      <c r="L459" s="16" t="n"/>
      <c r="M459" s="16" t="n"/>
      <c r="N459" s="16" t="n"/>
      <c r="O459" s="13">
        <f>IF(OR(H459="",M459="ملغي"),0,H459*'حاسبة التسعير'!$B$19)</f>
        <v/>
      </c>
      <c r="P459" s="13">
        <f>IF(OR(I459="",M459="ملغي"),0,I459+J459-K459-O459)</f>
        <v/>
      </c>
      <c r="Q459" s="16" t="n"/>
    </row>
    <row r="460">
      <c r="A460" s="16" t="n"/>
      <c r="B460" s="20" t="n"/>
      <c r="C460" s="16" t="n"/>
      <c r="D460" s="16" t="n"/>
      <c r="E460" s="16" t="n"/>
      <c r="F460" s="16" t="n"/>
      <c r="G460" s="16" t="n"/>
      <c r="H460" s="16" t="n"/>
      <c r="I460" s="13" t="n"/>
      <c r="J460" s="13" t="n"/>
      <c r="K460" s="13" t="n"/>
      <c r="L460" s="16" t="n"/>
      <c r="M460" s="16" t="n"/>
      <c r="N460" s="16" t="n"/>
      <c r="O460" s="13">
        <f>IF(OR(H460="",M460="ملغي"),0,H460*'حاسبة التسعير'!$B$19)</f>
        <v/>
      </c>
      <c r="P460" s="13">
        <f>IF(OR(I460="",M460="ملغي"),0,I460+J460-K460-O460)</f>
        <v/>
      </c>
      <c r="Q460" s="16" t="n"/>
    </row>
    <row r="461">
      <c r="A461" s="16" t="n"/>
      <c r="B461" s="20" t="n"/>
      <c r="C461" s="16" t="n"/>
      <c r="D461" s="16" t="n"/>
      <c r="E461" s="16" t="n"/>
      <c r="F461" s="16" t="n"/>
      <c r="G461" s="16" t="n"/>
      <c r="H461" s="16" t="n"/>
      <c r="I461" s="13" t="n"/>
      <c r="J461" s="13" t="n"/>
      <c r="K461" s="13" t="n"/>
      <c r="L461" s="16" t="n"/>
      <c r="M461" s="16" t="n"/>
      <c r="N461" s="16" t="n"/>
      <c r="O461" s="13">
        <f>IF(OR(H461="",M461="ملغي"),0,H461*'حاسبة التسعير'!$B$19)</f>
        <v/>
      </c>
      <c r="P461" s="13">
        <f>IF(OR(I461="",M461="ملغي"),0,I461+J461-K461-O461)</f>
        <v/>
      </c>
      <c r="Q461" s="16" t="n"/>
    </row>
    <row r="462">
      <c r="A462" s="16" t="n"/>
      <c r="B462" s="20" t="n"/>
      <c r="C462" s="16" t="n"/>
      <c r="D462" s="16" t="n"/>
      <c r="E462" s="16" t="n"/>
      <c r="F462" s="16" t="n"/>
      <c r="G462" s="16" t="n"/>
      <c r="H462" s="16" t="n"/>
      <c r="I462" s="13" t="n"/>
      <c r="J462" s="13" t="n"/>
      <c r="K462" s="13" t="n"/>
      <c r="L462" s="16" t="n"/>
      <c r="M462" s="16" t="n"/>
      <c r="N462" s="16" t="n"/>
      <c r="O462" s="13">
        <f>IF(OR(H462="",M462="ملغي"),0,H462*'حاسبة التسعير'!$B$19)</f>
        <v/>
      </c>
      <c r="P462" s="13">
        <f>IF(OR(I462="",M462="ملغي"),0,I462+J462-K462-O462)</f>
        <v/>
      </c>
      <c r="Q462" s="16" t="n"/>
    </row>
    <row r="463">
      <c r="A463" s="16" t="n"/>
      <c r="B463" s="20" t="n"/>
      <c r="C463" s="16" t="n"/>
      <c r="D463" s="16" t="n"/>
      <c r="E463" s="16" t="n"/>
      <c r="F463" s="16" t="n"/>
      <c r="G463" s="16" t="n"/>
      <c r="H463" s="16" t="n"/>
      <c r="I463" s="13" t="n"/>
      <c r="J463" s="13" t="n"/>
      <c r="K463" s="13" t="n"/>
      <c r="L463" s="16" t="n"/>
      <c r="M463" s="16" t="n"/>
      <c r="N463" s="16" t="n"/>
      <c r="O463" s="13">
        <f>IF(OR(H463="",M463="ملغي"),0,H463*'حاسبة التسعير'!$B$19)</f>
        <v/>
      </c>
      <c r="P463" s="13">
        <f>IF(OR(I463="",M463="ملغي"),0,I463+J463-K463-O463)</f>
        <v/>
      </c>
      <c r="Q463" s="16" t="n"/>
    </row>
    <row r="464">
      <c r="A464" s="16" t="n"/>
      <c r="B464" s="20" t="n"/>
      <c r="C464" s="16" t="n"/>
      <c r="D464" s="16" t="n"/>
      <c r="E464" s="16" t="n"/>
      <c r="F464" s="16" t="n"/>
      <c r="G464" s="16" t="n"/>
      <c r="H464" s="16" t="n"/>
      <c r="I464" s="13" t="n"/>
      <c r="J464" s="13" t="n"/>
      <c r="K464" s="13" t="n"/>
      <c r="L464" s="16" t="n"/>
      <c r="M464" s="16" t="n"/>
      <c r="N464" s="16" t="n"/>
      <c r="O464" s="13">
        <f>IF(OR(H464="",M464="ملغي"),0,H464*'حاسبة التسعير'!$B$19)</f>
        <v/>
      </c>
      <c r="P464" s="13">
        <f>IF(OR(I464="",M464="ملغي"),0,I464+J464-K464-O464)</f>
        <v/>
      </c>
      <c r="Q464" s="16" t="n"/>
    </row>
    <row r="465">
      <c r="A465" s="16" t="n"/>
      <c r="B465" s="20" t="n"/>
      <c r="C465" s="16" t="n"/>
      <c r="D465" s="16" t="n"/>
      <c r="E465" s="16" t="n"/>
      <c r="F465" s="16" t="n"/>
      <c r="G465" s="16" t="n"/>
      <c r="H465" s="16" t="n"/>
      <c r="I465" s="13" t="n"/>
      <c r="J465" s="13" t="n"/>
      <c r="K465" s="13" t="n"/>
      <c r="L465" s="16" t="n"/>
      <c r="M465" s="16" t="n"/>
      <c r="N465" s="16" t="n"/>
      <c r="O465" s="13">
        <f>IF(OR(H465="",M465="ملغي"),0,H465*'حاسبة التسعير'!$B$19)</f>
        <v/>
      </c>
      <c r="P465" s="13">
        <f>IF(OR(I465="",M465="ملغي"),0,I465+J465-K465-O465)</f>
        <v/>
      </c>
      <c r="Q465" s="16" t="n"/>
    </row>
    <row r="466">
      <c r="A466" s="16" t="n"/>
      <c r="B466" s="20" t="n"/>
      <c r="C466" s="16" t="n"/>
      <c r="D466" s="16" t="n"/>
      <c r="E466" s="16" t="n"/>
      <c r="F466" s="16" t="n"/>
      <c r="G466" s="16" t="n"/>
      <c r="H466" s="16" t="n"/>
      <c r="I466" s="13" t="n"/>
      <c r="J466" s="13" t="n"/>
      <c r="K466" s="13" t="n"/>
      <c r="L466" s="16" t="n"/>
      <c r="M466" s="16" t="n"/>
      <c r="N466" s="16" t="n"/>
      <c r="O466" s="13">
        <f>IF(OR(H466="",M466="ملغي"),0,H466*'حاسبة التسعير'!$B$19)</f>
        <v/>
      </c>
      <c r="P466" s="13">
        <f>IF(OR(I466="",M466="ملغي"),0,I466+J466-K466-O466)</f>
        <v/>
      </c>
      <c r="Q466" s="16" t="n"/>
    </row>
    <row r="467">
      <c r="A467" s="16" t="n"/>
      <c r="B467" s="20" t="n"/>
      <c r="C467" s="16" t="n"/>
      <c r="D467" s="16" t="n"/>
      <c r="E467" s="16" t="n"/>
      <c r="F467" s="16" t="n"/>
      <c r="G467" s="16" t="n"/>
      <c r="H467" s="16" t="n"/>
      <c r="I467" s="13" t="n"/>
      <c r="J467" s="13" t="n"/>
      <c r="K467" s="13" t="n"/>
      <c r="L467" s="16" t="n"/>
      <c r="M467" s="16" t="n"/>
      <c r="N467" s="16" t="n"/>
      <c r="O467" s="13">
        <f>IF(OR(H467="",M467="ملغي"),0,H467*'حاسبة التسعير'!$B$19)</f>
        <v/>
      </c>
      <c r="P467" s="13">
        <f>IF(OR(I467="",M467="ملغي"),0,I467+J467-K467-O467)</f>
        <v/>
      </c>
      <c r="Q467" s="16" t="n"/>
    </row>
    <row r="468">
      <c r="A468" s="16" t="n"/>
      <c r="B468" s="20" t="n"/>
      <c r="C468" s="16" t="n"/>
      <c r="D468" s="16" t="n"/>
      <c r="E468" s="16" t="n"/>
      <c r="F468" s="16" t="n"/>
      <c r="G468" s="16" t="n"/>
      <c r="H468" s="16" t="n"/>
      <c r="I468" s="13" t="n"/>
      <c r="J468" s="13" t="n"/>
      <c r="K468" s="13" t="n"/>
      <c r="L468" s="16" t="n"/>
      <c r="M468" s="16" t="n"/>
      <c r="N468" s="16" t="n"/>
      <c r="O468" s="13">
        <f>IF(OR(H468="",M468="ملغي"),0,H468*'حاسبة التسعير'!$B$19)</f>
        <v/>
      </c>
      <c r="P468" s="13">
        <f>IF(OR(I468="",M468="ملغي"),0,I468+J468-K468-O468)</f>
        <v/>
      </c>
      <c r="Q468" s="16" t="n"/>
    </row>
    <row r="469">
      <c r="A469" s="16" t="n"/>
      <c r="B469" s="20" t="n"/>
      <c r="C469" s="16" t="n"/>
      <c r="D469" s="16" t="n"/>
      <c r="E469" s="16" t="n"/>
      <c r="F469" s="16" t="n"/>
      <c r="G469" s="16" t="n"/>
      <c r="H469" s="16" t="n"/>
      <c r="I469" s="13" t="n"/>
      <c r="J469" s="13" t="n"/>
      <c r="K469" s="13" t="n"/>
      <c r="L469" s="16" t="n"/>
      <c r="M469" s="16" t="n"/>
      <c r="N469" s="16" t="n"/>
      <c r="O469" s="13">
        <f>IF(OR(H469="",M469="ملغي"),0,H469*'حاسبة التسعير'!$B$19)</f>
        <v/>
      </c>
      <c r="P469" s="13">
        <f>IF(OR(I469="",M469="ملغي"),0,I469+J469-K469-O469)</f>
        <v/>
      </c>
      <c r="Q469" s="16" t="n"/>
    </row>
    <row r="470">
      <c r="A470" s="16" t="n"/>
      <c r="B470" s="20" t="n"/>
      <c r="C470" s="16" t="n"/>
      <c r="D470" s="16" t="n"/>
      <c r="E470" s="16" t="n"/>
      <c r="F470" s="16" t="n"/>
      <c r="G470" s="16" t="n"/>
      <c r="H470" s="16" t="n"/>
      <c r="I470" s="13" t="n"/>
      <c r="J470" s="13" t="n"/>
      <c r="K470" s="13" t="n"/>
      <c r="L470" s="16" t="n"/>
      <c r="M470" s="16" t="n"/>
      <c r="N470" s="16" t="n"/>
      <c r="O470" s="13">
        <f>IF(OR(H470="",M470="ملغي"),0,H470*'حاسبة التسعير'!$B$19)</f>
        <v/>
      </c>
      <c r="P470" s="13">
        <f>IF(OR(I470="",M470="ملغي"),0,I470+J470-K470-O470)</f>
        <v/>
      </c>
      <c r="Q470" s="16" t="n"/>
    </row>
    <row r="471">
      <c r="A471" s="16" t="n"/>
      <c r="B471" s="20" t="n"/>
      <c r="C471" s="16" t="n"/>
      <c r="D471" s="16" t="n"/>
      <c r="E471" s="16" t="n"/>
      <c r="F471" s="16" t="n"/>
      <c r="G471" s="16" t="n"/>
      <c r="H471" s="16" t="n"/>
      <c r="I471" s="13" t="n"/>
      <c r="J471" s="13" t="n"/>
      <c r="K471" s="13" t="n"/>
      <c r="L471" s="16" t="n"/>
      <c r="M471" s="16" t="n"/>
      <c r="N471" s="16" t="n"/>
      <c r="O471" s="13">
        <f>IF(OR(H471="",M471="ملغي"),0,H471*'حاسبة التسعير'!$B$19)</f>
        <v/>
      </c>
      <c r="P471" s="13">
        <f>IF(OR(I471="",M471="ملغي"),0,I471+J471-K471-O471)</f>
        <v/>
      </c>
      <c r="Q471" s="16" t="n"/>
    </row>
    <row r="472">
      <c r="A472" s="16" t="n"/>
      <c r="B472" s="20" t="n"/>
      <c r="C472" s="16" t="n"/>
      <c r="D472" s="16" t="n"/>
      <c r="E472" s="16" t="n"/>
      <c r="F472" s="16" t="n"/>
      <c r="G472" s="16" t="n"/>
      <c r="H472" s="16" t="n"/>
      <c r="I472" s="13" t="n"/>
      <c r="J472" s="13" t="n"/>
      <c r="K472" s="13" t="n"/>
      <c r="L472" s="16" t="n"/>
      <c r="M472" s="16" t="n"/>
      <c r="N472" s="16" t="n"/>
      <c r="O472" s="13">
        <f>IF(OR(H472="",M472="ملغي"),0,H472*'حاسبة التسعير'!$B$19)</f>
        <v/>
      </c>
      <c r="P472" s="13">
        <f>IF(OR(I472="",M472="ملغي"),0,I472+J472-K472-O472)</f>
        <v/>
      </c>
      <c r="Q472" s="16" t="n"/>
    </row>
    <row r="473">
      <c r="A473" s="16" t="n"/>
      <c r="B473" s="20" t="n"/>
      <c r="C473" s="16" t="n"/>
      <c r="D473" s="16" t="n"/>
      <c r="E473" s="16" t="n"/>
      <c r="F473" s="16" t="n"/>
      <c r="G473" s="16" t="n"/>
      <c r="H473" s="16" t="n"/>
      <c r="I473" s="13" t="n"/>
      <c r="J473" s="13" t="n"/>
      <c r="K473" s="13" t="n"/>
      <c r="L473" s="16" t="n"/>
      <c r="M473" s="16" t="n"/>
      <c r="N473" s="16" t="n"/>
      <c r="O473" s="13">
        <f>IF(OR(H473="",M473="ملغي"),0,H473*'حاسبة التسعير'!$B$19)</f>
        <v/>
      </c>
      <c r="P473" s="13">
        <f>IF(OR(I473="",M473="ملغي"),0,I473+J473-K473-O473)</f>
        <v/>
      </c>
      <c r="Q473" s="16" t="n"/>
    </row>
    <row r="474">
      <c r="A474" s="16" t="n"/>
      <c r="B474" s="20" t="n"/>
      <c r="C474" s="16" t="n"/>
      <c r="D474" s="16" t="n"/>
      <c r="E474" s="16" t="n"/>
      <c r="F474" s="16" t="n"/>
      <c r="G474" s="16" t="n"/>
      <c r="H474" s="16" t="n"/>
      <c r="I474" s="13" t="n"/>
      <c r="J474" s="13" t="n"/>
      <c r="K474" s="13" t="n"/>
      <c r="L474" s="16" t="n"/>
      <c r="M474" s="16" t="n"/>
      <c r="N474" s="16" t="n"/>
      <c r="O474" s="13">
        <f>IF(OR(H474="",M474="ملغي"),0,H474*'حاسبة التسعير'!$B$19)</f>
        <v/>
      </c>
      <c r="P474" s="13">
        <f>IF(OR(I474="",M474="ملغي"),0,I474+J474-K474-O474)</f>
        <v/>
      </c>
      <c r="Q474" s="16" t="n"/>
    </row>
    <row r="475">
      <c r="A475" s="16" t="n"/>
      <c r="B475" s="20" t="n"/>
      <c r="C475" s="16" t="n"/>
      <c r="D475" s="16" t="n"/>
      <c r="E475" s="16" t="n"/>
      <c r="F475" s="16" t="n"/>
      <c r="G475" s="16" t="n"/>
      <c r="H475" s="16" t="n"/>
      <c r="I475" s="13" t="n"/>
      <c r="J475" s="13" t="n"/>
      <c r="K475" s="13" t="n"/>
      <c r="L475" s="16" t="n"/>
      <c r="M475" s="16" t="n"/>
      <c r="N475" s="16" t="n"/>
      <c r="O475" s="13">
        <f>IF(OR(H475="",M475="ملغي"),0,H475*'حاسبة التسعير'!$B$19)</f>
        <v/>
      </c>
      <c r="P475" s="13">
        <f>IF(OR(I475="",M475="ملغي"),0,I475+J475-K475-O475)</f>
        <v/>
      </c>
      <c r="Q475" s="16" t="n"/>
    </row>
    <row r="476">
      <c r="A476" s="16" t="n"/>
      <c r="B476" s="20" t="n"/>
      <c r="C476" s="16" t="n"/>
      <c r="D476" s="16" t="n"/>
      <c r="E476" s="16" t="n"/>
      <c r="F476" s="16" t="n"/>
      <c r="G476" s="16" t="n"/>
      <c r="H476" s="16" t="n"/>
      <c r="I476" s="13" t="n"/>
      <c r="J476" s="13" t="n"/>
      <c r="K476" s="13" t="n"/>
      <c r="L476" s="16" t="n"/>
      <c r="M476" s="16" t="n"/>
      <c r="N476" s="16" t="n"/>
      <c r="O476" s="13">
        <f>IF(OR(H476="",M476="ملغي"),0,H476*'حاسبة التسعير'!$B$19)</f>
        <v/>
      </c>
      <c r="P476" s="13">
        <f>IF(OR(I476="",M476="ملغي"),0,I476+J476-K476-O476)</f>
        <v/>
      </c>
      <c r="Q476" s="16" t="n"/>
    </row>
    <row r="477">
      <c r="A477" s="16" t="n"/>
      <c r="B477" s="20" t="n"/>
      <c r="C477" s="16" t="n"/>
      <c r="D477" s="16" t="n"/>
      <c r="E477" s="16" t="n"/>
      <c r="F477" s="16" t="n"/>
      <c r="G477" s="16" t="n"/>
      <c r="H477" s="16" t="n"/>
      <c r="I477" s="13" t="n"/>
      <c r="J477" s="13" t="n"/>
      <c r="K477" s="13" t="n"/>
      <c r="L477" s="16" t="n"/>
      <c r="M477" s="16" t="n"/>
      <c r="N477" s="16" t="n"/>
      <c r="O477" s="13">
        <f>IF(OR(H477="",M477="ملغي"),0,H477*'حاسبة التسعير'!$B$19)</f>
        <v/>
      </c>
      <c r="P477" s="13">
        <f>IF(OR(I477="",M477="ملغي"),0,I477+J477-K477-O477)</f>
        <v/>
      </c>
      <c r="Q477" s="16" t="n"/>
    </row>
    <row r="478">
      <c r="A478" s="16" t="n"/>
      <c r="B478" s="20" t="n"/>
      <c r="C478" s="16" t="n"/>
      <c r="D478" s="16" t="n"/>
      <c r="E478" s="16" t="n"/>
      <c r="F478" s="16" t="n"/>
      <c r="G478" s="16" t="n"/>
      <c r="H478" s="16" t="n"/>
      <c r="I478" s="13" t="n"/>
      <c r="J478" s="13" t="n"/>
      <c r="K478" s="13" t="n"/>
      <c r="L478" s="16" t="n"/>
      <c r="M478" s="16" t="n"/>
      <c r="N478" s="16" t="n"/>
      <c r="O478" s="13">
        <f>IF(OR(H478="",M478="ملغي"),0,H478*'حاسبة التسعير'!$B$19)</f>
        <v/>
      </c>
      <c r="P478" s="13">
        <f>IF(OR(I478="",M478="ملغي"),0,I478+J478-K478-O478)</f>
        <v/>
      </c>
      <c r="Q478" s="16" t="n"/>
    </row>
    <row r="479">
      <c r="A479" s="16" t="n"/>
      <c r="B479" s="20" t="n"/>
      <c r="C479" s="16" t="n"/>
      <c r="D479" s="16" t="n"/>
      <c r="E479" s="16" t="n"/>
      <c r="F479" s="16" t="n"/>
      <c r="G479" s="16" t="n"/>
      <c r="H479" s="16" t="n"/>
      <c r="I479" s="13" t="n"/>
      <c r="J479" s="13" t="n"/>
      <c r="K479" s="13" t="n"/>
      <c r="L479" s="16" t="n"/>
      <c r="M479" s="16" t="n"/>
      <c r="N479" s="16" t="n"/>
      <c r="O479" s="13">
        <f>IF(OR(H479="",M479="ملغي"),0,H479*'حاسبة التسعير'!$B$19)</f>
        <v/>
      </c>
      <c r="P479" s="13">
        <f>IF(OR(I479="",M479="ملغي"),0,I479+J479-K479-O479)</f>
        <v/>
      </c>
      <c r="Q479" s="16" t="n"/>
    </row>
    <row r="480">
      <c r="A480" s="16" t="n"/>
      <c r="B480" s="20" t="n"/>
      <c r="C480" s="16" t="n"/>
      <c r="D480" s="16" t="n"/>
      <c r="E480" s="16" t="n"/>
      <c r="F480" s="16" t="n"/>
      <c r="G480" s="16" t="n"/>
      <c r="H480" s="16" t="n"/>
      <c r="I480" s="13" t="n"/>
      <c r="J480" s="13" t="n"/>
      <c r="K480" s="13" t="n"/>
      <c r="L480" s="16" t="n"/>
      <c r="M480" s="16" t="n"/>
      <c r="N480" s="16" t="n"/>
      <c r="O480" s="13">
        <f>IF(OR(H480="",M480="ملغي"),0,H480*'حاسبة التسعير'!$B$19)</f>
        <v/>
      </c>
      <c r="P480" s="13">
        <f>IF(OR(I480="",M480="ملغي"),0,I480+J480-K480-O480)</f>
        <v/>
      </c>
      <c r="Q480" s="16" t="n"/>
    </row>
    <row r="481">
      <c r="A481" s="16" t="n"/>
      <c r="B481" s="20" t="n"/>
      <c r="C481" s="16" t="n"/>
      <c r="D481" s="16" t="n"/>
      <c r="E481" s="16" t="n"/>
      <c r="F481" s="16" t="n"/>
      <c r="G481" s="16" t="n"/>
      <c r="H481" s="16" t="n"/>
      <c r="I481" s="13" t="n"/>
      <c r="J481" s="13" t="n"/>
      <c r="K481" s="13" t="n"/>
      <c r="L481" s="16" t="n"/>
      <c r="M481" s="16" t="n"/>
      <c r="N481" s="16" t="n"/>
      <c r="O481" s="13">
        <f>IF(OR(H481="",M481="ملغي"),0,H481*'حاسبة التسعير'!$B$19)</f>
        <v/>
      </c>
      <c r="P481" s="13">
        <f>IF(OR(I481="",M481="ملغي"),0,I481+J481-K481-O481)</f>
        <v/>
      </c>
      <c r="Q481" s="16" t="n"/>
    </row>
    <row r="482">
      <c r="A482" s="16" t="n"/>
      <c r="B482" s="20" t="n"/>
      <c r="C482" s="16" t="n"/>
      <c r="D482" s="16" t="n"/>
      <c r="E482" s="16" t="n"/>
      <c r="F482" s="16" t="n"/>
      <c r="G482" s="16" t="n"/>
      <c r="H482" s="16" t="n"/>
      <c r="I482" s="13" t="n"/>
      <c r="J482" s="13" t="n"/>
      <c r="K482" s="13" t="n"/>
      <c r="L482" s="16" t="n"/>
      <c r="M482" s="16" t="n"/>
      <c r="N482" s="16" t="n"/>
      <c r="O482" s="13">
        <f>IF(OR(H482="",M482="ملغي"),0,H482*'حاسبة التسعير'!$B$19)</f>
        <v/>
      </c>
      <c r="P482" s="13">
        <f>IF(OR(I482="",M482="ملغي"),0,I482+J482-K482-O482)</f>
        <v/>
      </c>
      <c r="Q482" s="16" t="n"/>
    </row>
    <row r="483">
      <c r="A483" s="16" t="n"/>
      <c r="B483" s="20" t="n"/>
      <c r="C483" s="16" t="n"/>
      <c r="D483" s="16" t="n"/>
      <c r="E483" s="16" t="n"/>
      <c r="F483" s="16" t="n"/>
      <c r="G483" s="16" t="n"/>
      <c r="H483" s="16" t="n"/>
      <c r="I483" s="13" t="n"/>
      <c r="J483" s="13" t="n"/>
      <c r="K483" s="13" t="n"/>
      <c r="L483" s="16" t="n"/>
      <c r="M483" s="16" t="n"/>
      <c r="N483" s="16" t="n"/>
      <c r="O483" s="13">
        <f>IF(OR(H483="",M483="ملغي"),0,H483*'حاسبة التسعير'!$B$19)</f>
        <v/>
      </c>
      <c r="P483" s="13">
        <f>IF(OR(I483="",M483="ملغي"),0,I483+J483-K483-O483)</f>
        <v/>
      </c>
      <c r="Q483" s="16" t="n"/>
    </row>
    <row r="484">
      <c r="A484" s="16" t="n"/>
      <c r="B484" s="20" t="n"/>
      <c r="C484" s="16" t="n"/>
      <c r="D484" s="16" t="n"/>
      <c r="E484" s="16" t="n"/>
      <c r="F484" s="16" t="n"/>
      <c r="G484" s="16" t="n"/>
      <c r="H484" s="16" t="n"/>
      <c r="I484" s="13" t="n"/>
      <c r="J484" s="13" t="n"/>
      <c r="K484" s="13" t="n"/>
      <c r="L484" s="16" t="n"/>
      <c r="M484" s="16" t="n"/>
      <c r="N484" s="16" t="n"/>
      <c r="O484" s="13">
        <f>IF(OR(H484="",M484="ملغي"),0,H484*'حاسبة التسعير'!$B$19)</f>
        <v/>
      </c>
      <c r="P484" s="13">
        <f>IF(OR(I484="",M484="ملغي"),0,I484+J484-K484-O484)</f>
        <v/>
      </c>
      <c r="Q484" s="16" t="n"/>
    </row>
    <row r="485">
      <c r="A485" s="16" t="n"/>
      <c r="B485" s="20" t="n"/>
      <c r="C485" s="16" t="n"/>
      <c r="D485" s="16" t="n"/>
      <c r="E485" s="16" t="n"/>
      <c r="F485" s="16" t="n"/>
      <c r="G485" s="16" t="n"/>
      <c r="H485" s="16" t="n"/>
      <c r="I485" s="13" t="n"/>
      <c r="J485" s="13" t="n"/>
      <c r="K485" s="13" t="n"/>
      <c r="L485" s="16" t="n"/>
      <c r="M485" s="16" t="n"/>
      <c r="N485" s="16" t="n"/>
      <c r="O485" s="13">
        <f>IF(OR(H485="",M485="ملغي"),0,H485*'حاسبة التسعير'!$B$19)</f>
        <v/>
      </c>
      <c r="P485" s="13">
        <f>IF(OR(I485="",M485="ملغي"),0,I485+J485-K485-O485)</f>
        <v/>
      </c>
      <c r="Q485" s="16" t="n"/>
    </row>
    <row r="486">
      <c r="A486" s="16" t="n"/>
      <c r="B486" s="20" t="n"/>
      <c r="C486" s="16" t="n"/>
      <c r="D486" s="16" t="n"/>
      <c r="E486" s="16" t="n"/>
      <c r="F486" s="16" t="n"/>
      <c r="G486" s="16" t="n"/>
      <c r="H486" s="16" t="n"/>
      <c r="I486" s="13" t="n"/>
      <c r="J486" s="13" t="n"/>
      <c r="K486" s="13" t="n"/>
      <c r="L486" s="16" t="n"/>
      <c r="M486" s="16" t="n"/>
      <c r="N486" s="16" t="n"/>
      <c r="O486" s="13">
        <f>IF(OR(H486="",M486="ملغي"),0,H486*'حاسبة التسعير'!$B$19)</f>
        <v/>
      </c>
      <c r="P486" s="13">
        <f>IF(OR(I486="",M486="ملغي"),0,I486+J486-K486-O486)</f>
        <v/>
      </c>
      <c r="Q486" s="16" t="n"/>
    </row>
    <row r="487">
      <c r="A487" s="16" t="n"/>
      <c r="B487" s="20" t="n"/>
      <c r="C487" s="16" t="n"/>
      <c r="D487" s="16" t="n"/>
      <c r="E487" s="16" t="n"/>
      <c r="F487" s="16" t="n"/>
      <c r="G487" s="16" t="n"/>
      <c r="H487" s="16" t="n"/>
      <c r="I487" s="13" t="n"/>
      <c r="J487" s="13" t="n"/>
      <c r="K487" s="13" t="n"/>
      <c r="L487" s="16" t="n"/>
      <c r="M487" s="16" t="n"/>
      <c r="N487" s="16" t="n"/>
      <c r="O487" s="13">
        <f>IF(OR(H487="",M487="ملغي"),0,H487*'حاسبة التسعير'!$B$19)</f>
        <v/>
      </c>
      <c r="P487" s="13">
        <f>IF(OR(I487="",M487="ملغي"),0,I487+J487-K487-O487)</f>
        <v/>
      </c>
      <c r="Q487" s="16" t="n"/>
    </row>
    <row r="488">
      <c r="A488" s="16" t="n"/>
      <c r="B488" s="20" t="n"/>
      <c r="C488" s="16" t="n"/>
      <c r="D488" s="16" t="n"/>
      <c r="E488" s="16" t="n"/>
      <c r="F488" s="16" t="n"/>
      <c r="G488" s="16" t="n"/>
      <c r="H488" s="16" t="n"/>
      <c r="I488" s="13" t="n"/>
      <c r="J488" s="13" t="n"/>
      <c r="K488" s="13" t="n"/>
      <c r="L488" s="16" t="n"/>
      <c r="M488" s="16" t="n"/>
      <c r="N488" s="16" t="n"/>
      <c r="O488" s="13">
        <f>IF(OR(H488="",M488="ملغي"),0,H488*'حاسبة التسعير'!$B$19)</f>
        <v/>
      </c>
      <c r="P488" s="13">
        <f>IF(OR(I488="",M488="ملغي"),0,I488+J488-K488-O488)</f>
        <v/>
      </c>
      <c r="Q488" s="16" t="n"/>
    </row>
    <row r="489">
      <c r="A489" s="16" t="n"/>
      <c r="B489" s="20" t="n"/>
      <c r="C489" s="16" t="n"/>
      <c r="D489" s="16" t="n"/>
      <c r="E489" s="16" t="n"/>
      <c r="F489" s="16" t="n"/>
      <c r="G489" s="16" t="n"/>
      <c r="H489" s="16" t="n"/>
      <c r="I489" s="13" t="n"/>
      <c r="J489" s="13" t="n"/>
      <c r="K489" s="13" t="n"/>
      <c r="L489" s="16" t="n"/>
      <c r="M489" s="16" t="n"/>
      <c r="N489" s="16" t="n"/>
      <c r="O489" s="13">
        <f>IF(OR(H489="",M489="ملغي"),0,H489*'حاسبة التسعير'!$B$19)</f>
        <v/>
      </c>
      <c r="P489" s="13">
        <f>IF(OR(I489="",M489="ملغي"),0,I489+J489-K489-O489)</f>
        <v/>
      </c>
      <c r="Q489" s="16" t="n"/>
    </row>
    <row r="490">
      <c r="A490" s="16" t="n"/>
      <c r="B490" s="20" t="n"/>
      <c r="C490" s="16" t="n"/>
      <c r="D490" s="16" t="n"/>
      <c r="E490" s="16" t="n"/>
      <c r="F490" s="16" t="n"/>
      <c r="G490" s="16" t="n"/>
      <c r="H490" s="16" t="n"/>
      <c r="I490" s="13" t="n"/>
      <c r="J490" s="13" t="n"/>
      <c r="K490" s="13" t="n"/>
      <c r="L490" s="16" t="n"/>
      <c r="M490" s="16" t="n"/>
      <c r="N490" s="16" t="n"/>
      <c r="O490" s="13">
        <f>IF(OR(H490="",M490="ملغي"),0,H490*'حاسبة التسعير'!$B$19)</f>
        <v/>
      </c>
      <c r="P490" s="13">
        <f>IF(OR(I490="",M490="ملغي"),0,I490+J490-K490-O490)</f>
        <v/>
      </c>
      <c r="Q490" s="16" t="n"/>
    </row>
    <row r="491">
      <c r="A491" s="16" t="n"/>
      <c r="B491" s="20" t="n"/>
      <c r="C491" s="16" t="n"/>
      <c r="D491" s="16" t="n"/>
      <c r="E491" s="16" t="n"/>
      <c r="F491" s="16" t="n"/>
      <c r="G491" s="16" t="n"/>
      <c r="H491" s="16" t="n"/>
      <c r="I491" s="13" t="n"/>
      <c r="J491" s="13" t="n"/>
      <c r="K491" s="13" t="n"/>
      <c r="L491" s="16" t="n"/>
      <c r="M491" s="16" t="n"/>
      <c r="N491" s="16" t="n"/>
      <c r="O491" s="13">
        <f>IF(OR(H491="",M491="ملغي"),0,H491*'حاسبة التسعير'!$B$19)</f>
        <v/>
      </c>
      <c r="P491" s="13">
        <f>IF(OR(I491="",M491="ملغي"),0,I491+J491-K491-O491)</f>
        <v/>
      </c>
      <c r="Q491" s="16" t="n"/>
    </row>
    <row r="492">
      <c r="A492" s="16" t="n"/>
      <c r="B492" s="20" t="n"/>
      <c r="C492" s="16" t="n"/>
      <c r="D492" s="16" t="n"/>
      <c r="E492" s="16" t="n"/>
      <c r="F492" s="16" t="n"/>
      <c r="G492" s="16" t="n"/>
      <c r="H492" s="16" t="n"/>
      <c r="I492" s="13" t="n"/>
      <c r="J492" s="13" t="n"/>
      <c r="K492" s="13" t="n"/>
      <c r="L492" s="16" t="n"/>
      <c r="M492" s="16" t="n"/>
      <c r="N492" s="16" t="n"/>
      <c r="O492" s="13">
        <f>IF(OR(H492="",M492="ملغي"),0,H492*'حاسبة التسعير'!$B$19)</f>
        <v/>
      </c>
      <c r="P492" s="13">
        <f>IF(OR(I492="",M492="ملغي"),0,I492+J492-K492-O492)</f>
        <v/>
      </c>
      <c r="Q492" s="16" t="n"/>
    </row>
    <row r="493">
      <c r="A493" s="16" t="n"/>
      <c r="B493" s="20" t="n"/>
      <c r="C493" s="16" t="n"/>
      <c r="D493" s="16" t="n"/>
      <c r="E493" s="16" t="n"/>
      <c r="F493" s="16" t="n"/>
      <c r="G493" s="16" t="n"/>
      <c r="H493" s="16" t="n"/>
      <c r="I493" s="13" t="n"/>
      <c r="J493" s="13" t="n"/>
      <c r="K493" s="13" t="n"/>
      <c r="L493" s="16" t="n"/>
      <c r="M493" s="16" t="n"/>
      <c r="N493" s="16" t="n"/>
      <c r="O493" s="13">
        <f>IF(OR(H493="",M493="ملغي"),0,H493*'حاسبة التسعير'!$B$19)</f>
        <v/>
      </c>
      <c r="P493" s="13">
        <f>IF(OR(I493="",M493="ملغي"),0,I493+J493-K493-O493)</f>
        <v/>
      </c>
      <c r="Q493" s="16" t="n"/>
    </row>
    <row r="494">
      <c r="A494" s="16" t="n"/>
      <c r="B494" s="20" t="n"/>
      <c r="C494" s="16" t="n"/>
      <c r="D494" s="16" t="n"/>
      <c r="E494" s="16" t="n"/>
      <c r="F494" s="16" t="n"/>
      <c r="G494" s="16" t="n"/>
      <c r="H494" s="16" t="n"/>
      <c r="I494" s="13" t="n"/>
      <c r="J494" s="13" t="n"/>
      <c r="K494" s="13" t="n"/>
      <c r="L494" s="16" t="n"/>
      <c r="M494" s="16" t="n"/>
      <c r="N494" s="16" t="n"/>
      <c r="O494" s="13">
        <f>IF(OR(H494="",M494="ملغي"),0,H494*'حاسبة التسعير'!$B$19)</f>
        <v/>
      </c>
      <c r="P494" s="13">
        <f>IF(OR(I494="",M494="ملغي"),0,I494+J494-K494-O494)</f>
        <v/>
      </c>
      <c r="Q494" s="16" t="n"/>
    </row>
    <row r="495">
      <c r="A495" s="16" t="n"/>
      <c r="B495" s="20" t="n"/>
      <c r="C495" s="16" t="n"/>
      <c r="D495" s="16" t="n"/>
      <c r="E495" s="16" t="n"/>
      <c r="F495" s="16" t="n"/>
      <c r="G495" s="16" t="n"/>
      <c r="H495" s="16" t="n"/>
      <c r="I495" s="13" t="n"/>
      <c r="J495" s="13" t="n"/>
      <c r="K495" s="13" t="n"/>
      <c r="L495" s="16" t="n"/>
      <c r="M495" s="16" t="n"/>
      <c r="N495" s="16" t="n"/>
      <c r="O495" s="13">
        <f>IF(OR(H495="",M495="ملغي"),0,H495*'حاسبة التسعير'!$B$19)</f>
        <v/>
      </c>
      <c r="P495" s="13">
        <f>IF(OR(I495="",M495="ملغي"),0,I495+J495-K495-O495)</f>
        <v/>
      </c>
      <c r="Q495" s="16" t="n"/>
    </row>
    <row r="496">
      <c r="A496" s="16" t="n"/>
      <c r="B496" s="20" t="n"/>
      <c r="C496" s="16" t="n"/>
      <c r="D496" s="16" t="n"/>
      <c r="E496" s="16" t="n"/>
      <c r="F496" s="16" t="n"/>
      <c r="G496" s="16" t="n"/>
      <c r="H496" s="16" t="n"/>
      <c r="I496" s="13" t="n"/>
      <c r="J496" s="13" t="n"/>
      <c r="K496" s="13" t="n"/>
      <c r="L496" s="16" t="n"/>
      <c r="M496" s="16" t="n"/>
      <c r="N496" s="16" t="n"/>
      <c r="O496" s="13">
        <f>IF(OR(H496="",M496="ملغي"),0,H496*'حاسبة التسعير'!$B$19)</f>
        <v/>
      </c>
      <c r="P496" s="13">
        <f>IF(OR(I496="",M496="ملغي"),0,I496+J496-K496-O496)</f>
        <v/>
      </c>
      <c r="Q496" s="16" t="n"/>
    </row>
    <row r="497">
      <c r="A497" s="16" t="n"/>
      <c r="B497" s="20" t="n"/>
      <c r="C497" s="16" t="n"/>
      <c r="D497" s="16" t="n"/>
      <c r="E497" s="16" t="n"/>
      <c r="F497" s="16" t="n"/>
      <c r="G497" s="16" t="n"/>
      <c r="H497" s="16" t="n"/>
      <c r="I497" s="13" t="n"/>
      <c r="J497" s="13" t="n"/>
      <c r="K497" s="13" t="n"/>
      <c r="L497" s="16" t="n"/>
      <c r="M497" s="16" t="n"/>
      <c r="N497" s="16" t="n"/>
      <c r="O497" s="13">
        <f>IF(OR(H497="",M497="ملغي"),0,H497*'حاسبة التسعير'!$B$19)</f>
        <v/>
      </c>
      <c r="P497" s="13">
        <f>IF(OR(I497="",M497="ملغي"),0,I497+J497-K497-O497)</f>
        <v/>
      </c>
      <c r="Q497" s="16" t="n"/>
    </row>
    <row r="498">
      <c r="A498" s="16" t="n"/>
      <c r="B498" s="20" t="n"/>
      <c r="C498" s="16" t="n"/>
      <c r="D498" s="16" t="n"/>
      <c r="E498" s="16" t="n"/>
      <c r="F498" s="16" t="n"/>
      <c r="G498" s="16" t="n"/>
      <c r="H498" s="16" t="n"/>
      <c r="I498" s="13" t="n"/>
      <c r="J498" s="13" t="n"/>
      <c r="K498" s="13" t="n"/>
      <c r="L498" s="16" t="n"/>
      <c r="M498" s="16" t="n"/>
      <c r="N498" s="16" t="n"/>
      <c r="O498" s="13">
        <f>IF(OR(H498="",M498="ملغي"),0,H498*'حاسبة التسعير'!$B$19)</f>
        <v/>
      </c>
      <c r="P498" s="13">
        <f>IF(OR(I498="",M498="ملغي"),0,I498+J498-K498-O498)</f>
        <v/>
      </c>
      <c r="Q498" s="16" t="n"/>
    </row>
    <row r="499">
      <c r="A499" s="16" t="n"/>
      <c r="B499" s="20" t="n"/>
      <c r="C499" s="16" t="n"/>
      <c r="D499" s="16" t="n"/>
      <c r="E499" s="16" t="n"/>
      <c r="F499" s="16" t="n"/>
      <c r="G499" s="16" t="n"/>
      <c r="H499" s="16" t="n"/>
      <c r="I499" s="13" t="n"/>
      <c r="J499" s="13" t="n"/>
      <c r="K499" s="13" t="n"/>
      <c r="L499" s="16" t="n"/>
      <c r="M499" s="16" t="n"/>
      <c r="N499" s="16" t="n"/>
      <c r="O499" s="13">
        <f>IF(OR(H499="",M499="ملغي"),0,H499*'حاسبة التسعير'!$B$19)</f>
        <v/>
      </c>
      <c r="P499" s="13">
        <f>IF(OR(I499="",M499="ملغي"),0,I499+J499-K499-O499)</f>
        <v/>
      </c>
      <c r="Q499" s="16" t="n"/>
    </row>
    <row r="500">
      <c r="A500" s="16" t="n"/>
      <c r="B500" s="20" t="n"/>
      <c r="C500" s="16" t="n"/>
      <c r="D500" s="16" t="n"/>
      <c r="E500" s="16" t="n"/>
      <c r="F500" s="16" t="n"/>
      <c r="G500" s="16" t="n"/>
      <c r="H500" s="16" t="n"/>
      <c r="I500" s="13" t="n"/>
      <c r="J500" s="13" t="n"/>
      <c r="K500" s="13" t="n"/>
      <c r="L500" s="16" t="n"/>
      <c r="M500" s="16" t="n"/>
      <c r="N500" s="16" t="n"/>
      <c r="O500" s="13">
        <f>IF(OR(H500="",M500="ملغي"),0,H500*'حاسبة التسعير'!$B$19)</f>
        <v/>
      </c>
      <c r="P500" s="13">
        <f>IF(OR(I500="",M500="ملغي"),0,I500+J500-K500-O500)</f>
        <v/>
      </c>
      <c r="Q500" s="16" t="n"/>
    </row>
    <row r="501">
      <c r="A501" s="16" t="n"/>
      <c r="B501" s="20" t="n"/>
      <c r="C501" s="16" t="n"/>
      <c r="D501" s="16" t="n"/>
      <c r="E501" s="16" t="n"/>
      <c r="F501" s="16" t="n"/>
      <c r="G501" s="16" t="n"/>
      <c r="H501" s="16" t="n"/>
      <c r="I501" s="13" t="n"/>
      <c r="J501" s="13" t="n"/>
      <c r="K501" s="13" t="n"/>
      <c r="L501" s="16" t="n"/>
      <c r="M501" s="16" t="n"/>
      <c r="N501" s="16" t="n"/>
      <c r="O501" s="13">
        <f>IF(OR(H501="",M501="ملغي"),0,H501*'حاسبة التسعير'!$B$19)</f>
        <v/>
      </c>
      <c r="P501" s="13">
        <f>IF(OR(I501="",M501="ملغي"),0,I501+J501-K501-O501)</f>
        <v/>
      </c>
      <c r="Q501" s="16" t="n"/>
    </row>
    <row r="502">
      <c r="A502" s="16" t="n"/>
      <c r="B502" s="20" t="n"/>
      <c r="C502" s="16" t="n"/>
      <c r="D502" s="16" t="n"/>
      <c r="E502" s="16" t="n"/>
      <c r="F502" s="16" t="n"/>
      <c r="G502" s="16" t="n"/>
      <c r="H502" s="16" t="n"/>
      <c r="I502" s="13" t="n"/>
      <c r="J502" s="13" t="n"/>
      <c r="K502" s="13" t="n"/>
      <c r="L502" s="16" t="n"/>
      <c r="M502" s="16" t="n"/>
      <c r="N502" s="16" t="n"/>
      <c r="O502" s="13">
        <f>IF(OR(H502="",M502="ملغي"),0,H502*'حاسبة التسعير'!$B$19)</f>
        <v/>
      </c>
      <c r="P502" s="13">
        <f>IF(OR(I502="",M502="ملغي"),0,I502+J502-K502-O502)</f>
        <v/>
      </c>
      <c r="Q502" s="16" t="n"/>
    </row>
    <row r="503">
      <c r="A503" s="16" t="n"/>
      <c r="B503" s="20" t="n"/>
      <c r="C503" s="16" t="n"/>
      <c r="D503" s="16" t="n"/>
      <c r="E503" s="16" t="n"/>
      <c r="F503" s="16" t="n"/>
      <c r="G503" s="16" t="n"/>
      <c r="H503" s="16" t="n"/>
      <c r="I503" s="13" t="n"/>
      <c r="J503" s="13" t="n"/>
      <c r="K503" s="13" t="n"/>
      <c r="L503" s="16" t="n"/>
      <c r="M503" s="16" t="n"/>
      <c r="N503" s="16" t="n"/>
      <c r="O503" s="13">
        <f>IF(OR(H503="",M503="ملغي"),0,H503*'حاسبة التسعير'!$B$19)</f>
        <v/>
      </c>
      <c r="P503" s="13">
        <f>IF(OR(I503="",M503="ملغي"),0,I503+J503-K503-O503)</f>
        <v/>
      </c>
      <c r="Q503" s="16" t="n"/>
    </row>
    <row r="504">
      <c r="A504" s="16" t="n"/>
      <c r="B504" s="20" t="n"/>
      <c r="C504" s="16" t="n"/>
      <c r="D504" s="16" t="n"/>
      <c r="E504" s="16" t="n"/>
      <c r="F504" s="16" t="n"/>
      <c r="G504" s="16" t="n"/>
      <c r="H504" s="16" t="n"/>
      <c r="I504" s="13" t="n"/>
      <c r="J504" s="13" t="n"/>
      <c r="K504" s="13" t="n"/>
      <c r="L504" s="16" t="n"/>
      <c r="M504" s="16" t="n"/>
      <c r="N504" s="16" t="n"/>
      <c r="O504" s="13">
        <f>IF(OR(H504="",M504="ملغي"),0,H504*'حاسبة التسعير'!$B$19)</f>
        <v/>
      </c>
      <c r="P504" s="13">
        <f>IF(OR(I504="",M504="ملغي"),0,I504+J504-K504-O504)</f>
        <v/>
      </c>
      <c r="Q504" s="16" t="n"/>
    </row>
  </sheetData>
  <conditionalFormatting sqref="A5:Q504">
    <cfRule type="expression" priority="1" dxfId="1">
      <formula>$M5="ملغي"</formula>
    </cfRule>
    <cfRule type="expression" priority="2" dxfId="2">
      <formula>$M5="تم التسليم"</formula>
    </cfRule>
  </conditionalFormatting>
  <dataValidations count="5">
    <dataValidation sqref="E5:E504" showDropDown="0" showInputMessage="0" showErrorMessage="0" allowBlank="1" type="list">
      <formula1>"عمّان,الزرقاء,إربد,السلط,مادبا,العقبة,جرش,عجلون,المفرق,الكرك,الطفيلة,معان"</formula1>
    </dataValidation>
    <dataValidation sqref="F5:F504" showDropDown="0" showInputMessage="0" showErrorMessage="0" allowBlank="1" type="list">
      <formula1>"مطعم / كافيه,صالون,عيادة,محل تجاري,جيم,فندق,أخرى"</formula1>
    </dataValidation>
    <dataValidation sqref="G5:G504" showDropDown="0" showInputMessage="0" showErrorMessage="0" allowBlank="1" type="list">
      <formula1>"انستغرام,فيسبوك,تيك توك,واتساب,توصية زبون,زيارة مباشرة,أخرى"</formula1>
    </dataValidation>
    <dataValidation sqref="L5:L504" showDropDown="0" showInputMessage="0" showErrorMessage="0" allowBlank="1" type="list">
      <formula1>"كاش عند الاستلام,كليك CliQ,تحويل بنكي,محفظة إلكترونية"</formula1>
    </dataValidation>
    <dataValidation sqref="M5:M504" showDropDown="0" showInputMessage="0" showErrorMessage="0" allowBlank="1" type="list">
      <formula1>"جديد,تم التأكيد,قيد التوصيل,تم التسليم,ملغي"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1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16" customWidth="1" min="4" max="4"/>
    <col width="30" customWidth="1" min="5" max="5"/>
    <col width="4" customWidth="1" min="6" max="6"/>
  </cols>
  <sheetData>
    <row r="1">
      <c r="A1" s="1" t="inlineStr">
        <is>
          <t>المخزون</t>
        </is>
      </c>
    </row>
    <row r="3">
      <c r="A3" s="2" t="inlineStr">
        <is>
          <t>الملخص</t>
        </is>
      </c>
    </row>
    <row r="4">
      <c r="A4" s="16" t="inlineStr">
        <is>
          <t>إجمالي القطع المشتراة</t>
        </is>
      </c>
      <c r="B4" s="21">
        <f>SUM(C12:C111)</f>
        <v/>
      </c>
    </row>
    <row r="5">
      <c r="A5" s="16" t="inlineStr">
        <is>
          <t>القطع المباعة (غير الملغية)</t>
        </is>
      </c>
      <c r="B5" s="22">
        <f>SUMIFS('الطلبات'!H5:H504,'الطلبات'!M5:M504,"&lt;&gt;ملغي")</f>
        <v/>
      </c>
    </row>
    <row r="6">
      <c r="A6" s="16" t="inlineStr">
        <is>
          <t>المتبقي بالمخزون</t>
        </is>
      </c>
      <c r="B6" s="23">
        <f>B4-B5</f>
        <v/>
      </c>
    </row>
    <row r="7">
      <c r="A7" s="16" t="inlineStr">
        <is>
          <t>نبهني لما يوصل المخزون لـ</t>
        </is>
      </c>
      <c r="B7" s="9" t="n">
        <v>20</v>
      </c>
    </row>
    <row r="8">
      <c r="A8" s="16" t="inlineStr">
        <is>
          <t>الحالة</t>
        </is>
      </c>
      <c r="B8" s="24">
        <f>IF(B6&lt;=B7,"اطلب بضاعة جديدة","المخزون كافي")</f>
        <v/>
      </c>
    </row>
    <row r="10">
      <c r="A10" s="2" t="inlineStr">
        <is>
          <t>طلبيات الشراء من المورد</t>
        </is>
      </c>
    </row>
    <row r="11" ht="32" customHeight="1">
      <c r="A11" s="15" t="inlineStr">
        <is>
          <t>التاريخ</t>
        </is>
      </c>
      <c r="B11" s="15" t="inlineStr">
        <is>
          <t>المورد</t>
        </is>
      </c>
      <c r="C11" s="15" t="inlineStr">
        <is>
          <t>الكمية</t>
        </is>
      </c>
      <c r="D11" s="15" t="inlineStr">
        <is>
          <t>التكلفة الكلية واصل (دينار)</t>
        </is>
      </c>
      <c r="E11" s="15" t="inlineStr">
        <is>
          <t>ملاحظات</t>
        </is>
      </c>
    </row>
    <row r="12">
      <c r="A12" s="20" t="n">
        <v>46296</v>
      </c>
      <c r="B12" s="16" t="inlineStr">
        <is>
          <t>مورد علي بابا (مثال – امسحه)</t>
        </is>
      </c>
      <c r="C12" s="21" t="n">
        <v>100</v>
      </c>
      <c r="D12" s="13" t="n">
        <v>125</v>
      </c>
      <c r="E12" s="16" t="inlineStr">
        <is>
          <t>ستاند PVC مغناطيسي NTAG213</t>
        </is>
      </c>
    </row>
    <row r="13">
      <c r="A13" s="20" t="n"/>
      <c r="B13" s="16" t="n"/>
      <c r="C13" s="21" t="n"/>
      <c r="D13" s="13" t="n"/>
      <c r="E13" s="16" t="n"/>
    </row>
    <row r="14">
      <c r="A14" s="20" t="n"/>
      <c r="B14" s="16" t="n"/>
      <c r="C14" s="21" t="n"/>
      <c r="D14" s="13" t="n"/>
      <c r="E14" s="16" t="n"/>
    </row>
    <row r="15">
      <c r="A15" s="20" t="n"/>
      <c r="B15" s="16" t="n"/>
      <c r="C15" s="21" t="n"/>
      <c r="D15" s="13" t="n"/>
      <c r="E15" s="16" t="n"/>
    </row>
    <row r="16">
      <c r="A16" s="20" t="n"/>
      <c r="B16" s="16" t="n"/>
      <c r="C16" s="21" t="n"/>
      <c r="D16" s="13" t="n"/>
      <c r="E16" s="16" t="n"/>
    </row>
    <row r="17">
      <c r="A17" s="20" t="n"/>
      <c r="B17" s="16" t="n"/>
      <c r="C17" s="21" t="n"/>
      <c r="D17" s="13" t="n"/>
      <c r="E17" s="16" t="n"/>
    </row>
    <row r="18">
      <c r="A18" s="20" t="n"/>
      <c r="B18" s="16" t="n"/>
      <c r="C18" s="21" t="n"/>
      <c r="D18" s="13" t="n"/>
      <c r="E18" s="16" t="n"/>
    </row>
    <row r="19">
      <c r="A19" s="20" t="n"/>
      <c r="B19" s="16" t="n"/>
      <c r="C19" s="21" t="n"/>
      <c r="D19" s="13" t="n"/>
      <c r="E19" s="16" t="n"/>
    </row>
    <row r="20">
      <c r="A20" s="20" t="n"/>
      <c r="B20" s="16" t="n"/>
      <c r="C20" s="21" t="n"/>
      <c r="D20" s="13" t="n"/>
      <c r="E20" s="16" t="n"/>
    </row>
    <row r="21">
      <c r="A21" s="20" t="n"/>
      <c r="B21" s="16" t="n"/>
      <c r="C21" s="21" t="n"/>
      <c r="D21" s="13" t="n"/>
      <c r="E21" s="16" t="n"/>
    </row>
    <row r="22">
      <c r="A22" s="20" t="n"/>
      <c r="B22" s="16" t="n"/>
      <c r="C22" s="21" t="n"/>
      <c r="D22" s="13" t="n"/>
      <c r="E22" s="16" t="n"/>
    </row>
    <row r="23">
      <c r="A23" s="20" t="n"/>
      <c r="B23" s="16" t="n"/>
      <c r="C23" s="21" t="n"/>
      <c r="D23" s="13" t="n"/>
      <c r="E23" s="16" t="n"/>
    </row>
    <row r="24">
      <c r="A24" s="20" t="n"/>
      <c r="B24" s="16" t="n"/>
      <c r="C24" s="21" t="n"/>
      <c r="D24" s="13" t="n"/>
      <c r="E24" s="16" t="n"/>
    </row>
    <row r="25">
      <c r="A25" s="20" t="n"/>
      <c r="B25" s="16" t="n"/>
      <c r="C25" s="21" t="n"/>
      <c r="D25" s="13" t="n"/>
      <c r="E25" s="16" t="n"/>
    </row>
    <row r="26">
      <c r="A26" s="20" t="n"/>
      <c r="B26" s="16" t="n"/>
      <c r="C26" s="21" t="n"/>
      <c r="D26" s="13" t="n"/>
      <c r="E26" s="16" t="n"/>
    </row>
    <row r="27">
      <c r="A27" s="20" t="n"/>
      <c r="B27" s="16" t="n"/>
      <c r="C27" s="21" t="n"/>
      <c r="D27" s="13" t="n"/>
      <c r="E27" s="16" t="n"/>
    </row>
    <row r="28">
      <c r="A28" s="20" t="n"/>
      <c r="B28" s="16" t="n"/>
      <c r="C28" s="21" t="n"/>
      <c r="D28" s="13" t="n"/>
      <c r="E28" s="16" t="n"/>
    </row>
    <row r="29">
      <c r="A29" s="20" t="n"/>
      <c r="B29" s="16" t="n"/>
      <c r="C29" s="21" t="n"/>
      <c r="D29" s="13" t="n"/>
      <c r="E29" s="16" t="n"/>
    </row>
    <row r="30">
      <c r="A30" s="20" t="n"/>
      <c r="B30" s="16" t="n"/>
      <c r="C30" s="21" t="n"/>
      <c r="D30" s="13" t="n"/>
      <c r="E30" s="16" t="n"/>
    </row>
    <row r="31">
      <c r="A31" s="20" t="n"/>
      <c r="B31" s="16" t="n"/>
      <c r="C31" s="21" t="n"/>
      <c r="D31" s="13" t="n"/>
      <c r="E31" s="16" t="n"/>
    </row>
    <row r="32">
      <c r="A32" s="20" t="n"/>
      <c r="B32" s="16" t="n"/>
      <c r="C32" s="21" t="n"/>
      <c r="D32" s="13" t="n"/>
      <c r="E32" s="16" t="n"/>
    </row>
    <row r="33">
      <c r="A33" s="20" t="n"/>
      <c r="B33" s="16" t="n"/>
      <c r="C33" s="21" t="n"/>
      <c r="D33" s="13" t="n"/>
      <c r="E33" s="16" t="n"/>
    </row>
    <row r="34">
      <c r="A34" s="20" t="n"/>
      <c r="B34" s="16" t="n"/>
      <c r="C34" s="21" t="n"/>
      <c r="D34" s="13" t="n"/>
      <c r="E34" s="16" t="n"/>
    </row>
    <row r="35">
      <c r="A35" s="20" t="n"/>
      <c r="B35" s="16" t="n"/>
      <c r="C35" s="21" t="n"/>
      <c r="D35" s="13" t="n"/>
      <c r="E35" s="16" t="n"/>
    </row>
    <row r="36">
      <c r="A36" s="20" t="n"/>
      <c r="B36" s="16" t="n"/>
      <c r="C36" s="21" t="n"/>
      <c r="D36" s="13" t="n"/>
      <c r="E36" s="16" t="n"/>
    </row>
    <row r="37">
      <c r="A37" s="20" t="n"/>
      <c r="B37" s="16" t="n"/>
      <c r="C37" s="21" t="n"/>
      <c r="D37" s="13" t="n"/>
      <c r="E37" s="16" t="n"/>
    </row>
    <row r="38">
      <c r="A38" s="20" t="n"/>
      <c r="B38" s="16" t="n"/>
      <c r="C38" s="21" t="n"/>
      <c r="D38" s="13" t="n"/>
      <c r="E38" s="16" t="n"/>
    </row>
    <row r="39">
      <c r="A39" s="20" t="n"/>
      <c r="B39" s="16" t="n"/>
      <c r="C39" s="21" t="n"/>
      <c r="D39" s="13" t="n"/>
      <c r="E39" s="16" t="n"/>
    </row>
    <row r="40">
      <c r="A40" s="20" t="n"/>
      <c r="B40" s="16" t="n"/>
      <c r="C40" s="21" t="n"/>
      <c r="D40" s="13" t="n"/>
      <c r="E40" s="16" t="n"/>
    </row>
    <row r="41">
      <c r="A41" s="20" t="n"/>
      <c r="B41" s="16" t="n"/>
      <c r="C41" s="21" t="n"/>
      <c r="D41" s="13" t="n"/>
      <c r="E41" s="16" t="n"/>
    </row>
    <row r="42">
      <c r="A42" s="20" t="n"/>
      <c r="B42" s="16" t="n"/>
      <c r="C42" s="21" t="n"/>
      <c r="D42" s="13" t="n"/>
      <c r="E42" s="16" t="n"/>
    </row>
    <row r="43">
      <c r="A43" s="20" t="n"/>
      <c r="B43" s="16" t="n"/>
      <c r="C43" s="21" t="n"/>
      <c r="D43" s="13" t="n"/>
      <c r="E43" s="16" t="n"/>
    </row>
    <row r="44">
      <c r="A44" s="20" t="n"/>
      <c r="B44" s="16" t="n"/>
      <c r="C44" s="21" t="n"/>
      <c r="D44" s="13" t="n"/>
      <c r="E44" s="16" t="n"/>
    </row>
    <row r="45">
      <c r="A45" s="20" t="n"/>
      <c r="B45" s="16" t="n"/>
      <c r="C45" s="21" t="n"/>
      <c r="D45" s="13" t="n"/>
      <c r="E45" s="16" t="n"/>
    </row>
    <row r="46">
      <c r="A46" s="20" t="n"/>
      <c r="B46" s="16" t="n"/>
      <c r="C46" s="21" t="n"/>
      <c r="D46" s="13" t="n"/>
      <c r="E46" s="16" t="n"/>
    </row>
    <row r="47">
      <c r="A47" s="20" t="n"/>
      <c r="B47" s="16" t="n"/>
      <c r="C47" s="21" t="n"/>
      <c r="D47" s="13" t="n"/>
      <c r="E47" s="16" t="n"/>
    </row>
    <row r="48">
      <c r="A48" s="20" t="n"/>
      <c r="B48" s="16" t="n"/>
      <c r="C48" s="21" t="n"/>
      <c r="D48" s="13" t="n"/>
      <c r="E48" s="16" t="n"/>
    </row>
    <row r="49">
      <c r="A49" s="20" t="n"/>
      <c r="B49" s="16" t="n"/>
      <c r="C49" s="21" t="n"/>
      <c r="D49" s="13" t="n"/>
      <c r="E49" s="16" t="n"/>
    </row>
    <row r="50">
      <c r="A50" s="20" t="n"/>
      <c r="B50" s="16" t="n"/>
      <c r="C50" s="21" t="n"/>
      <c r="D50" s="13" t="n"/>
      <c r="E50" s="16" t="n"/>
    </row>
    <row r="51">
      <c r="A51" s="20" t="n"/>
      <c r="B51" s="16" t="n"/>
      <c r="C51" s="21" t="n"/>
      <c r="D51" s="13" t="n"/>
      <c r="E51" s="16" t="n"/>
    </row>
    <row r="52">
      <c r="A52" s="20" t="n"/>
      <c r="B52" s="16" t="n"/>
      <c r="C52" s="21" t="n"/>
      <c r="D52" s="13" t="n"/>
      <c r="E52" s="16" t="n"/>
    </row>
    <row r="53">
      <c r="A53" s="20" t="n"/>
      <c r="B53" s="16" t="n"/>
      <c r="C53" s="21" t="n"/>
      <c r="D53" s="13" t="n"/>
      <c r="E53" s="16" t="n"/>
    </row>
    <row r="54">
      <c r="A54" s="20" t="n"/>
      <c r="B54" s="16" t="n"/>
      <c r="C54" s="21" t="n"/>
      <c r="D54" s="13" t="n"/>
      <c r="E54" s="16" t="n"/>
    </row>
    <row r="55">
      <c r="A55" s="20" t="n"/>
      <c r="B55" s="16" t="n"/>
      <c r="C55" s="21" t="n"/>
      <c r="D55" s="13" t="n"/>
      <c r="E55" s="16" t="n"/>
    </row>
    <row r="56">
      <c r="A56" s="20" t="n"/>
      <c r="B56" s="16" t="n"/>
      <c r="C56" s="21" t="n"/>
      <c r="D56" s="13" t="n"/>
      <c r="E56" s="16" t="n"/>
    </row>
    <row r="57">
      <c r="A57" s="20" t="n"/>
      <c r="B57" s="16" t="n"/>
      <c r="C57" s="21" t="n"/>
      <c r="D57" s="13" t="n"/>
      <c r="E57" s="16" t="n"/>
    </row>
    <row r="58">
      <c r="A58" s="20" t="n"/>
      <c r="B58" s="16" t="n"/>
      <c r="C58" s="21" t="n"/>
      <c r="D58" s="13" t="n"/>
      <c r="E58" s="16" t="n"/>
    </row>
    <row r="59">
      <c r="A59" s="20" t="n"/>
      <c r="B59" s="16" t="n"/>
      <c r="C59" s="21" t="n"/>
      <c r="D59" s="13" t="n"/>
      <c r="E59" s="16" t="n"/>
    </row>
    <row r="60">
      <c r="A60" s="20" t="n"/>
      <c r="B60" s="16" t="n"/>
      <c r="C60" s="21" t="n"/>
      <c r="D60" s="13" t="n"/>
      <c r="E60" s="16" t="n"/>
    </row>
    <row r="61">
      <c r="A61" s="20" t="n"/>
      <c r="B61" s="16" t="n"/>
      <c r="C61" s="21" t="n"/>
      <c r="D61" s="13" t="n"/>
      <c r="E61" s="16" t="n"/>
    </row>
    <row r="62">
      <c r="A62" s="20" t="n"/>
      <c r="B62" s="16" t="n"/>
      <c r="C62" s="21" t="n"/>
      <c r="D62" s="13" t="n"/>
      <c r="E62" s="16" t="n"/>
    </row>
    <row r="63">
      <c r="A63" s="20" t="n"/>
      <c r="B63" s="16" t="n"/>
      <c r="C63" s="21" t="n"/>
      <c r="D63" s="13" t="n"/>
      <c r="E63" s="16" t="n"/>
    </row>
    <row r="64">
      <c r="A64" s="20" t="n"/>
      <c r="B64" s="16" t="n"/>
      <c r="C64" s="21" t="n"/>
      <c r="D64" s="13" t="n"/>
      <c r="E64" s="16" t="n"/>
    </row>
    <row r="65">
      <c r="A65" s="20" t="n"/>
      <c r="B65" s="16" t="n"/>
      <c r="C65" s="21" t="n"/>
      <c r="D65" s="13" t="n"/>
      <c r="E65" s="16" t="n"/>
    </row>
    <row r="66">
      <c r="A66" s="20" t="n"/>
      <c r="B66" s="16" t="n"/>
      <c r="C66" s="21" t="n"/>
      <c r="D66" s="13" t="n"/>
      <c r="E66" s="16" t="n"/>
    </row>
    <row r="67">
      <c r="A67" s="20" t="n"/>
      <c r="B67" s="16" t="n"/>
      <c r="C67" s="21" t="n"/>
      <c r="D67" s="13" t="n"/>
      <c r="E67" s="16" t="n"/>
    </row>
    <row r="68">
      <c r="A68" s="20" t="n"/>
      <c r="B68" s="16" t="n"/>
      <c r="C68" s="21" t="n"/>
      <c r="D68" s="13" t="n"/>
      <c r="E68" s="16" t="n"/>
    </row>
    <row r="69">
      <c r="A69" s="20" t="n"/>
      <c r="B69" s="16" t="n"/>
      <c r="C69" s="21" t="n"/>
      <c r="D69" s="13" t="n"/>
      <c r="E69" s="16" t="n"/>
    </row>
    <row r="70">
      <c r="A70" s="20" t="n"/>
      <c r="B70" s="16" t="n"/>
      <c r="C70" s="21" t="n"/>
      <c r="D70" s="13" t="n"/>
      <c r="E70" s="16" t="n"/>
    </row>
    <row r="71">
      <c r="A71" s="20" t="n"/>
      <c r="B71" s="16" t="n"/>
      <c r="C71" s="21" t="n"/>
      <c r="D71" s="13" t="n"/>
      <c r="E71" s="16" t="n"/>
    </row>
    <row r="72">
      <c r="A72" s="20" t="n"/>
      <c r="B72" s="16" t="n"/>
      <c r="C72" s="21" t="n"/>
      <c r="D72" s="13" t="n"/>
      <c r="E72" s="16" t="n"/>
    </row>
    <row r="73">
      <c r="A73" s="20" t="n"/>
      <c r="B73" s="16" t="n"/>
      <c r="C73" s="21" t="n"/>
      <c r="D73" s="13" t="n"/>
      <c r="E73" s="16" t="n"/>
    </row>
    <row r="74">
      <c r="A74" s="20" t="n"/>
      <c r="B74" s="16" t="n"/>
      <c r="C74" s="21" t="n"/>
      <c r="D74" s="13" t="n"/>
      <c r="E74" s="16" t="n"/>
    </row>
    <row r="75">
      <c r="A75" s="20" t="n"/>
      <c r="B75" s="16" t="n"/>
      <c r="C75" s="21" t="n"/>
      <c r="D75" s="13" t="n"/>
      <c r="E75" s="16" t="n"/>
    </row>
    <row r="76">
      <c r="A76" s="20" t="n"/>
      <c r="B76" s="16" t="n"/>
      <c r="C76" s="21" t="n"/>
      <c r="D76" s="13" t="n"/>
      <c r="E76" s="16" t="n"/>
    </row>
    <row r="77">
      <c r="A77" s="20" t="n"/>
      <c r="B77" s="16" t="n"/>
      <c r="C77" s="21" t="n"/>
      <c r="D77" s="13" t="n"/>
      <c r="E77" s="16" t="n"/>
    </row>
    <row r="78">
      <c r="A78" s="20" t="n"/>
      <c r="B78" s="16" t="n"/>
      <c r="C78" s="21" t="n"/>
      <c r="D78" s="13" t="n"/>
      <c r="E78" s="16" t="n"/>
    </row>
    <row r="79">
      <c r="A79" s="20" t="n"/>
      <c r="B79" s="16" t="n"/>
      <c r="C79" s="21" t="n"/>
      <c r="D79" s="13" t="n"/>
      <c r="E79" s="16" t="n"/>
    </row>
    <row r="80">
      <c r="A80" s="20" t="n"/>
      <c r="B80" s="16" t="n"/>
      <c r="C80" s="21" t="n"/>
      <c r="D80" s="13" t="n"/>
      <c r="E80" s="16" t="n"/>
    </row>
    <row r="81">
      <c r="A81" s="20" t="n"/>
      <c r="B81" s="16" t="n"/>
      <c r="C81" s="21" t="n"/>
      <c r="D81" s="13" t="n"/>
      <c r="E81" s="16" t="n"/>
    </row>
    <row r="82">
      <c r="A82" s="20" t="n"/>
      <c r="B82" s="16" t="n"/>
      <c r="C82" s="21" t="n"/>
      <c r="D82" s="13" t="n"/>
      <c r="E82" s="16" t="n"/>
    </row>
    <row r="83">
      <c r="A83" s="20" t="n"/>
      <c r="B83" s="16" t="n"/>
      <c r="C83" s="21" t="n"/>
      <c r="D83" s="13" t="n"/>
      <c r="E83" s="16" t="n"/>
    </row>
    <row r="84">
      <c r="A84" s="20" t="n"/>
      <c r="B84" s="16" t="n"/>
      <c r="C84" s="21" t="n"/>
      <c r="D84" s="13" t="n"/>
      <c r="E84" s="16" t="n"/>
    </row>
    <row r="85">
      <c r="A85" s="20" t="n"/>
      <c r="B85" s="16" t="n"/>
      <c r="C85" s="21" t="n"/>
      <c r="D85" s="13" t="n"/>
      <c r="E85" s="16" t="n"/>
    </row>
    <row r="86">
      <c r="A86" s="20" t="n"/>
      <c r="B86" s="16" t="n"/>
      <c r="C86" s="21" t="n"/>
      <c r="D86" s="13" t="n"/>
      <c r="E86" s="16" t="n"/>
    </row>
    <row r="87">
      <c r="A87" s="20" t="n"/>
      <c r="B87" s="16" t="n"/>
      <c r="C87" s="21" t="n"/>
      <c r="D87" s="13" t="n"/>
      <c r="E87" s="16" t="n"/>
    </row>
    <row r="88">
      <c r="A88" s="20" t="n"/>
      <c r="B88" s="16" t="n"/>
      <c r="C88" s="21" t="n"/>
      <c r="D88" s="13" t="n"/>
      <c r="E88" s="16" t="n"/>
    </row>
    <row r="89">
      <c r="A89" s="20" t="n"/>
      <c r="B89" s="16" t="n"/>
      <c r="C89" s="21" t="n"/>
      <c r="D89" s="13" t="n"/>
      <c r="E89" s="16" t="n"/>
    </row>
    <row r="90">
      <c r="A90" s="20" t="n"/>
      <c r="B90" s="16" t="n"/>
      <c r="C90" s="21" t="n"/>
      <c r="D90" s="13" t="n"/>
      <c r="E90" s="16" t="n"/>
    </row>
    <row r="91">
      <c r="A91" s="20" t="n"/>
      <c r="B91" s="16" t="n"/>
      <c r="C91" s="21" t="n"/>
      <c r="D91" s="13" t="n"/>
      <c r="E91" s="16" t="n"/>
    </row>
    <row r="92">
      <c r="A92" s="20" t="n"/>
      <c r="B92" s="16" t="n"/>
      <c r="C92" s="21" t="n"/>
      <c r="D92" s="13" t="n"/>
      <c r="E92" s="16" t="n"/>
    </row>
    <row r="93">
      <c r="A93" s="20" t="n"/>
      <c r="B93" s="16" t="n"/>
      <c r="C93" s="21" t="n"/>
      <c r="D93" s="13" t="n"/>
      <c r="E93" s="16" t="n"/>
    </row>
    <row r="94">
      <c r="A94" s="20" t="n"/>
      <c r="B94" s="16" t="n"/>
      <c r="C94" s="21" t="n"/>
      <c r="D94" s="13" t="n"/>
      <c r="E94" s="16" t="n"/>
    </row>
    <row r="95">
      <c r="A95" s="20" t="n"/>
      <c r="B95" s="16" t="n"/>
      <c r="C95" s="21" t="n"/>
      <c r="D95" s="13" t="n"/>
      <c r="E95" s="16" t="n"/>
    </row>
    <row r="96">
      <c r="A96" s="20" t="n"/>
      <c r="B96" s="16" t="n"/>
      <c r="C96" s="21" t="n"/>
      <c r="D96" s="13" t="n"/>
      <c r="E96" s="16" t="n"/>
    </row>
    <row r="97">
      <c r="A97" s="20" t="n"/>
      <c r="B97" s="16" t="n"/>
      <c r="C97" s="21" t="n"/>
      <c r="D97" s="13" t="n"/>
      <c r="E97" s="16" t="n"/>
    </row>
    <row r="98">
      <c r="A98" s="20" t="n"/>
      <c r="B98" s="16" t="n"/>
      <c r="C98" s="21" t="n"/>
      <c r="D98" s="13" t="n"/>
      <c r="E98" s="16" t="n"/>
    </row>
    <row r="99">
      <c r="A99" s="20" t="n"/>
      <c r="B99" s="16" t="n"/>
      <c r="C99" s="21" t="n"/>
      <c r="D99" s="13" t="n"/>
      <c r="E99" s="16" t="n"/>
    </row>
    <row r="100">
      <c r="A100" s="20" t="n"/>
      <c r="B100" s="16" t="n"/>
      <c r="C100" s="21" t="n"/>
      <c r="D100" s="13" t="n"/>
      <c r="E100" s="16" t="n"/>
    </row>
    <row r="101">
      <c r="A101" s="20" t="n"/>
      <c r="B101" s="16" t="n"/>
      <c r="C101" s="21" t="n"/>
      <c r="D101" s="13" t="n"/>
      <c r="E101" s="16" t="n"/>
    </row>
    <row r="102">
      <c r="A102" s="20" t="n"/>
      <c r="B102" s="16" t="n"/>
      <c r="C102" s="21" t="n"/>
      <c r="D102" s="13" t="n"/>
      <c r="E102" s="16" t="n"/>
    </row>
    <row r="103">
      <c r="A103" s="20" t="n"/>
      <c r="B103" s="16" t="n"/>
      <c r="C103" s="21" t="n"/>
      <c r="D103" s="13" t="n"/>
      <c r="E103" s="16" t="n"/>
    </row>
    <row r="104">
      <c r="A104" s="20" t="n"/>
      <c r="B104" s="16" t="n"/>
      <c r="C104" s="21" t="n"/>
      <c r="D104" s="13" t="n"/>
      <c r="E104" s="16" t="n"/>
    </row>
    <row r="105">
      <c r="A105" s="20" t="n"/>
      <c r="B105" s="16" t="n"/>
      <c r="C105" s="21" t="n"/>
      <c r="D105" s="13" t="n"/>
      <c r="E105" s="16" t="n"/>
    </row>
    <row r="106">
      <c r="A106" s="20" t="n"/>
      <c r="B106" s="16" t="n"/>
      <c r="C106" s="21" t="n"/>
      <c r="D106" s="13" t="n"/>
      <c r="E106" s="16" t="n"/>
    </row>
    <row r="107">
      <c r="A107" s="20" t="n"/>
      <c r="B107" s="16" t="n"/>
      <c r="C107" s="21" t="n"/>
      <c r="D107" s="13" t="n"/>
      <c r="E107" s="16" t="n"/>
    </row>
    <row r="108">
      <c r="A108" s="20" t="n"/>
      <c r="B108" s="16" t="n"/>
      <c r="C108" s="21" t="n"/>
      <c r="D108" s="13" t="n"/>
      <c r="E108" s="16" t="n"/>
    </row>
    <row r="109">
      <c r="A109" s="20" t="n"/>
      <c r="B109" s="16" t="n"/>
      <c r="C109" s="21" t="n"/>
      <c r="D109" s="13" t="n"/>
      <c r="E109" s="16" t="n"/>
    </row>
    <row r="110">
      <c r="A110" s="20" t="n"/>
      <c r="B110" s="16" t="n"/>
      <c r="C110" s="21" t="n"/>
      <c r="D110" s="13" t="n"/>
      <c r="E110" s="16" t="n"/>
    </row>
    <row r="111">
      <c r="A111" s="20" t="n"/>
      <c r="B111" s="16" t="n"/>
      <c r="C111" s="21" t="n"/>
      <c r="D111" s="13" t="n"/>
      <c r="E111" s="16" t="n"/>
    </row>
  </sheetData>
  <conditionalFormatting sqref="B8">
    <cfRule type="expression" priority="1" dxfId="3">
      <formula>$B$6&lt;=$B$7</formula>
    </cfRule>
    <cfRule type="expression" priority="2" dxfId="4">
      <formula>$B$6&gt;$B$7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4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4" customWidth="1" min="4" max="4"/>
    <col width="20" customWidth="1" min="6" max="6"/>
    <col width="14" customWidth="1" min="7" max="7"/>
  </cols>
  <sheetData>
    <row r="1">
      <c r="A1" s="1" t="inlineStr">
        <is>
          <t>المصاريف</t>
        </is>
      </c>
    </row>
    <row r="2">
      <c r="A2" s="8" t="inlineStr">
        <is>
          <t>سجل كل مصروف، ومنها صرف الإعلانات. الملخص الشهري بيعتمد على هالصفحة.</t>
        </is>
      </c>
    </row>
    <row r="4" ht="32" customHeight="1">
      <c r="A4" s="15" t="inlineStr">
        <is>
          <t>التاريخ</t>
        </is>
      </c>
      <c r="B4" s="15" t="inlineStr">
        <is>
          <t>البند</t>
        </is>
      </c>
      <c r="C4" s="15" t="inlineStr">
        <is>
          <t>الوصف</t>
        </is>
      </c>
      <c r="D4" s="15" t="inlineStr">
        <is>
          <t>المبلغ (دينار)</t>
        </is>
      </c>
      <c r="F4" s="2" t="inlineStr">
        <is>
          <t>المجموع حسب البند</t>
        </is>
      </c>
    </row>
    <row r="5">
      <c r="A5" s="20" t="n">
        <v>46296</v>
      </c>
      <c r="B5" s="16" t="inlineStr">
        <is>
          <t>بضاعة</t>
        </is>
      </c>
      <c r="C5" s="16" t="inlineStr">
        <is>
          <t>طلبية 100 ستاند من علي بابا شامل الشحن (مثال – امسحه)</t>
        </is>
      </c>
      <c r="D5" s="13" t="n">
        <v>125</v>
      </c>
      <c r="F5" s="16" t="inlineStr">
        <is>
          <t>بضاعة</t>
        </is>
      </c>
      <c r="G5" s="13">
        <f>SUMIFS($D$5:$D$504,$B$5:$B$504,F5)</f>
        <v/>
      </c>
    </row>
    <row r="6">
      <c r="A6" s="20" t="n"/>
      <c r="B6" s="16" t="n"/>
      <c r="C6" s="16" t="n"/>
      <c r="D6" s="13" t="n"/>
      <c r="F6" s="16" t="inlineStr">
        <is>
          <t>شحن وجمرك</t>
        </is>
      </c>
      <c r="G6" s="13">
        <f>SUMIFS($D$5:$D$504,$B$5:$B$504,F6)</f>
        <v/>
      </c>
    </row>
    <row r="7">
      <c r="A7" s="20" t="n"/>
      <c r="B7" s="16" t="n"/>
      <c r="C7" s="16" t="n"/>
      <c r="D7" s="13" t="n"/>
      <c r="F7" s="16" t="inlineStr">
        <is>
          <t>إعلانات</t>
        </is>
      </c>
      <c r="G7" s="13">
        <f>SUMIFS($D$5:$D$504,$B$5:$B$504,F7)</f>
        <v/>
      </c>
    </row>
    <row r="8">
      <c r="A8" s="20" t="n"/>
      <c r="B8" s="16" t="n"/>
      <c r="C8" s="16" t="n"/>
      <c r="D8" s="13" t="n"/>
      <c r="F8" s="16" t="inlineStr">
        <is>
          <t>تغليف</t>
        </is>
      </c>
      <c r="G8" s="13">
        <f>SUMIFS($D$5:$D$504,$B$5:$B$504,F8)</f>
        <v/>
      </c>
    </row>
    <row r="9">
      <c r="A9" s="20" t="n"/>
      <c r="B9" s="16" t="n"/>
      <c r="C9" s="16" t="n"/>
      <c r="D9" s="13" t="n"/>
      <c r="F9" s="16" t="inlineStr">
        <is>
          <t>توصيل</t>
        </is>
      </c>
      <c r="G9" s="13">
        <f>SUMIFS($D$5:$D$504,$B$5:$B$504,F9)</f>
        <v/>
      </c>
    </row>
    <row r="10">
      <c r="A10" s="20" t="n"/>
      <c r="B10" s="16" t="n"/>
      <c r="C10" s="16" t="n"/>
      <c r="D10" s="13" t="n"/>
      <c r="F10" s="16" t="inlineStr">
        <is>
          <t>تصميم وطباعة</t>
        </is>
      </c>
      <c r="G10" s="13">
        <f>SUMIFS($D$5:$D$504,$B$5:$B$504,F10)</f>
        <v/>
      </c>
    </row>
    <row r="11">
      <c r="A11" s="20" t="n"/>
      <c r="B11" s="16" t="n"/>
      <c r="C11" s="16" t="n"/>
      <c r="D11" s="13" t="n"/>
      <c r="F11" s="16" t="inlineStr">
        <is>
          <t>اشتراكات وأدوات</t>
        </is>
      </c>
      <c r="G11" s="13">
        <f>SUMIFS($D$5:$D$504,$B$5:$B$504,F11)</f>
        <v/>
      </c>
    </row>
    <row r="12">
      <c r="A12" s="20" t="n"/>
      <c r="B12" s="16" t="n"/>
      <c r="C12" s="16" t="n"/>
      <c r="D12" s="13" t="n"/>
      <c r="F12" s="16" t="inlineStr">
        <is>
          <t>تسجيل ورسوم</t>
        </is>
      </c>
      <c r="G12" s="13">
        <f>SUMIFS($D$5:$D$504,$B$5:$B$504,F12)</f>
        <v/>
      </c>
    </row>
    <row r="13">
      <c r="A13" s="20" t="n"/>
      <c r="B13" s="16" t="n"/>
      <c r="C13" s="16" t="n"/>
      <c r="D13" s="13" t="n"/>
      <c r="F13" s="16" t="inlineStr">
        <is>
          <t>أخرى</t>
        </is>
      </c>
      <c r="G13" s="13">
        <f>SUMIFS($D$5:$D$504,$B$5:$B$504,F13)</f>
        <v/>
      </c>
    </row>
    <row r="14">
      <c r="A14" s="20" t="n"/>
      <c r="B14" s="16" t="n"/>
      <c r="C14" s="16" t="n"/>
      <c r="D14" s="13" t="n"/>
      <c r="F14" s="24" t="inlineStr">
        <is>
          <t>الإجمالي</t>
        </is>
      </c>
      <c r="G14" s="17">
        <f>SUM(G5:G13)</f>
        <v/>
      </c>
    </row>
    <row r="15">
      <c r="A15" s="20" t="n"/>
      <c r="B15" s="16" t="n"/>
      <c r="C15" s="16" t="n"/>
      <c r="D15" s="13" t="n"/>
    </row>
    <row r="16">
      <c r="A16" s="20" t="n"/>
      <c r="B16" s="16" t="n"/>
      <c r="C16" s="16" t="n"/>
      <c r="D16" s="13" t="n"/>
    </row>
    <row r="17">
      <c r="A17" s="20" t="n"/>
      <c r="B17" s="16" t="n"/>
      <c r="C17" s="16" t="n"/>
      <c r="D17" s="13" t="n"/>
    </row>
    <row r="18">
      <c r="A18" s="20" t="n"/>
      <c r="B18" s="16" t="n"/>
      <c r="C18" s="16" t="n"/>
      <c r="D18" s="13" t="n"/>
    </row>
    <row r="19">
      <c r="A19" s="20" t="n"/>
      <c r="B19" s="16" t="n"/>
      <c r="C19" s="16" t="n"/>
      <c r="D19" s="13" t="n"/>
    </row>
    <row r="20">
      <c r="A20" s="20" t="n"/>
      <c r="B20" s="16" t="n"/>
      <c r="C20" s="16" t="n"/>
      <c r="D20" s="13" t="n"/>
    </row>
    <row r="21">
      <c r="A21" s="20" t="n"/>
      <c r="B21" s="16" t="n"/>
      <c r="C21" s="16" t="n"/>
      <c r="D21" s="13" t="n"/>
    </row>
    <row r="22">
      <c r="A22" s="20" t="n"/>
      <c r="B22" s="16" t="n"/>
      <c r="C22" s="16" t="n"/>
      <c r="D22" s="13" t="n"/>
    </row>
    <row r="23">
      <c r="A23" s="20" t="n"/>
      <c r="B23" s="16" t="n"/>
      <c r="C23" s="16" t="n"/>
      <c r="D23" s="13" t="n"/>
    </row>
    <row r="24">
      <c r="A24" s="20" t="n"/>
      <c r="B24" s="16" t="n"/>
      <c r="C24" s="16" t="n"/>
      <c r="D24" s="13" t="n"/>
    </row>
    <row r="25">
      <c r="A25" s="20" t="n"/>
      <c r="B25" s="16" t="n"/>
      <c r="C25" s="16" t="n"/>
      <c r="D25" s="13" t="n"/>
    </row>
    <row r="26">
      <c r="A26" s="20" t="n"/>
      <c r="B26" s="16" t="n"/>
      <c r="C26" s="16" t="n"/>
      <c r="D26" s="13" t="n"/>
    </row>
    <row r="27">
      <c r="A27" s="20" t="n"/>
      <c r="B27" s="16" t="n"/>
      <c r="C27" s="16" t="n"/>
      <c r="D27" s="13" t="n"/>
    </row>
    <row r="28">
      <c r="A28" s="20" t="n"/>
      <c r="B28" s="16" t="n"/>
      <c r="C28" s="16" t="n"/>
      <c r="D28" s="13" t="n"/>
    </row>
    <row r="29">
      <c r="A29" s="20" t="n"/>
      <c r="B29" s="16" t="n"/>
      <c r="C29" s="16" t="n"/>
      <c r="D29" s="13" t="n"/>
    </row>
    <row r="30">
      <c r="A30" s="20" t="n"/>
      <c r="B30" s="16" t="n"/>
      <c r="C30" s="16" t="n"/>
      <c r="D30" s="13" t="n"/>
    </row>
    <row r="31">
      <c r="A31" s="20" t="n"/>
      <c r="B31" s="16" t="n"/>
      <c r="C31" s="16" t="n"/>
      <c r="D31" s="13" t="n"/>
    </row>
    <row r="32">
      <c r="A32" s="20" t="n"/>
      <c r="B32" s="16" t="n"/>
      <c r="C32" s="16" t="n"/>
      <c r="D32" s="13" t="n"/>
    </row>
    <row r="33">
      <c r="A33" s="20" t="n"/>
      <c r="B33" s="16" t="n"/>
      <c r="C33" s="16" t="n"/>
      <c r="D33" s="13" t="n"/>
    </row>
    <row r="34">
      <c r="A34" s="20" t="n"/>
      <c r="B34" s="16" t="n"/>
      <c r="C34" s="16" t="n"/>
      <c r="D34" s="13" t="n"/>
    </row>
    <row r="35">
      <c r="A35" s="20" t="n"/>
      <c r="B35" s="16" t="n"/>
      <c r="C35" s="16" t="n"/>
      <c r="D35" s="13" t="n"/>
    </row>
    <row r="36">
      <c r="A36" s="20" t="n"/>
      <c r="B36" s="16" t="n"/>
      <c r="C36" s="16" t="n"/>
      <c r="D36" s="13" t="n"/>
    </row>
    <row r="37">
      <c r="A37" s="20" t="n"/>
      <c r="B37" s="16" t="n"/>
      <c r="C37" s="16" t="n"/>
      <c r="D37" s="13" t="n"/>
    </row>
    <row r="38">
      <c r="A38" s="20" t="n"/>
      <c r="B38" s="16" t="n"/>
      <c r="C38" s="16" t="n"/>
      <c r="D38" s="13" t="n"/>
    </row>
    <row r="39">
      <c r="A39" s="20" t="n"/>
      <c r="B39" s="16" t="n"/>
      <c r="C39" s="16" t="n"/>
      <c r="D39" s="13" t="n"/>
    </row>
    <row r="40">
      <c r="A40" s="20" t="n"/>
      <c r="B40" s="16" t="n"/>
      <c r="C40" s="16" t="n"/>
      <c r="D40" s="13" t="n"/>
    </row>
    <row r="41">
      <c r="A41" s="20" t="n"/>
      <c r="B41" s="16" t="n"/>
      <c r="C41" s="16" t="n"/>
      <c r="D41" s="13" t="n"/>
    </row>
    <row r="42">
      <c r="A42" s="20" t="n"/>
      <c r="B42" s="16" t="n"/>
      <c r="C42" s="16" t="n"/>
      <c r="D42" s="13" t="n"/>
    </row>
    <row r="43">
      <c r="A43" s="20" t="n"/>
      <c r="B43" s="16" t="n"/>
      <c r="C43" s="16" t="n"/>
      <c r="D43" s="13" t="n"/>
    </row>
    <row r="44">
      <c r="A44" s="20" t="n"/>
      <c r="B44" s="16" t="n"/>
      <c r="C44" s="16" t="n"/>
      <c r="D44" s="13" t="n"/>
    </row>
    <row r="45">
      <c r="A45" s="20" t="n"/>
      <c r="B45" s="16" t="n"/>
      <c r="C45" s="16" t="n"/>
      <c r="D45" s="13" t="n"/>
    </row>
    <row r="46">
      <c r="A46" s="20" t="n"/>
      <c r="B46" s="16" t="n"/>
      <c r="C46" s="16" t="n"/>
      <c r="D46" s="13" t="n"/>
    </row>
    <row r="47">
      <c r="A47" s="20" t="n"/>
      <c r="B47" s="16" t="n"/>
      <c r="C47" s="16" t="n"/>
      <c r="D47" s="13" t="n"/>
    </row>
    <row r="48">
      <c r="A48" s="20" t="n"/>
      <c r="B48" s="16" t="n"/>
      <c r="C48" s="16" t="n"/>
      <c r="D48" s="13" t="n"/>
    </row>
    <row r="49">
      <c r="A49" s="20" t="n"/>
      <c r="B49" s="16" t="n"/>
      <c r="C49" s="16" t="n"/>
      <c r="D49" s="13" t="n"/>
    </row>
    <row r="50">
      <c r="A50" s="20" t="n"/>
      <c r="B50" s="16" t="n"/>
      <c r="C50" s="16" t="n"/>
      <c r="D50" s="13" t="n"/>
    </row>
    <row r="51">
      <c r="A51" s="20" t="n"/>
      <c r="B51" s="16" t="n"/>
      <c r="C51" s="16" t="n"/>
      <c r="D51" s="13" t="n"/>
    </row>
    <row r="52">
      <c r="A52" s="20" t="n"/>
      <c r="B52" s="16" t="n"/>
      <c r="C52" s="16" t="n"/>
      <c r="D52" s="13" t="n"/>
    </row>
    <row r="53">
      <c r="A53" s="20" t="n"/>
      <c r="B53" s="16" t="n"/>
      <c r="C53" s="16" t="n"/>
      <c r="D53" s="13" t="n"/>
    </row>
    <row r="54">
      <c r="A54" s="20" t="n"/>
      <c r="B54" s="16" t="n"/>
      <c r="C54" s="16" t="n"/>
      <c r="D54" s="13" t="n"/>
    </row>
    <row r="55">
      <c r="A55" s="20" t="n"/>
      <c r="B55" s="16" t="n"/>
      <c r="C55" s="16" t="n"/>
      <c r="D55" s="13" t="n"/>
    </row>
    <row r="56">
      <c r="A56" s="20" t="n"/>
      <c r="B56" s="16" t="n"/>
      <c r="C56" s="16" t="n"/>
      <c r="D56" s="13" t="n"/>
    </row>
    <row r="57">
      <c r="A57" s="20" t="n"/>
      <c r="B57" s="16" t="n"/>
      <c r="C57" s="16" t="n"/>
      <c r="D57" s="13" t="n"/>
    </row>
    <row r="58">
      <c r="A58" s="20" t="n"/>
      <c r="B58" s="16" t="n"/>
      <c r="C58" s="16" t="n"/>
      <c r="D58" s="13" t="n"/>
    </row>
    <row r="59">
      <c r="A59" s="20" t="n"/>
      <c r="B59" s="16" t="n"/>
      <c r="C59" s="16" t="n"/>
      <c r="D59" s="13" t="n"/>
    </row>
    <row r="60">
      <c r="A60" s="20" t="n"/>
      <c r="B60" s="16" t="n"/>
      <c r="C60" s="16" t="n"/>
      <c r="D60" s="13" t="n"/>
    </row>
    <row r="61">
      <c r="A61" s="20" t="n"/>
      <c r="B61" s="16" t="n"/>
      <c r="C61" s="16" t="n"/>
      <c r="D61" s="13" t="n"/>
    </row>
    <row r="62">
      <c r="A62" s="20" t="n"/>
      <c r="B62" s="16" t="n"/>
      <c r="C62" s="16" t="n"/>
      <c r="D62" s="13" t="n"/>
    </row>
    <row r="63">
      <c r="A63" s="20" t="n"/>
      <c r="B63" s="16" t="n"/>
      <c r="C63" s="16" t="n"/>
      <c r="D63" s="13" t="n"/>
    </row>
    <row r="64">
      <c r="A64" s="20" t="n"/>
      <c r="B64" s="16" t="n"/>
      <c r="C64" s="16" t="n"/>
      <c r="D64" s="13" t="n"/>
    </row>
    <row r="65">
      <c r="A65" s="20" t="n"/>
      <c r="B65" s="16" t="n"/>
      <c r="C65" s="16" t="n"/>
      <c r="D65" s="13" t="n"/>
    </row>
    <row r="66">
      <c r="A66" s="20" t="n"/>
      <c r="B66" s="16" t="n"/>
      <c r="C66" s="16" t="n"/>
      <c r="D66" s="13" t="n"/>
    </row>
    <row r="67">
      <c r="A67" s="20" t="n"/>
      <c r="B67" s="16" t="n"/>
      <c r="C67" s="16" t="n"/>
      <c r="D67" s="13" t="n"/>
    </row>
    <row r="68">
      <c r="A68" s="20" t="n"/>
      <c r="B68" s="16" t="n"/>
      <c r="C68" s="16" t="n"/>
      <c r="D68" s="13" t="n"/>
    </row>
    <row r="69">
      <c r="A69" s="20" t="n"/>
      <c r="B69" s="16" t="n"/>
      <c r="C69" s="16" t="n"/>
      <c r="D69" s="13" t="n"/>
    </row>
    <row r="70">
      <c r="A70" s="20" t="n"/>
      <c r="B70" s="16" t="n"/>
      <c r="C70" s="16" t="n"/>
      <c r="D70" s="13" t="n"/>
    </row>
    <row r="71">
      <c r="A71" s="20" t="n"/>
      <c r="B71" s="16" t="n"/>
      <c r="C71" s="16" t="n"/>
      <c r="D71" s="13" t="n"/>
    </row>
    <row r="72">
      <c r="A72" s="20" t="n"/>
      <c r="B72" s="16" t="n"/>
      <c r="C72" s="16" t="n"/>
      <c r="D72" s="13" t="n"/>
    </row>
    <row r="73">
      <c r="A73" s="20" t="n"/>
      <c r="B73" s="16" t="n"/>
      <c r="C73" s="16" t="n"/>
      <c r="D73" s="13" t="n"/>
    </row>
    <row r="74">
      <c r="A74" s="20" t="n"/>
      <c r="B74" s="16" t="n"/>
      <c r="C74" s="16" t="n"/>
      <c r="D74" s="13" t="n"/>
    </row>
    <row r="75">
      <c r="A75" s="20" t="n"/>
      <c r="B75" s="16" t="n"/>
      <c r="C75" s="16" t="n"/>
      <c r="D75" s="13" t="n"/>
    </row>
    <row r="76">
      <c r="A76" s="20" t="n"/>
      <c r="B76" s="16" t="n"/>
      <c r="C76" s="16" t="n"/>
      <c r="D76" s="13" t="n"/>
    </row>
    <row r="77">
      <c r="A77" s="20" t="n"/>
      <c r="B77" s="16" t="n"/>
      <c r="C77" s="16" t="n"/>
      <c r="D77" s="13" t="n"/>
    </row>
    <row r="78">
      <c r="A78" s="20" t="n"/>
      <c r="B78" s="16" t="n"/>
      <c r="C78" s="16" t="n"/>
      <c r="D78" s="13" t="n"/>
    </row>
    <row r="79">
      <c r="A79" s="20" t="n"/>
      <c r="B79" s="16" t="n"/>
      <c r="C79" s="16" t="n"/>
      <c r="D79" s="13" t="n"/>
    </row>
    <row r="80">
      <c r="A80" s="20" t="n"/>
      <c r="B80" s="16" t="n"/>
      <c r="C80" s="16" t="n"/>
      <c r="D80" s="13" t="n"/>
    </row>
    <row r="81">
      <c r="A81" s="20" t="n"/>
      <c r="B81" s="16" t="n"/>
      <c r="C81" s="16" t="n"/>
      <c r="D81" s="13" t="n"/>
    </row>
    <row r="82">
      <c r="A82" s="20" t="n"/>
      <c r="B82" s="16" t="n"/>
      <c r="C82" s="16" t="n"/>
      <c r="D82" s="13" t="n"/>
    </row>
    <row r="83">
      <c r="A83" s="20" t="n"/>
      <c r="B83" s="16" t="n"/>
      <c r="C83" s="16" t="n"/>
      <c r="D83" s="13" t="n"/>
    </row>
    <row r="84">
      <c r="A84" s="20" t="n"/>
      <c r="B84" s="16" t="n"/>
      <c r="C84" s="16" t="n"/>
      <c r="D84" s="13" t="n"/>
    </row>
    <row r="85">
      <c r="A85" s="20" t="n"/>
      <c r="B85" s="16" t="n"/>
      <c r="C85" s="16" t="n"/>
      <c r="D85" s="13" t="n"/>
    </row>
    <row r="86">
      <c r="A86" s="20" t="n"/>
      <c r="B86" s="16" t="n"/>
      <c r="C86" s="16" t="n"/>
      <c r="D86" s="13" t="n"/>
    </row>
    <row r="87">
      <c r="A87" s="20" t="n"/>
      <c r="B87" s="16" t="n"/>
      <c r="C87" s="16" t="n"/>
      <c r="D87" s="13" t="n"/>
    </row>
    <row r="88">
      <c r="A88" s="20" t="n"/>
      <c r="B88" s="16" t="n"/>
      <c r="C88" s="16" t="n"/>
      <c r="D88" s="13" t="n"/>
    </row>
    <row r="89">
      <c r="A89" s="20" t="n"/>
      <c r="B89" s="16" t="n"/>
      <c r="C89" s="16" t="n"/>
      <c r="D89" s="13" t="n"/>
    </row>
    <row r="90">
      <c r="A90" s="20" t="n"/>
      <c r="B90" s="16" t="n"/>
      <c r="C90" s="16" t="n"/>
      <c r="D90" s="13" t="n"/>
    </row>
    <row r="91">
      <c r="A91" s="20" t="n"/>
      <c r="B91" s="16" t="n"/>
      <c r="C91" s="16" t="n"/>
      <c r="D91" s="13" t="n"/>
    </row>
    <row r="92">
      <c r="A92" s="20" t="n"/>
      <c r="B92" s="16" t="n"/>
      <c r="C92" s="16" t="n"/>
      <c r="D92" s="13" t="n"/>
    </row>
    <row r="93">
      <c r="A93" s="20" t="n"/>
      <c r="B93" s="16" t="n"/>
      <c r="C93" s="16" t="n"/>
      <c r="D93" s="13" t="n"/>
    </row>
    <row r="94">
      <c r="A94" s="20" t="n"/>
      <c r="B94" s="16" t="n"/>
      <c r="C94" s="16" t="n"/>
      <c r="D94" s="13" t="n"/>
    </row>
    <row r="95">
      <c r="A95" s="20" t="n"/>
      <c r="B95" s="16" t="n"/>
      <c r="C95" s="16" t="n"/>
      <c r="D95" s="13" t="n"/>
    </row>
    <row r="96">
      <c r="A96" s="20" t="n"/>
      <c r="B96" s="16" t="n"/>
      <c r="C96" s="16" t="n"/>
      <c r="D96" s="13" t="n"/>
    </row>
    <row r="97">
      <c r="A97" s="20" t="n"/>
      <c r="B97" s="16" t="n"/>
      <c r="C97" s="16" t="n"/>
      <c r="D97" s="13" t="n"/>
    </row>
    <row r="98">
      <c r="A98" s="20" t="n"/>
      <c r="B98" s="16" t="n"/>
      <c r="C98" s="16" t="n"/>
      <c r="D98" s="13" t="n"/>
    </row>
    <row r="99">
      <c r="A99" s="20" t="n"/>
      <c r="B99" s="16" t="n"/>
      <c r="C99" s="16" t="n"/>
      <c r="D99" s="13" t="n"/>
    </row>
    <row r="100">
      <c r="A100" s="20" t="n"/>
      <c r="B100" s="16" t="n"/>
      <c r="C100" s="16" t="n"/>
      <c r="D100" s="13" t="n"/>
    </row>
    <row r="101">
      <c r="A101" s="20" t="n"/>
      <c r="B101" s="16" t="n"/>
      <c r="C101" s="16" t="n"/>
      <c r="D101" s="13" t="n"/>
    </row>
    <row r="102">
      <c r="A102" s="20" t="n"/>
      <c r="B102" s="16" t="n"/>
      <c r="C102" s="16" t="n"/>
      <c r="D102" s="13" t="n"/>
    </row>
    <row r="103">
      <c r="A103" s="20" t="n"/>
      <c r="B103" s="16" t="n"/>
      <c r="C103" s="16" t="n"/>
      <c r="D103" s="13" t="n"/>
    </row>
    <row r="104">
      <c r="A104" s="20" t="n"/>
      <c r="B104" s="16" t="n"/>
      <c r="C104" s="16" t="n"/>
      <c r="D104" s="13" t="n"/>
    </row>
    <row r="105">
      <c r="A105" s="20" t="n"/>
      <c r="B105" s="16" t="n"/>
      <c r="C105" s="16" t="n"/>
      <c r="D105" s="13" t="n"/>
    </row>
    <row r="106">
      <c r="A106" s="20" t="n"/>
      <c r="B106" s="16" t="n"/>
      <c r="C106" s="16" t="n"/>
      <c r="D106" s="13" t="n"/>
    </row>
    <row r="107">
      <c r="A107" s="20" t="n"/>
      <c r="B107" s="16" t="n"/>
      <c r="C107" s="16" t="n"/>
      <c r="D107" s="13" t="n"/>
    </row>
    <row r="108">
      <c r="A108" s="20" t="n"/>
      <c r="B108" s="16" t="n"/>
      <c r="C108" s="16" t="n"/>
      <c r="D108" s="13" t="n"/>
    </row>
    <row r="109">
      <c r="A109" s="20" t="n"/>
      <c r="B109" s="16" t="n"/>
      <c r="C109" s="16" t="n"/>
      <c r="D109" s="13" t="n"/>
    </row>
    <row r="110">
      <c r="A110" s="20" t="n"/>
      <c r="B110" s="16" t="n"/>
      <c r="C110" s="16" t="n"/>
      <c r="D110" s="13" t="n"/>
    </row>
    <row r="111">
      <c r="A111" s="20" t="n"/>
      <c r="B111" s="16" t="n"/>
      <c r="C111" s="16" t="n"/>
      <c r="D111" s="13" t="n"/>
    </row>
    <row r="112">
      <c r="A112" s="20" t="n"/>
      <c r="B112" s="16" t="n"/>
      <c r="C112" s="16" t="n"/>
      <c r="D112" s="13" t="n"/>
    </row>
    <row r="113">
      <c r="A113" s="20" t="n"/>
      <c r="B113" s="16" t="n"/>
      <c r="C113" s="16" t="n"/>
      <c r="D113" s="13" t="n"/>
    </row>
    <row r="114">
      <c r="A114" s="20" t="n"/>
      <c r="B114" s="16" t="n"/>
      <c r="C114" s="16" t="n"/>
      <c r="D114" s="13" t="n"/>
    </row>
    <row r="115">
      <c r="A115" s="20" t="n"/>
      <c r="B115" s="16" t="n"/>
      <c r="C115" s="16" t="n"/>
      <c r="D115" s="13" t="n"/>
    </row>
    <row r="116">
      <c r="A116" s="20" t="n"/>
      <c r="B116" s="16" t="n"/>
      <c r="C116" s="16" t="n"/>
      <c r="D116" s="13" t="n"/>
    </row>
    <row r="117">
      <c r="A117" s="20" t="n"/>
      <c r="B117" s="16" t="n"/>
      <c r="C117" s="16" t="n"/>
      <c r="D117" s="13" t="n"/>
    </row>
    <row r="118">
      <c r="A118" s="20" t="n"/>
      <c r="B118" s="16" t="n"/>
      <c r="C118" s="16" t="n"/>
      <c r="D118" s="13" t="n"/>
    </row>
    <row r="119">
      <c r="A119" s="20" t="n"/>
      <c r="B119" s="16" t="n"/>
      <c r="C119" s="16" t="n"/>
      <c r="D119" s="13" t="n"/>
    </row>
    <row r="120">
      <c r="A120" s="20" t="n"/>
      <c r="B120" s="16" t="n"/>
      <c r="C120" s="16" t="n"/>
      <c r="D120" s="13" t="n"/>
    </row>
    <row r="121">
      <c r="A121" s="20" t="n"/>
      <c r="B121" s="16" t="n"/>
      <c r="C121" s="16" t="n"/>
      <c r="D121" s="13" t="n"/>
    </row>
    <row r="122">
      <c r="A122" s="20" t="n"/>
      <c r="B122" s="16" t="n"/>
      <c r="C122" s="16" t="n"/>
      <c r="D122" s="13" t="n"/>
    </row>
    <row r="123">
      <c r="A123" s="20" t="n"/>
      <c r="B123" s="16" t="n"/>
      <c r="C123" s="16" t="n"/>
      <c r="D123" s="13" t="n"/>
    </row>
    <row r="124">
      <c r="A124" s="20" t="n"/>
      <c r="B124" s="16" t="n"/>
      <c r="C124" s="16" t="n"/>
      <c r="D124" s="13" t="n"/>
    </row>
    <row r="125">
      <c r="A125" s="20" t="n"/>
      <c r="B125" s="16" t="n"/>
      <c r="C125" s="16" t="n"/>
      <c r="D125" s="13" t="n"/>
    </row>
    <row r="126">
      <c r="A126" s="20" t="n"/>
      <c r="B126" s="16" t="n"/>
      <c r="C126" s="16" t="n"/>
      <c r="D126" s="13" t="n"/>
    </row>
    <row r="127">
      <c r="A127" s="20" t="n"/>
      <c r="B127" s="16" t="n"/>
      <c r="C127" s="16" t="n"/>
      <c r="D127" s="13" t="n"/>
    </row>
    <row r="128">
      <c r="A128" s="20" t="n"/>
      <c r="B128" s="16" t="n"/>
      <c r="C128" s="16" t="n"/>
      <c r="D128" s="13" t="n"/>
    </row>
    <row r="129">
      <c r="A129" s="20" t="n"/>
      <c r="B129" s="16" t="n"/>
      <c r="C129" s="16" t="n"/>
      <c r="D129" s="13" t="n"/>
    </row>
    <row r="130">
      <c r="A130" s="20" t="n"/>
      <c r="B130" s="16" t="n"/>
      <c r="C130" s="16" t="n"/>
      <c r="D130" s="13" t="n"/>
    </row>
    <row r="131">
      <c r="A131" s="20" t="n"/>
      <c r="B131" s="16" t="n"/>
      <c r="C131" s="16" t="n"/>
      <c r="D131" s="13" t="n"/>
    </row>
    <row r="132">
      <c r="A132" s="20" t="n"/>
      <c r="B132" s="16" t="n"/>
      <c r="C132" s="16" t="n"/>
      <c r="D132" s="13" t="n"/>
    </row>
    <row r="133">
      <c r="A133" s="20" t="n"/>
      <c r="B133" s="16" t="n"/>
      <c r="C133" s="16" t="n"/>
      <c r="D133" s="13" t="n"/>
    </row>
    <row r="134">
      <c r="A134" s="20" t="n"/>
      <c r="B134" s="16" t="n"/>
      <c r="C134" s="16" t="n"/>
      <c r="D134" s="13" t="n"/>
    </row>
    <row r="135">
      <c r="A135" s="20" t="n"/>
      <c r="B135" s="16" t="n"/>
      <c r="C135" s="16" t="n"/>
      <c r="D135" s="13" t="n"/>
    </row>
    <row r="136">
      <c r="A136" s="20" t="n"/>
      <c r="B136" s="16" t="n"/>
      <c r="C136" s="16" t="n"/>
      <c r="D136" s="13" t="n"/>
    </row>
    <row r="137">
      <c r="A137" s="20" t="n"/>
      <c r="B137" s="16" t="n"/>
      <c r="C137" s="16" t="n"/>
      <c r="D137" s="13" t="n"/>
    </row>
    <row r="138">
      <c r="A138" s="20" t="n"/>
      <c r="B138" s="16" t="n"/>
      <c r="C138" s="16" t="n"/>
      <c r="D138" s="13" t="n"/>
    </row>
    <row r="139">
      <c r="A139" s="20" t="n"/>
      <c r="B139" s="16" t="n"/>
      <c r="C139" s="16" t="n"/>
      <c r="D139" s="13" t="n"/>
    </row>
    <row r="140">
      <c r="A140" s="20" t="n"/>
      <c r="B140" s="16" t="n"/>
      <c r="C140" s="16" t="n"/>
      <c r="D140" s="13" t="n"/>
    </row>
    <row r="141">
      <c r="A141" s="20" t="n"/>
      <c r="B141" s="16" t="n"/>
      <c r="C141" s="16" t="n"/>
      <c r="D141" s="13" t="n"/>
    </row>
    <row r="142">
      <c r="A142" s="20" t="n"/>
      <c r="B142" s="16" t="n"/>
      <c r="C142" s="16" t="n"/>
      <c r="D142" s="13" t="n"/>
    </row>
    <row r="143">
      <c r="A143" s="20" t="n"/>
      <c r="B143" s="16" t="n"/>
      <c r="C143" s="16" t="n"/>
      <c r="D143" s="13" t="n"/>
    </row>
    <row r="144">
      <c r="A144" s="20" t="n"/>
      <c r="B144" s="16" t="n"/>
      <c r="C144" s="16" t="n"/>
      <c r="D144" s="13" t="n"/>
    </row>
    <row r="145">
      <c r="A145" s="20" t="n"/>
      <c r="B145" s="16" t="n"/>
      <c r="C145" s="16" t="n"/>
      <c r="D145" s="13" t="n"/>
    </row>
    <row r="146">
      <c r="A146" s="20" t="n"/>
      <c r="B146" s="16" t="n"/>
      <c r="C146" s="16" t="n"/>
      <c r="D146" s="13" t="n"/>
    </row>
    <row r="147">
      <c r="A147" s="20" t="n"/>
      <c r="B147" s="16" t="n"/>
      <c r="C147" s="16" t="n"/>
      <c r="D147" s="13" t="n"/>
    </row>
    <row r="148">
      <c r="A148" s="20" t="n"/>
      <c r="B148" s="16" t="n"/>
      <c r="C148" s="16" t="n"/>
      <c r="D148" s="13" t="n"/>
    </row>
    <row r="149">
      <c r="A149" s="20" t="n"/>
      <c r="B149" s="16" t="n"/>
      <c r="C149" s="16" t="n"/>
      <c r="D149" s="13" t="n"/>
    </row>
    <row r="150">
      <c r="A150" s="20" t="n"/>
      <c r="B150" s="16" t="n"/>
      <c r="C150" s="16" t="n"/>
      <c r="D150" s="13" t="n"/>
    </row>
    <row r="151">
      <c r="A151" s="20" t="n"/>
      <c r="B151" s="16" t="n"/>
      <c r="C151" s="16" t="n"/>
      <c r="D151" s="13" t="n"/>
    </row>
    <row r="152">
      <c r="A152" s="20" t="n"/>
      <c r="B152" s="16" t="n"/>
      <c r="C152" s="16" t="n"/>
      <c r="D152" s="13" t="n"/>
    </row>
    <row r="153">
      <c r="A153" s="20" t="n"/>
      <c r="B153" s="16" t="n"/>
      <c r="C153" s="16" t="n"/>
      <c r="D153" s="13" t="n"/>
    </row>
    <row r="154">
      <c r="A154" s="20" t="n"/>
      <c r="B154" s="16" t="n"/>
      <c r="C154" s="16" t="n"/>
      <c r="D154" s="13" t="n"/>
    </row>
    <row r="155">
      <c r="A155" s="20" t="n"/>
      <c r="B155" s="16" t="n"/>
      <c r="C155" s="16" t="n"/>
      <c r="D155" s="13" t="n"/>
    </row>
    <row r="156">
      <c r="A156" s="20" t="n"/>
      <c r="B156" s="16" t="n"/>
      <c r="C156" s="16" t="n"/>
      <c r="D156" s="13" t="n"/>
    </row>
    <row r="157">
      <c r="A157" s="20" t="n"/>
      <c r="B157" s="16" t="n"/>
      <c r="C157" s="16" t="n"/>
      <c r="D157" s="13" t="n"/>
    </row>
    <row r="158">
      <c r="A158" s="20" t="n"/>
      <c r="B158" s="16" t="n"/>
      <c r="C158" s="16" t="n"/>
      <c r="D158" s="13" t="n"/>
    </row>
    <row r="159">
      <c r="A159" s="20" t="n"/>
      <c r="B159" s="16" t="n"/>
      <c r="C159" s="16" t="n"/>
      <c r="D159" s="13" t="n"/>
    </row>
    <row r="160">
      <c r="A160" s="20" t="n"/>
      <c r="B160" s="16" t="n"/>
      <c r="C160" s="16" t="n"/>
      <c r="D160" s="13" t="n"/>
    </row>
    <row r="161">
      <c r="A161" s="20" t="n"/>
      <c r="B161" s="16" t="n"/>
      <c r="C161" s="16" t="n"/>
      <c r="D161" s="13" t="n"/>
    </row>
    <row r="162">
      <c r="A162" s="20" t="n"/>
      <c r="B162" s="16" t="n"/>
      <c r="C162" s="16" t="n"/>
      <c r="D162" s="13" t="n"/>
    </row>
    <row r="163">
      <c r="A163" s="20" t="n"/>
      <c r="B163" s="16" t="n"/>
      <c r="C163" s="16" t="n"/>
      <c r="D163" s="13" t="n"/>
    </row>
    <row r="164">
      <c r="A164" s="20" t="n"/>
      <c r="B164" s="16" t="n"/>
      <c r="C164" s="16" t="n"/>
      <c r="D164" s="13" t="n"/>
    </row>
    <row r="165">
      <c r="A165" s="20" t="n"/>
      <c r="B165" s="16" t="n"/>
      <c r="C165" s="16" t="n"/>
      <c r="D165" s="13" t="n"/>
    </row>
    <row r="166">
      <c r="A166" s="20" t="n"/>
      <c r="B166" s="16" t="n"/>
      <c r="C166" s="16" t="n"/>
      <c r="D166" s="13" t="n"/>
    </row>
    <row r="167">
      <c r="A167" s="20" t="n"/>
      <c r="B167" s="16" t="n"/>
      <c r="C167" s="16" t="n"/>
      <c r="D167" s="13" t="n"/>
    </row>
    <row r="168">
      <c r="A168" s="20" t="n"/>
      <c r="B168" s="16" t="n"/>
      <c r="C168" s="16" t="n"/>
      <c r="D168" s="13" t="n"/>
    </row>
    <row r="169">
      <c r="A169" s="20" t="n"/>
      <c r="B169" s="16" t="n"/>
      <c r="C169" s="16" t="n"/>
      <c r="D169" s="13" t="n"/>
    </row>
    <row r="170">
      <c r="A170" s="20" t="n"/>
      <c r="B170" s="16" t="n"/>
      <c r="C170" s="16" t="n"/>
      <c r="D170" s="13" t="n"/>
    </row>
    <row r="171">
      <c r="A171" s="20" t="n"/>
      <c r="B171" s="16" t="n"/>
      <c r="C171" s="16" t="n"/>
      <c r="D171" s="13" t="n"/>
    </row>
    <row r="172">
      <c r="A172" s="20" t="n"/>
      <c r="B172" s="16" t="n"/>
      <c r="C172" s="16" t="n"/>
      <c r="D172" s="13" t="n"/>
    </row>
    <row r="173">
      <c r="A173" s="20" t="n"/>
      <c r="B173" s="16" t="n"/>
      <c r="C173" s="16" t="n"/>
      <c r="D173" s="13" t="n"/>
    </row>
    <row r="174">
      <c r="A174" s="20" t="n"/>
      <c r="B174" s="16" t="n"/>
      <c r="C174" s="16" t="n"/>
      <c r="D174" s="13" t="n"/>
    </row>
    <row r="175">
      <c r="A175" s="20" t="n"/>
      <c r="B175" s="16" t="n"/>
      <c r="C175" s="16" t="n"/>
      <c r="D175" s="13" t="n"/>
    </row>
    <row r="176">
      <c r="A176" s="20" t="n"/>
      <c r="B176" s="16" t="n"/>
      <c r="C176" s="16" t="n"/>
      <c r="D176" s="13" t="n"/>
    </row>
    <row r="177">
      <c r="A177" s="20" t="n"/>
      <c r="B177" s="16" t="n"/>
      <c r="C177" s="16" t="n"/>
      <c r="D177" s="13" t="n"/>
    </row>
    <row r="178">
      <c r="A178" s="20" t="n"/>
      <c r="B178" s="16" t="n"/>
      <c r="C178" s="16" t="n"/>
      <c r="D178" s="13" t="n"/>
    </row>
    <row r="179">
      <c r="A179" s="20" t="n"/>
      <c r="B179" s="16" t="n"/>
      <c r="C179" s="16" t="n"/>
      <c r="D179" s="13" t="n"/>
    </row>
    <row r="180">
      <c r="A180" s="20" t="n"/>
      <c r="B180" s="16" t="n"/>
      <c r="C180" s="16" t="n"/>
      <c r="D180" s="13" t="n"/>
    </row>
    <row r="181">
      <c r="A181" s="20" t="n"/>
      <c r="B181" s="16" t="n"/>
      <c r="C181" s="16" t="n"/>
      <c r="D181" s="13" t="n"/>
    </row>
    <row r="182">
      <c r="A182" s="20" t="n"/>
      <c r="B182" s="16" t="n"/>
      <c r="C182" s="16" t="n"/>
      <c r="D182" s="13" t="n"/>
    </row>
    <row r="183">
      <c r="A183" s="20" t="n"/>
      <c r="B183" s="16" t="n"/>
      <c r="C183" s="16" t="n"/>
      <c r="D183" s="13" t="n"/>
    </row>
    <row r="184">
      <c r="A184" s="20" t="n"/>
      <c r="B184" s="16" t="n"/>
      <c r="C184" s="16" t="n"/>
      <c r="D184" s="13" t="n"/>
    </row>
    <row r="185">
      <c r="A185" s="20" t="n"/>
      <c r="B185" s="16" t="n"/>
      <c r="C185" s="16" t="n"/>
      <c r="D185" s="13" t="n"/>
    </row>
    <row r="186">
      <c r="A186" s="20" t="n"/>
      <c r="B186" s="16" t="n"/>
      <c r="C186" s="16" t="n"/>
      <c r="D186" s="13" t="n"/>
    </row>
    <row r="187">
      <c r="A187" s="20" t="n"/>
      <c r="B187" s="16" t="n"/>
      <c r="C187" s="16" t="n"/>
      <c r="D187" s="13" t="n"/>
    </row>
    <row r="188">
      <c r="A188" s="20" t="n"/>
      <c r="B188" s="16" t="n"/>
      <c r="C188" s="16" t="n"/>
      <c r="D188" s="13" t="n"/>
    </row>
    <row r="189">
      <c r="A189" s="20" t="n"/>
      <c r="B189" s="16" t="n"/>
      <c r="C189" s="16" t="n"/>
      <c r="D189" s="13" t="n"/>
    </row>
    <row r="190">
      <c r="A190" s="20" t="n"/>
      <c r="B190" s="16" t="n"/>
      <c r="C190" s="16" t="n"/>
      <c r="D190" s="13" t="n"/>
    </row>
    <row r="191">
      <c r="A191" s="20" t="n"/>
      <c r="B191" s="16" t="n"/>
      <c r="C191" s="16" t="n"/>
      <c r="D191" s="13" t="n"/>
    </row>
    <row r="192">
      <c r="A192" s="20" t="n"/>
      <c r="B192" s="16" t="n"/>
      <c r="C192" s="16" t="n"/>
      <c r="D192" s="13" t="n"/>
    </row>
    <row r="193">
      <c r="A193" s="20" t="n"/>
      <c r="B193" s="16" t="n"/>
      <c r="C193" s="16" t="n"/>
      <c r="D193" s="13" t="n"/>
    </row>
    <row r="194">
      <c r="A194" s="20" t="n"/>
      <c r="B194" s="16" t="n"/>
      <c r="C194" s="16" t="n"/>
      <c r="D194" s="13" t="n"/>
    </row>
    <row r="195">
      <c r="A195" s="20" t="n"/>
      <c r="B195" s="16" t="n"/>
      <c r="C195" s="16" t="n"/>
      <c r="D195" s="13" t="n"/>
    </row>
    <row r="196">
      <c r="A196" s="20" t="n"/>
      <c r="B196" s="16" t="n"/>
      <c r="C196" s="16" t="n"/>
      <c r="D196" s="13" t="n"/>
    </row>
    <row r="197">
      <c r="A197" s="20" t="n"/>
      <c r="B197" s="16" t="n"/>
      <c r="C197" s="16" t="n"/>
      <c r="D197" s="13" t="n"/>
    </row>
    <row r="198">
      <c r="A198" s="20" t="n"/>
      <c r="B198" s="16" t="n"/>
      <c r="C198" s="16" t="n"/>
      <c r="D198" s="13" t="n"/>
    </row>
    <row r="199">
      <c r="A199" s="20" t="n"/>
      <c r="B199" s="16" t="n"/>
      <c r="C199" s="16" t="n"/>
      <c r="D199" s="13" t="n"/>
    </row>
    <row r="200">
      <c r="A200" s="20" t="n"/>
      <c r="B200" s="16" t="n"/>
      <c r="C200" s="16" t="n"/>
      <c r="D200" s="13" t="n"/>
    </row>
    <row r="201">
      <c r="A201" s="20" t="n"/>
      <c r="B201" s="16" t="n"/>
      <c r="C201" s="16" t="n"/>
      <c r="D201" s="13" t="n"/>
    </row>
    <row r="202">
      <c r="A202" s="20" t="n"/>
      <c r="B202" s="16" t="n"/>
      <c r="C202" s="16" t="n"/>
      <c r="D202" s="13" t="n"/>
    </row>
    <row r="203">
      <c r="A203" s="20" t="n"/>
      <c r="B203" s="16" t="n"/>
      <c r="C203" s="16" t="n"/>
      <c r="D203" s="13" t="n"/>
    </row>
    <row r="204">
      <c r="A204" s="20" t="n"/>
      <c r="B204" s="16" t="n"/>
      <c r="C204" s="16" t="n"/>
      <c r="D204" s="13" t="n"/>
    </row>
    <row r="205">
      <c r="A205" s="20" t="n"/>
      <c r="B205" s="16" t="n"/>
      <c r="C205" s="16" t="n"/>
      <c r="D205" s="13" t="n"/>
    </row>
    <row r="206">
      <c r="A206" s="20" t="n"/>
      <c r="B206" s="16" t="n"/>
      <c r="C206" s="16" t="n"/>
      <c r="D206" s="13" t="n"/>
    </row>
    <row r="207">
      <c r="A207" s="20" t="n"/>
      <c r="B207" s="16" t="n"/>
      <c r="C207" s="16" t="n"/>
      <c r="D207" s="13" t="n"/>
    </row>
    <row r="208">
      <c r="A208" s="20" t="n"/>
      <c r="B208" s="16" t="n"/>
      <c r="C208" s="16" t="n"/>
      <c r="D208" s="13" t="n"/>
    </row>
    <row r="209">
      <c r="A209" s="20" t="n"/>
      <c r="B209" s="16" t="n"/>
      <c r="C209" s="16" t="n"/>
      <c r="D209" s="13" t="n"/>
    </row>
    <row r="210">
      <c r="A210" s="20" t="n"/>
      <c r="B210" s="16" t="n"/>
      <c r="C210" s="16" t="n"/>
      <c r="D210" s="13" t="n"/>
    </row>
    <row r="211">
      <c r="A211" s="20" t="n"/>
      <c r="B211" s="16" t="n"/>
      <c r="C211" s="16" t="n"/>
      <c r="D211" s="13" t="n"/>
    </row>
    <row r="212">
      <c r="A212" s="20" t="n"/>
      <c r="B212" s="16" t="n"/>
      <c r="C212" s="16" t="n"/>
      <c r="D212" s="13" t="n"/>
    </row>
    <row r="213">
      <c r="A213" s="20" t="n"/>
      <c r="B213" s="16" t="n"/>
      <c r="C213" s="16" t="n"/>
      <c r="D213" s="13" t="n"/>
    </row>
    <row r="214">
      <c r="A214" s="20" t="n"/>
      <c r="B214" s="16" t="n"/>
      <c r="C214" s="16" t="n"/>
      <c r="D214" s="13" t="n"/>
    </row>
    <row r="215">
      <c r="A215" s="20" t="n"/>
      <c r="B215" s="16" t="n"/>
      <c r="C215" s="16" t="n"/>
      <c r="D215" s="13" t="n"/>
    </row>
    <row r="216">
      <c r="A216" s="20" t="n"/>
      <c r="B216" s="16" t="n"/>
      <c r="C216" s="16" t="n"/>
      <c r="D216" s="13" t="n"/>
    </row>
    <row r="217">
      <c r="A217" s="20" t="n"/>
      <c r="B217" s="16" t="n"/>
      <c r="C217" s="16" t="n"/>
      <c r="D217" s="13" t="n"/>
    </row>
    <row r="218">
      <c r="A218" s="20" t="n"/>
      <c r="B218" s="16" t="n"/>
      <c r="C218" s="16" t="n"/>
      <c r="D218" s="13" t="n"/>
    </row>
    <row r="219">
      <c r="A219" s="20" t="n"/>
      <c r="B219" s="16" t="n"/>
      <c r="C219" s="16" t="n"/>
      <c r="D219" s="13" t="n"/>
    </row>
    <row r="220">
      <c r="A220" s="20" t="n"/>
      <c r="B220" s="16" t="n"/>
      <c r="C220" s="16" t="n"/>
      <c r="D220" s="13" t="n"/>
    </row>
    <row r="221">
      <c r="A221" s="20" t="n"/>
      <c r="B221" s="16" t="n"/>
      <c r="C221" s="16" t="n"/>
      <c r="D221" s="13" t="n"/>
    </row>
    <row r="222">
      <c r="A222" s="20" t="n"/>
      <c r="B222" s="16" t="n"/>
      <c r="C222" s="16" t="n"/>
      <c r="D222" s="13" t="n"/>
    </row>
    <row r="223">
      <c r="A223" s="20" t="n"/>
      <c r="B223" s="16" t="n"/>
      <c r="C223" s="16" t="n"/>
      <c r="D223" s="13" t="n"/>
    </row>
    <row r="224">
      <c r="A224" s="20" t="n"/>
      <c r="B224" s="16" t="n"/>
      <c r="C224" s="16" t="n"/>
      <c r="D224" s="13" t="n"/>
    </row>
    <row r="225">
      <c r="A225" s="20" t="n"/>
      <c r="B225" s="16" t="n"/>
      <c r="C225" s="16" t="n"/>
      <c r="D225" s="13" t="n"/>
    </row>
    <row r="226">
      <c r="A226" s="20" t="n"/>
      <c r="B226" s="16" t="n"/>
      <c r="C226" s="16" t="n"/>
      <c r="D226" s="13" t="n"/>
    </row>
    <row r="227">
      <c r="A227" s="20" t="n"/>
      <c r="B227" s="16" t="n"/>
      <c r="C227" s="16" t="n"/>
      <c r="D227" s="13" t="n"/>
    </row>
    <row r="228">
      <c r="A228" s="20" t="n"/>
      <c r="B228" s="16" t="n"/>
      <c r="C228" s="16" t="n"/>
      <c r="D228" s="13" t="n"/>
    </row>
    <row r="229">
      <c r="A229" s="20" t="n"/>
      <c r="B229" s="16" t="n"/>
      <c r="C229" s="16" t="n"/>
      <c r="D229" s="13" t="n"/>
    </row>
    <row r="230">
      <c r="A230" s="20" t="n"/>
      <c r="B230" s="16" t="n"/>
      <c r="C230" s="16" t="n"/>
      <c r="D230" s="13" t="n"/>
    </row>
    <row r="231">
      <c r="A231" s="20" t="n"/>
      <c r="B231" s="16" t="n"/>
      <c r="C231" s="16" t="n"/>
      <c r="D231" s="13" t="n"/>
    </row>
    <row r="232">
      <c r="A232" s="20" t="n"/>
      <c r="B232" s="16" t="n"/>
      <c r="C232" s="16" t="n"/>
      <c r="D232" s="13" t="n"/>
    </row>
    <row r="233">
      <c r="A233" s="20" t="n"/>
      <c r="B233" s="16" t="n"/>
      <c r="C233" s="16" t="n"/>
      <c r="D233" s="13" t="n"/>
    </row>
    <row r="234">
      <c r="A234" s="20" t="n"/>
      <c r="B234" s="16" t="n"/>
      <c r="C234" s="16" t="n"/>
      <c r="D234" s="13" t="n"/>
    </row>
    <row r="235">
      <c r="A235" s="20" t="n"/>
      <c r="B235" s="16" t="n"/>
      <c r="C235" s="16" t="n"/>
      <c r="D235" s="13" t="n"/>
    </row>
    <row r="236">
      <c r="A236" s="20" t="n"/>
      <c r="B236" s="16" t="n"/>
      <c r="C236" s="16" t="n"/>
      <c r="D236" s="13" t="n"/>
    </row>
    <row r="237">
      <c r="A237" s="20" t="n"/>
      <c r="B237" s="16" t="n"/>
      <c r="C237" s="16" t="n"/>
      <c r="D237" s="13" t="n"/>
    </row>
    <row r="238">
      <c r="A238" s="20" t="n"/>
      <c r="B238" s="16" t="n"/>
      <c r="C238" s="16" t="n"/>
      <c r="D238" s="13" t="n"/>
    </row>
    <row r="239">
      <c r="A239" s="20" t="n"/>
      <c r="B239" s="16" t="n"/>
      <c r="C239" s="16" t="n"/>
      <c r="D239" s="13" t="n"/>
    </row>
    <row r="240">
      <c r="A240" s="20" t="n"/>
      <c r="B240" s="16" t="n"/>
      <c r="C240" s="16" t="n"/>
      <c r="D240" s="13" t="n"/>
    </row>
    <row r="241">
      <c r="A241" s="20" t="n"/>
      <c r="B241" s="16" t="n"/>
      <c r="C241" s="16" t="n"/>
      <c r="D241" s="13" t="n"/>
    </row>
    <row r="242">
      <c r="A242" s="20" t="n"/>
      <c r="B242" s="16" t="n"/>
      <c r="C242" s="16" t="n"/>
      <c r="D242" s="13" t="n"/>
    </row>
    <row r="243">
      <c r="A243" s="20" t="n"/>
      <c r="B243" s="16" t="n"/>
      <c r="C243" s="16" t="n"/>
      <c r="D243" s="13" t="n"/>
    </row>
    <row r="244">
      <c r="A244" s="20" t="n"/>
      <c r="B244" s="16" t="n"/>
      <c r="C244" s="16" t="n"/>
      <c r="D244" s="13" t="n"/>
    </row>
    <row r="245">
      <c r="A245" s="20" t="n"/>
      <c r="B245" s="16" t="n"/>
      <c r="C245" s="16" t="n"/>
      <c r="D245" s="13" t="n"/>
    </row>
    <row r="246">
      <c r="A246" s="20" t="n"/>
      <c r="B246" s="16" t="n"/>
      <c r="C246" s="16" t="n"/>
      <c r="D246" s="13" t="n"/>
    </row>
    <row r="247">
      <c r="A247" s="20" t="n"/>
      <c r="B247" s="16" t="n"/>
      <c r="C247" s="16" t="n"/>
      <c r="D247" s="13" t="n"/>
    </row>
    <row r="248">
      <c r="A248" s="20" t="n"/>
      <c r="B248" s="16" t="n"/>
      <c r="C248" s="16" t="n"/>
      <c r="D248" s="13" t="n"/>
    </row>
    <row r="249">
      <c r="A249" s="20" t="n"/>
      <c r="B249" s="16" t="n"/>
      <c r="C249" s="16" t="n"/>
      <c r="D249" s="13" t="n"/>
    </row>
    <row r="250">
      <c r="A250" s="20" t="n"/>
      <c r="B250" s="16" t="n"/>
      <c r="C250" s="16" t="n"/>
      <c r="D250" s="13" t="n"/>
    </row>
    <row r="251">
      <c r="A251" s="20" t="n"/>
      <c r="B251" s="16" t="n"/>
      <c r="C251" s="16" t="n"/>
      <c r="D251" s="13" t="n"/>
    </row>
    <row r="252">
      <c r="A252" s="20" t="n"/>
      <c r="B252" s="16" t="n"/>
      <c r="C252" s="16" t="n"/>
      <c r="D252" s="13" t="n"/>
    </row>
    <row r="253">
      <c r="A253" s="20" t="n"/>
      <c r="B253" s="16" t="n"/>
      <c r="C253" s="16" t="n"/>
      <c r="D253" s="13" t="n"/>
    </row>
    <row r="254">
      <c r="A254" s="20" t="n"/>
      <c r="B254" s="16" t="n"/>
      <c r="C254" s="16" t="n"/>
      <c r="D254" s="13" t="n"/>
    </row>
    <row r="255">
      <c r="A255" s="20" t="n"/>
      <c r="B255" s="16" t="n"/>
      <c r="C255" s="16" t="n"/>
      <c r="D255" s="13" t="n"/>
    </row>
    <row r="256">
      <c r="A256" s="20" t="n"/>
      <c r="B256" s="16" t="n"/>
      <c r="C256" s="16" t="n"/>
      <c r="D256" s="13" t="n"/>
    </row>
    <row r="257">
      <c r="A257" s="20" t="n"/>
      <c r="B257" s="16" t="n"/>
      <c r="C257" s="16" t="n"/>
      <c r="D257" s="13" t="n"/>
    </row>
    <row r="258">
      <c r="A258" s="20" t="n"/>
      <c r="B258" s="16" t="n"/>
      <c r="C258" s="16" t="n"/>
      <c r="D258" s="13" t="n"/>
    </row>
    <row r="259">
      <c r="A259" s="20" t="n"/>
      <c r="B259" s="16" t="n"/>
      <c r="C259" s="16" t="n"/>
      <c r="D259" s="13" t="n"/>
    </row>
    <row r="260">
      <c r="A260" s="20" t="n"/>
      <c r="B260" s="16" t="n"/>
      <c r="C260" s="16" t="n"/>
      <c r="D260" s="13" t="n"/>
    </row>
    <row r="261">
      <c r="A261" s="20" t="n"/>
      <c r="B261" s="16" t="n"/>
      <c r="C261" s="16" t="n"/>
      <c r="D261" s="13" t="n"/>
    </row>
    <row r="262">
      <c r="A262" s="20" t="n"/>
      <c r="B262" s="16" t="n"/>
      <c r="C262" s="16" t="n"/>
      <c r="D262" s="13" t="n"/>
    </row>
    <row r="263">
      <c r="A263" s="20" t="n"/>
      <c r="B263" s="16" t="n"/>
      <c r="C263" s="16" t="n"/>
      <c r="D263" s="13" t="n"/>
    </row>
    <row r="264">
      <c r="A264" s="20" t="n"/>
      <c r="B264" s="16" t="n"/>
      <c r="C264" s="16" t="n"/>
      <c r="D264" s="13" t="n"/>
    </row>
    <row r="265">
      <c r="A265" s="20" t="n"/>
      <c r="B265" s="16" t="n"/>
      <c r="C265" s="16" t="n"/>
      <c r="D265" s="13" t="n"/>
    </row>
    <row r="266">
      <c r="A266" s="20" t="n"/>
      <c r="B266" s="16" t="n"/>
      <c r="C266" s="16" t="n"/>
      <c r="D266" s="13" t="n"/>
    </row>
    <row r="267">
      <c r="A267" s="20" t="n"/>
      <c r="B267" s="16" t="n"/>
      <c r="C267" s="16" t="n"/>
      <c r="D267" s="13" t="n"/>
    </row>
    <row r="268">
      <c r="A268" s="20" t="n"/>
      <c r="B268" s="16" t="n"/>
      <c r="C268" s="16" t="n"/>
      <c r="D268" s="13" t="n"/>
    </row>
    <row r="269">
      <c r="A269" s="20" t="n"/>
      <c r="B269" s="16" t="n"/>
      <c r="C269" s="16" t="n"/>
      <c r="D269" s="13" t="n"/>
    </row>
    <row r="270">
      <c r="A270" s="20" t="n"/>
      <c r="B270" s="16" t="n"/>
      <c r="C270" s="16" t="n"/>
      <c r="D270" s="13" t="n"/>
    </row>
    <row r="271">
      <c r="A271" s="20" t="n"/>
      <c r="B271" s="16" t="n"/>
      <c r="C271" s="16" t="n"/>
      <c r="D271" s="13" t="n"/>
    </row>
    <row r="272">
      <c r="A272" s="20" t="n"/>
      <c r="B272" s="16" t="n"/>
      <c r="C272" s="16" t="n"/>
      <c r="D272" s="13" t="n"/>
    </row>
    <row r="273">
      <c r="A273" s="20" t="n"/>
      <c r="B273" s="16" t="n"/>
      <c r="C273" s="16" t="n"/>
      <c r="D273" s="13" t="n"/>
    </row>
    <row r="274">
      <c r="A274" s="20" t="n"/>
      <c r="B274" s="16" t="n"/>
      <c r="C274" s="16" t="n"/>
      <c r="D274" s="13" t="n"/>
    </row>
    <row r="275">
      <c r="A275" s="20" t="n"/>
      <c r="B275" s="16" t="n"/>
      <c r="C275" s="16" t="n"/>
      <c r="D275" s="13" t="n"/>
    </row>
    <row r="276">
      <c r="A276" s="20" t="n"/>
      <c r="B276" s="16" t="n"/>
      <c r="C276" s="16" t="n"/>
      <c r="D276" s="13" t="n"/>
    </row>
    <row r="277">
      <c r="A277" s="20" t="n"/>
      <c r="B277" s="16" t="n"/>
      <c r="C277" s="16" t="n"/>
      <c r="D277" s="13" t="n"/>
    </row>
    <row r="278">
      <c r="A278" s="20" t="n"/>
      <c r="B278" s="16" t="n"/>
      <c r="C278" s="16" t="n"/>
      <c r="D278" s="13" t="n"/>
    </row>
    <row r="279">
      <c r="A279" s="20" t="n"/>
      <c r="B279" s="16" t="n"/>
      <c r="C279" s="16" t="n"/>
      <c r="D279" s="13" t="n"/>
    </row>
    <row r="280">
      <c r="A280" s="20" t="n"/>
      <c r="B280" s="16" t="n"/>
      <c r="C280" s="16" t="n"/>
      <c r="D280" s="13" t="n"/>
    </row>
    <row r="281">
      <c r="A281" s="20" t="n"/>
      <c r="B281" s="16" t="n"/>
      <c r="C281" s="16" t="n"/>
      <c r="D281" s="13" t="n"/>
    </row>
    <row r="282">
      <c r="A282" s="20" t="n"/>
      <c r="B282" s="16" t="n"/>
      <c r="C282" s="16" t="n"/>
      <c r="D282" s="13" t="n"/>
    </row>
    <row r="283">
      <c r="A283" s="20" t="n"/>
      <c r="B283" s="16" t="n"/>
      <c r="C283" s="16" t="n"/>
      <c r="D283" s="13" t="n"/>
    </row>
    <row r="284">
      <c r="A284" s="20" t="n"/>
      <c r="B284" s="16" t="n"/>
      <c r="C284" s="16" t="n"/>
      <c r="D284" s="13" t="n"/>
    </row>
    <row r="285">
      <c r="A285" s="20" t="n"/>
      <c r="B285" s="16" t="n"/>
      <c r="C285" s="16" t="n"/>
      <c r="D285" s="13" t="n"/>
    </row>
    <row r="286">
      <c r="A286" s="20" t="n"/>
      <c r="B286" s="16" t="n"/>
      <c r="C286" s="16" t="n"/>
      <c r="D286" s="13" t="n"/>
    </row>
    <row r="287">
      <c r="A287" s="20" t="n"/>
      <c r="B287" s="16" t="n"/>
      <c r="C287" s="16" t="n"/>
      <c r="D287" s="13" t="n"/>
    </row>
    <row r="288">
      <c r="A288" s="20" t="n"/>
      <c r="B288" s="16" t="n"/>
      <c r="C288" s="16" t="n"/>
      <c r="D288" s="13" t="n"/>
    </row>
    <row r="289">
      <c r="A289" s="20" t="n"/>
      <c r="B289" s="16" t="n"/>
      <c r="C289" s="16" t="n"/>
      <c r="D289" s="13" t="n"/>
    </row>
    <row r="290">
      <c r="A290" s="20" t="n"/>
      <c r="B290" s="16" t="n"/>
      <c r="C290" s="16" t="n"/>
      <c r="D290" s="13" t="n"/>
    </row>
    <row r="291">
      <c r="A291" s="20" t="n"/>
      <c r="B291" s="16" t="n"/>
      <c r="C291" s="16" t="n"/>
      <c r="D291" s="13" t="n"/>
    </row>
    <row r="292">
      <c r="A292" s="20" t="n"/>
      <c r="B292" s="16" t="n"/>
      <c r="C292" s="16" t="n"/>
      <c r="D292" s="13" t="n"/>
    </row>
    <row r="293">
      <c r="A293" s="20" t="n"/>
      <c r="B293" s="16" t="n"/>
      <c r="C293" s="16" t="n"/>
      <c r="D293" s="13" t="n"/>
    </row>
    <row r="294">
      <c r="A294" s="20" t="n"/>
      <c r="B294" s="16" t="n"/>
      <c r="C294" s="16" t="n"/>
      <c r="D294" s="13" t="n"/>
    </row>
    <row r="295">
      <c r="A295" s="20" t="n"/>
      <c r="B295" s="16" t="n"/>
      <c r="C295" s="16" t="n"/>
      <c r="D295" s="13" t="n"/>
    </row>
    <row r="296">
      <c r="A296" s="20" t="n"/>
      <c r="B296" s="16" t="n"/>
      <c r="C296" s="16" t="n"/>
      <c r="D296" s="13" t="n"/>
    </row>
    <row r="297">
      <c r="A297" s="20" t="n"/>
      <c r="B297" s="16" t="n"/>
      <c r="C297" s="16" t="n"/>
      <c r="D297" s="13" t="n"/>
    </row>
    <row r="298">
      <c r="A298" s="20" t="n"/>
      <c r="B298" s="16" t="n"/>
      <c r="C298" s="16" t="n"/>
      <c r="D298" s="13" t="n"/>
    </row>
    <row r="299">
      <c r="A299" s="20" t="n"/>
      <c r="B299" s="16" t="n"/>
      <c r="C299" s="16" t="n"/>
      <c r="D299" s="13" t="n"/>
    </row>
    <row r="300">
      <c r="A300" s="20" t="n"/>
      <c r="B300" s="16" t="n"/>
      <c r="C300" s="16" t="n"/>
      <c r="D300" s="13" t="n"/>
    </row>
    <row r="301">
      <c r="A301" s="20" t="n"/>
      <c r="B301" s="16" t="n"/>
      <c r="C301" s="16" t="n"/>
      <c r="D301" s="13" t="n"/>
    </row>
    <row r="302">
      <c r="A302" s="20" t="n"/>
      <c r="B302" s="16" t="n"/>
      <c r="C302" s="16" t="n"/>
      <c r="D302" s="13" t="n"/>
    </row>
    <row r="303">
      <c r="A303" s="20" t="n"/>
      <c r="B303" s="16" t="n"/>
      <c r="C303" s="16" t="n"/>
      <c r="D303" s="13" t="n"/>
    </row>
    <row r="304">
      <c r="A304" s="20" t="n"/>
      <c r="B304" s="16" t="n"/>
      <c r="C304" s="16" t="n"/>
      <c r="D304" s="13" t="n"/>
    </row>
    <row r="305">
      <c r="A305" s="20" t="n"/>
      <c r="B305" s="16" t="n"/>
      <c r="C305" s="16" t="n"/>
      <c r="D305" s="13" t="n"/>
    </row>
    <row r="306">
      <c r="A306" s="20" t="n"/>
      <c r="B306" s="16" t="n"/>
      <c r="C306" s="16" t="n"/>
      <c r="D306" s="13" t="n"/>
    </row>
    <row r="307">
      <c r="A307" s="20" t="n"/>
      <c r="B307" s="16" t="n"/>
      <c r="C307" s="16" t="n"/>
      <c r="D307" s="13" t="n"/>
    </row>
    <row r="308">
      <c r="A308" s="20" t="n"/>
      <c r="B308" s="16" t="n"/>
      <c r="C308" s="16" t="n"/>
      <c r="D308" s="13" t="n"/>
    </row>
    <row r="309">
      <c r="A309" s="20" t="n"/>
      <c r="B309" s="16" t="n"/>
      <c r="C309" s="16" t="n"/>
      <c r="D309" s="13" t="n"/>
    </row>
    <row r="310">
      <c r="A310" s="20" t="n"/>
      <c r="B310" s="16" t="n"/>
      <c r="C310" s="16" t="n"/>
      <c r="D310" s="13" t="n"/>
    </row>
    <row r="311">
      <c r="A311" s="20" t="n"/>
      <c r="B311" s="16" t="n"/>
      <c r="C311" s="16" t="n"/>
      <c r="D311" s="13" t="n"/>
    </row>
    <row r="312">
      <c r="A312" s="20" t="n"/>
      <c r="B312" s="16" t="n"/>
      <c r="C312" s="16" t="n"/>
      <c r="D312" s="13" t="n"/>
    </row>
    <row r="313">
      <c r="A313" s="20" t="n"/>
      <c r="B313" s="16" t="n"/>
      <c r="C313" s="16" t="n"/>
      <c r="D313" s="13" t="n"/>
    </row>
    <row r="314">
      <c r="A314" s="20" t="n"/>
      <c r="B314" s="16" t="n"/>
      <c r="C314" s="16" t="n"/>
      <c r="D314" s="13" t="n"/>
    </row>
    <row r="315">
      <c r="A315" s="20" t="n"/>
      <c r="B315" s="16" t="n"/>
      <c r="C315" s="16" t="n"/>
      <c r="D315" s="13" t="n"/>
    </row>
    <row r="316">
      <c r="A316" s="20" t="n"/>
      <c r="B316" s="16" t="n"/>
      <c r="C316" s="16" t="n"/>
      <c r="D316" s="13" t="n"/>
    </row>
    <row r="317">
      <c r="A317" s="20" t="n"/>
      <c r="B317" s="16" t="n"/>
      <c r="C317" s="16" t="n"/>
      <c r="D317" s="13" t="n"/>
    </row>
    <row r="318">
      <c r="A318" s="20" t="n"/>
      <c r="B318" s="16" t="n"/>
      <c r="C318" s="16" t="n"/>
      <c r="D318" s="13" t="n"/>
    </row>
    <row r="319">
      <c r="A319" s="20" t="n"/>
      <c r="B319" s="16" t="n"/>
      <c r="C319" s="16" t="n"/>
      <c r="D319" s="13" t="n"/>
    </row>
    <row r="320">
      <c r="A320" s="20" t="n"/>
      <c r="B320" s="16" t="n"/>
      <c r="C320" s="16" t="n"/>
      <c r="D320" s="13" t="n"/>
    </row>
    <row r="321">
      <c r="A321" s="20" t="n"/>
      <c r="B321" s="16" t="n"/>
      <c r="C321" s="16" t="n"/>
      <c r="D321" s="13" t="n"/>
    </row>
    <row r="322">
      <c r="A322" s="20" t="n"/>
      <c r="B322" s="16" t="n"/>
      <c r="C322" s="16" t="n"/>
      <c r="D322" s="13" t="n"/>
    </row>
    <row r="323">
      <c r="A323" s="20" t="n"/>
      <c r="B323" s="16" t="n"/>
      <c r="C323" s="16" t="n"/>
      <c r="D323" s="13" t="n"/>
    </row>
    <row r="324">
      <c r="A324" s="20" t="n"/>
      <c r="B324" s="16" t="n"/>
      <c r="C324" s="16" t="n"/>
      <c r="D324" s="13" t="n"/>
    </row>
    <row r="325">
      <c r="A325" s="20" t="n"/>
      <c r="B325" s="16" t="n"/>
      <c r="C325" s="16" t="n"/>
      <c r="D325" s="13" t="n"/>
    </row>
    <row r="326">
      <c r="A326" s="20" t="n"/>
      <c r="B326" s="16" t="n"/>
      <c r="C326" s="16" t="n"/>
      <c r="D326" s="13" t="n"/>
    </row>
    <row r="327">
      <c r="A327" s="20" t="n"/>
      <c r="B327" s="16" t="n"/>
      <c r="C327" s="16" t="n"/>
      <c r="D327" s="13" t="n"/>
    </row>
    <row r="328">
      <c r="A328" s="20" t="n"/>
      <c r="B328" s="16" t="n"/>
      <c r="C328" s="16" t="n"/>
      <c r="D328" s="13" t="n"/>
    </row>
    <row r="329">
      <c r="A329" s="20" t="n"/>
      <c r="B329" s="16" t="n"/>
      <c r="C329" s="16" t="n"/>
      <c r="D329" s="13" t="n"/>
    </row>
    <row r="330">
      <c r="A330" s="20" t="n"/>
      <c r="B330" s="16" t="n"/>
      <c r="C330" s="16" t="n"/>
      <c r="D330" s="13" t="n"/>
    </row>
    <row r="331">
      <c r="A331" s="20" t="n"/>
      <c r="B331" s="16" t="n"/>
      <c r="C331" s="16" t="n"/>
      <c r="D331" s="13" t="n"/>
    </row>
    <row r="332">
      <c r="A332" s="20" t="n"/>
      <c r="B332" s="16" t="n"/>
      <c r="C332" s="16" t="n"/>
      <c r="D332" s="13" t="n"/>
    </row>
    <row r="333">
      <c r="A333" s="20" t="n"/>
      <c r="B333" s="16" t="n"/>
      <c r="C333" s="16" t="n"/>
      <c r="D333" s="13" t="n"/>
    </row>
    <row r="334">
      <c r="A334" s="20" t="n"/>
      <c r="B334" s="16" t="n"/>
      <c r="C334" s="16" t="n"/>
      <c r="D334" s="13" t="n"/>
    </row>
    <row r="335">
      <c r="A335" s="20" t="n"/>
      <c r="B335" s="16" t="n"/>
      <c r="C335" s="16" t="n"/>
      <c r="D335" s="13" t="n"/>
    </row>
    <row r="336">
      <c r="A336" s="20" t="n"/>
      <c r="B336" s="16" t="n"/>
      <c r="C336" s="16" t="n"/>
      <c r="D336" s="13" t="n"/>
    </row>
    <row r="337">
      <c r="A337" s="20" t="n"/>
      <c r="B337" s="16" t="n"/>
      <c r="C337" s="16" t="n"/>
      <c r="D337" s="13" t="n"/>
    </row>
    <row r="338">
      <c r="A338" s="20" t="n"/>
      <c r="B338" s="16" t="n"/>
      <c r="C338" s="16" t="n"/>
      <c r="D338" s="13" t="n"/>
    </row>
    <row r="339">
      <c r="A339" s="20" t="n"/>
      <c r="B339" s="16" t="n"/>
      <c r="C339" s="16" t="n"/>
      <c r="D339" s="13" t="n"/>
    </row>
    <row r="340">
      <c r="A340" s="20" t="n"/>
      <c r="B340" s="16" t="n"/>
      <c r="C340" s="16" t="n"/>
      <c r="D340" s="13" t="n"/>
    </row>
    <row r="341">
      <c r="A341" s="20" t="n"/>
      <c r="B341" s="16" t="n"/>
      <c r="C341" s="16" t="n"/>
      <c r="D341" s="13" t="n"/>
    </row>
    <row r="342">
      <c r="A342" s="20" t="n"/>
      <c r="B342" s="16" t="n"/>
      <c r="C342" s="16" t="n"/>
      <c r="D342" s="13" t="n"/>
    </row>
    <row r="343">
      <c r="A343" s="20" t="n"/>
      <c r="B343" s="16" t="n"/>
      <c r="C343" s="16" t="n"/>
      <c r="D343" s="13" t="n"/>
    </row>
    <row r="344">
      <c r="A344" s="20" t="n"/>
      <c r="B344" s="16" t="n"/>
      <c r="C344" s="16" t="n"/>
      <c r="D344" s="13" t="n"/>
    </row>
    <row r="345">
      <c r="A345" s="20" t="n"/>
      <c r="B345" s="16" t="n"/>
      <c r="C345" s="16" t="n"/>
      <c r="D345" s="13" t="n"/>
    </row>
    <row r="346">
      <c r="A346" s="20" t="n"/>
      <c r="B346" s="16" t="n"/>
      <c r="C346" s="16" t="n"/>
      <c r="D346" s="13" t="n"/>
    </row>
    <row r="347">
      <c r="A347" s="20" t="n"/>
      <c r="B347" s="16" t="n"/>
      <c r="C347" s="16" t="n"/>
      <c r="D347" s="13" t="n"/>
    </row>
    <row r="348">
      <c r="A348" s="20" t="n"/>
      <c r="B348" s="16" t="n"/>
      <c r="C348" s="16" t="n"/>
      <c r="D348" s="13" t="n"/>
    </row>
    <row r="349">
      <c r="A349" s="20" t="n"/>
      <c r="B349" s="16" t="n"/>
      <c r="C349" s="16" t="n"/>
      <c r="D349" s="13" t="n"/>
    </row>
    <row r="350">
      <c r="A350" s="20" t="n"/>
      <c r="B350" s="16" t="n"/>
      <c r="C350" s="16" t="n"/>
      <c r="D350" s="13" t="n"/>
    </row>
    <row r="351">
      <c r="A351" s="20" t="n"/>
      <c r="B351" s="16" t="n"/>
      <c r="C351" s="16" t="n"/>
      <c r="D351" s="13" t="n"/>
    </row>
    <row r="352">
      <c r="A352" s="20" t="n"/>
      <c r="B352" s="16" t="n"/>
      <c r="C352" s="16" t="n"/>
      <c r="D352" s="13" t="n"/>
    </row>
    <row r="353">
      <c r="A353" s="20" t="n"/>
      <c r="B353" s="16" t="n"/>
      <c r="C353" s="16" t="n"/>
      <c r="D353" s="13" t="n"/>
    </row>
    <row r="354">
      <c r="A354" s="20" t="n"/>
      <c r="B354" s="16" t="n"/>
      <c r="C354" s="16" t="n"/>
      <c r="D354" s="13" t="n"/>
    </row>
    <row r="355">
      <c r="A355" s="20" t="n"/>
      <c r="B355" s="16" t="n"/>
      <c r="C355" s="16" t="n"/>
      <c r="D355" s="13" t="n"/>
    </row>
    <row r="356">
      <c r="A356" s="20" t="n"/>
      <c r="B356" s="16" t="n"/>
      <c r="C356" s="16" t="n"/>
      <c r="D356" s="13" t="n"/>
    </row>
    <row r="357">
      <c r="A357" s="20" t="n"/>
      <c r="B357" s="16" t="n"/>
      <c r="C357" s="16" t="n"/>
      <c r="D357" s="13" t="n"/>
    </row>
    <row r="358">
      <c r="A358" s="20" t="n"/>
      <c r="B358" s="16" t="n"/>
      <c r="C358" s="16" t="n"/>
      <c r="D358" s="13" t="n"/>
    </row>
    <row r="359">
      <c r="A359" s="20" t="n"/>
      <c r="B359" s="16" t="n"/>
      <c r="C359" s="16" t="n"/>
      <c r="D359" s="13" t="n"/>
    </row>
    <row r="360">
      <c r="A360" s="20" t="n"/>
      <c r="B360" s="16" t="n"/>
      <c r="C360" s="16" t="n"/>
      <c r="D360" s="13" t="n"/>
    </row>
    <row r="361">
      <c r="A361" s="20" t="n"/>
      <c r="B361" s="16" t="n"/>
      <c r="C361" s="16" t="n"/>
      <c r="D361" s="13" t="n"/>
    </row>
    <row r="362">
      <c r="A362" s="20" t="n"/>
      <c r="B362" s="16" t="n"/>
      <c r="C362" s="16" t="n"/>
      <c r="D362" s="13" t="n"/>
    </row>
    <row r="363">
      <c r="A363" s="20" t="n"/>
      <c r="B363" s="16" t="n"/>
      <c r="C363" s="16" t="n"/>
      <c r="D363" s="13" t="n"/>
    </row>
    <row r="364">
      <c r="A364" s="20" t="n"/>
      <c r="B364" s="16" t="n"/>
      <c r="C364" s="16" t="n"/>
      <c r="D364" s="13" t="n"/>
    </row>
    <row r="365">
      <c r="A365" s="20" t="n"/>
      <c r="B365" s="16" t="n"/>
      <c r="C365" s="16" t="n"/>
      <c r="D365" s="13" t="n"/>
    </row>
    <row r="366">
      <c r="A366" s="20" t="n"/>
      <c r="B366" s="16" t="n"/>
      <c r="C366" s="16" t="n"/>
      <c r="D366" s="13" t="n"/>
    </row>
    <row r="367">
      <c r="A367" s="20" t="n"/>
      <c r="B367" s="16" t="n"/>
      <c r="C367" s="16" t="n"/>
      <c r="D367" s="13" t="n"/>
    </row>
    <row r="368">
      <c r="A368" s="20" t="n"/>
      <c r="B368" s="16" t="n"/>
      <c r="C368" s="16" t="n"/>
      <c r="D368" s="13" t="n"/>
    </row>
    <row r="369">
      <c r="A369" s="20" t="n"/>
      <c r="B369" s="16" t="n"/>
      <c r="C369" s="16" t="n"/>
      <c r="D369" s="13" t="n"/>
    </row>
    <row r="370">
      <c r="A370" s="20" t="n"/>
      <c r="B370" s="16" t="n"/>
      <c r="C370" s="16" t="n"/>
      <c r="D370" s="13" t="n"/>
    </row>
    <row r="371">
      <c r="A371" s="20" t="n"/>
      <c r="B371" s="16" t="n"/>
      <c r="C371" s="16" t="n"/>
      <c r="D371" s="13" t="n"/>
    </row>
    <row r="372">
      <c r="A372" s="20" t="n"/>
      <c r="B372" s="16" t="n"/>
      <c r="C372" s="16" t="n"/>
      <c r="D372" s="13" t="n"/>
    </row>
    <row r="373">
      <c r="A373" s="20" t="n"/>
      <c r="B373" s="16" t="n"/>
      <c r="C373" s="16" t="n"/>
      <c r="D373" s="13" t="n"/>
    </row>
    <row r="374">
      <c r="A374" s="20" t="n"/>
      <c r="B374" s="16" t="n"/>
      <c r="C374" s="16" t="n"/>
      <c r="D374" s="13" t="n"/>
    </row>
    <row r="375">
      <c r="A375" s="20" t="n"/>
      <c r="B375" s="16" t="n"/>
      <c r="C375" s="16" t="n"/>
      <c r="D375" s="13" t="n"/>
    </row>
    <row r="376">
      <c r="A376" s="20" t="n"/>
      <c r="B376" s="16" t="n"/>
      <c r="C376" s="16" t="n"/>
      <c r="D376" s="13" t="n"/>
    </row>
    <row r="377">
      <c r="A377" s="20" t="n"/>
      <c r="B377" s="16" t="n"/>
      <c r="C377" s="16" t="n"/>
      <c r="D377" s="13" t="n"/>
    </row>
    <row r="378">
      <c r="A378" s="20" t="n"/>
      <c r="B378" s="16" t="n"/>
      <c r="C378" s="16" t="n"/>
      <c r="D378" s="13" t="n"/>
    </row>
    <row r="379">
      <c r="A379" s="20" t="n"/>
      <c r="B379" s="16" t="n"/>
      <c r="C379" s="16" t="n"/>
      <c r="D379" s="13" t="n"/>
    </row>
    <row r="380">
      <c r="A380" s="20" t="n"/>
      <c r="B380" s="16" t="n"/>
      <c r="C380" s="16" t="n"/>
      <c r="D380" s="13" t="n"/>
    </row>
    <row r="381">
      <c r="A381" s="20" t="n"/>
      <c r="B381" s="16" t="n"/>
      <c r="C381" s="16" t="n"/>
      <c r="D381" s="13" t="n"/>
    </row>
    <row r="382">
      <c r="A382" s="20" t="n"/>
      <c r="B382" s="16" t="n"/>
      <c r="C382" s="16" t="n"/>
      <c r="D382" s="13" t="n"/>
    </row>
    <row r="383">
      <c r="A383" s="20" t="n"/>
      <c r="B383" s="16" t="n"/>
      <c r="C383" s="16" t="n"/>
      <c r="D383" s="13" t="n"/>
    </row>
    <row r="384">
      <c r="A384" s="20" t="n"/>
      <c r="B384" s="16" t="n"/>
      <c r="C384" s="16" t="n"/>
      <c r="D384" s="13" t="n"/>
    </row>
    <row r="385">
      <c r="A385" s="20" t="n"/>
      <c r="B385" s="16" t="n"/>
      <c r="C385" s="16" t="n"/>
      <c r="D385" s="13" t="n"/>
    </row>
    <row r="386">
      <c r="A386" s="20" t="n"/>
      <c r="B386" s="16" t="n"/>
      <c r="C386" s="16" t="n"/>
      <c r="D386" s="13" t="n"/>
    </row>
    <row r="387">
      <c r="A387" s="20" t="n"/>
      <c r="B387" s="16" t="n"/>
      <c r="C387" s="16" t="n"/>
      <c r="D387" s="13" t="n"/>
    </row>
    <row r="388">
      <c r="A388" s="20" t="n"/>
      <c r="B388" s="16" t="n"/>
      <c r="C388" s="16" t="n"/>
      <c r="D388" s="13" t="n"/>
    </row>
    <row r="389">
      <c r="A389" s="20" t="n"/>
      <c r="B389" s="16" t="n"/>
      <c r="C389" s="16" t="n"/>
      <c r="D389" s="13" t="n"/>
    </row>
    <row r="390">
      <c r="A390" s="20" t="n"/>
      <c r="B390" s="16" t="n"/>
      <c r="C390" s="16" t="n"/>
      <c r="D390" s="13" t="n"/>
    </row>
    <row r="391">
      <c r="A391" s="20" t="n"/>
      <c r="B391" s="16" t="n"/>
      <c r="C391" s="16" t="n"/>
      <c r="D391" s="13" t="n"/>
    </row>
    <row r="392">
      <c r="A392" s="20" t="n"/>
      <c r="B392" s="16" t="n"/>
      <c r="C392" s="16" t="n"/>
      <c r="D392" s="13" t="n"/>
    </row>
    <row r="393">
      <c r="A393" s="20" t="n"/>
      <c r="B393" s="16" t="n"/>
      <c r="C393" s="16" t="n"/>
      <c r="D393" s="13" t="n"/>
    </row>
    <row r="394">
      <c r="A394" s="20" t="n"/>
      <c r="B394" s="16" t="n"/>
      <c r="C394" s="16" t="n"/>
      <c r="D394" s="13" t="n"/>
    </row>
    <row r="395">
      <c r="A395" s="20" t="n"/>
      <c r="B395" s="16" t="n"/>
      <c r="C395" s="16" t="n"/>
      <c r="D395" s="13" t="n"/>
    </row>
    <row r="396">
      <c r="A396" s="20" t="n"/>
      <c r="B396" s="16" t="n"/>
      <c r="C396" s="16" t="n"/>
      <c r="D396" s="13" t="n"/>
    </row>
    <row r="397">
      <c r="A397" s="20" t="n"/>
      <c r="B397" s="16" t="n"/>
      <c r="C397" s="16" t="n"/>
      <c r="D397" s="13" t="n"/>
    </row>
    <row r="398">
      <c r="A398" s="20" t="n"/>
      <c r="B398" s="16" t="n"/>
      <c r="C398" s="16" t="n"/>
      <c r="D398" s="13" t="n"/>
    </row>
    <row r="399">
      <c r="A399" s="20" t="n"/>
      <c r="B399" s="16" t="n"/>
      <c r="C399" s="16" t="n"/>
      <c r="D399" s="13" t="n"/>
    </row>
    <row r="400">
      <c r="A400" s="20" t="n"/>
      <c r="B400" s="16" t="n"/>
      <c r="C400" s="16" t="n"/>
      <c r="D400" s="13" t="n"/>
    </row>
    <row r="401">
      <c r="A401" s="20" t="n"/>
      <c r="B401" s="16" t="n"/>
      <c r="C401" s="16" t="n"/>
      <c r="D401" s="13" t="n"/>
    </row>
    <row r="402">
      <c r="A402" s="20" t="n"/>
      <c r="B402" s="16" t="n"/>
      <c r="C402" s="16" t="n"/>
      <c r="D402" s="13" t="n"/>
    </row>
    <row r="403">
      <c r="A403" s="20" t="n"/>
      <c r="B403" s="16" t="n"/>
      <c r="C403" s="16" t="n"/>
      <c r="D403" s="13" t="n"/>
    </row>
    <row r="404">
      <c r="A404" s="20" t="n"/>
      <c r="B404" s="16" t="n"/>
      <c r="C404" s="16" t="n"/>
      <c r="D404" s="13" t="n"/>
    </row>
    <row r="405">
      <c r="A405" s="20" t="n"/>
      <c r="B405" s="16" t="n"/>
      <c r="C405" s="16" t="n"/>
      <c r="D405" s="13" t="n"/>
    </row>
    <row r="406">
      <c r="A406" s="20" t="n"/>
      <c r="B406" s="16" t="n"/>
      <c r="C406" s="16" t="n"/>
      <c r="D406" s="13" t="n"/>
    </row>
    <row r="407">
      <c r="A407" s="20" t="n"/>
      <c r="B407" s="16" t="n"/>
      <c r="C407" s="16" t="n"/>
      <c r="D407" s="13" t="n"/>
    </row>
    <row r="408">
      <c r="A408" s="20" t="n"/>
      <c r="B408" s="16" t="n"/>
      <c r="C408" s="16" t="n"/>
      <c r="D408" s="13" t="n"/>
    </row>
    <row r="409">
      <c r="A409" s="20" t="n"/>
      <c r="B409" s="16" t="n"/>
      <c r="C409" s="16" t="n"/>
      <c r="D409" s="13" t="n"/>
    </row>
    <row r="410">
      <c r="A410" s="20" t="n"/>
      <c r="B410" s="16" t="n"/>
      <c r="C410" s="16" t="n"/>
      <c r="D410" s="13" t="n"/>
    </row>
    <row r="411">
      <c r="A411" s="20" t="n"/>
      <c r="B411" s="16" t="n"/>
      <c r="C411" s="16" t="n"/>
      <c r="D411" s="13" t="n"/>
    </row>
    <row r="412">
      <c r="A412" s="20" t="n"/>
      <c r="B412" s="16" t="n"/>
      <c r="C412" s="16" t="n"/>
      <c r="D412" s="13" t="n"/>
    </row>
    <row r="413">
      <c r="A413" s="20" t="n"/>
      <c r="B413" s="16" t="n"/>
      <c r="C413" s="16" t="n"/>
      <c r="D413" s="13" t="n"/>
    </row>
    <row r="414">
      <c r="A414" s="20" t="n"/>
      <c r="B414" s="16" t="n"/>
      <c r="C414" s="16" t="n"/>
      <c r="D414" s="13" t="n"/>
    </row>
    <row r="415">
      <c r="A415" s="20" t="n"/>
      <c r="B415" s="16" t="n"/>
      <c r="C415" s="16" t="n"/>
      <c r="D415" s="13" t="n"/>
    </row>
    <row r="416">
      <c r="A416" s="20" t="n"/>
      <c r="B416" s="16" t="n"/>
      <c r="C416" s="16" t="n"/>
      <c r="D416" s="13" t="n"/>
    </row>
    <row r="417">
      <c r="A417" s="20" t="n"/>
      <c r="B417" s="16" t="n"/>
      <c r="C417" s="16" t="n"/>
      <c r="D417" s="13" t="n"/>
    </row>
    <row r="418">
      <c r="A418" s="20" t="n"/>
      <c r="B418" s="16" t="n"/>
      <c r="C418" s="16" t="n"/>
      <c r="D418" s="13" t="n"/>
    </row>
    <row r="419">
      <c r="A419" s="20" t="n"/>
      <c r="B419" s="16" t="n"/>
      <c r="C419" s="16" t="n"/>
      <c r="D419" s="13" t="n"/>
    </row>
    <row r="420">
      <c r="A420" s="20" t="n"/>
      <c r="B420" s="16" t="n"/>
      <c r="C420" s="16" t="n"/>
      <c r="D420" s="13" t="n"/>
    </row>
    <row r="421">
      <c r="A421" s="20" t="n"/>
      <c r="B421" s="16" t="n"/>
      <c r="C421" s="16" t="n"/>
      <c r="D421" s="13" t="n"/>
    </row>
    <row r="422">
      <c r="A422" s="20" t="n"/>
      <c r="B422" s="16" t="n"/>
      <c r="C422" s="16" t="n"/>
      <c r="D422" s="13" t="n"/>
    </row>
    <row r="423">
      <c r="A423" s="20" t="n"/>
      <c r="B423" s="16" t="n"/>
      <c r="C423" s="16" t="n"/>
      <c r="D423" s="13" t="n"/>
    </row>
    <row r="424">
      <c r="A424" s="20" t="n"/>
      <c r="B424" s="16" t="n"/>
      <c r="C424" s="16" t="n"/>
      <c r="D424" s="13" t="n"/>
    </row>
    <row r="425">
      <c r="A425" s="20" t="n"/>
      <c r="B425" s="16" t="n"/>
      <c r="C425" s="16" t="n"/>
      <c r="D425" s="13" t="n"/>
    </row>
    <row r="426">
      <c r="A426" s="20" t="n"/>
      <c r="B426" s="16" t="n"/>
      <c r="C426" s="16" t="n"/>
      <c r="D426" s="13" t="n"/>
    </row>
    <row r="427">
      <c r="A427" s="20" t="n"/>
      <c r="B427" s="16" t="n"/>
      <c r="C427" s="16" t="n"/>
      <c r="D427" s="13" t="n"/>
    </row>
    <row r="428">
      <c r="A428" s="20" t="n"/>
      <c r="B428" s="16" t="n"/>
      <c r="C428" s="16" t="n"/>
      <c r="D428" s="13" t="n"/>
    </row>
    <row r="429">
      <c r="A429" s="20" t="n"/>
      <c r="B429" s="16" t="n"/>
      <c r="C429" s="16" t="n"/>
      <c r="D429" s="13" t="n"/>
    </row>
    <row r="430">
      <c r="A430" s="20" t="n"/>
      <c r="B430" s="16" t="n"/>
      <c r="C430" s="16" t="n"/>
      <c r="D430" s="13" t="n"/>
    </row>
    <row r="431">
      <c r="A431" s="20" t="n"/>
      <c r="B431" s="16" t="n"/>
      <c r="C431" s="16" t="n"/>
      <c r="D431" s="13" t="n"/>
    </row>
    <row r="432">
      <c r="A432" s="20" t="n"/>
      <c r="B432" s="16" t="n"/>
      <c r="C432" s="16" t="n"/>
      <c r="D432" s="13" t="n"/>
    </row>
    <row r="433">
      <c r="A433" s="20" t="n"/>
      <c r="B433" s="16" t="n"/>
      <c r="C433" s="16" t="n"/>
      <c r="D433" s="13" t="n"/>
    </row>
    <row r="434">
      <c r="A434" s="20" t="n"/>
      <c r="B434" s="16" t="n"/>
      <c r="C434" s="16" t="n"/>
      <c r="D434" s="13" t="n"/>
    </row>
    <row r="435">
      <c r="A435" s="20" t="n"/>
      <c r="B435" s="16" t="n"/>
      <c r="C435" s="16" t="n"/>
      <c r="D435" s="13" t="n"/>
    </row>
    <row r="436">
      <c r="A436" s="20" t="n"/>
      <c r="B436" s="16" t="n"/>
      <c r="C436" s="16" t="n"/>
      <c r="D436" s="13" t="n"/>
    </row>
    <row r="437">
      <c r="A437" s="20" t="n"/>
      <c r="B437" s="16" t="n"/>
      <c r="C437" s="16" t="n"/>
      <c r="D437" s="13" t="n"/>
    </row>
    <row r="438">
      <c r="A438" s="20" t="n"/>
      <c r="B438" s="16" t="n"/>
      <c r="C438" s="16" t="n"/>
      <c r="D438" s="13" t="n"/>
    </row>
    <row r="439">
      <c r="A439" s="20" t="n"/>
      <c r="B439" s="16" t="n"/>
      <c r="C439" s="16" t="n"/>
      <c r="D439" s="13" t="n"/>
    </row>
    <row r="440">
      <c r="A440" s="20" t="n"/>
      <c r="B440" s="16" t="n"/>
      <c r="C440" s="16" t="n"/>
      <c r="D440" s="13" t="n"/>
    </row>
    <row r="441">
      <c r="A441" s="20" t="n"/>
      <c r="B441" s="16" t="n"/>
      <c r="C441" s="16" t="n"/>
      <c r="D441" s="13" t="n"/>
    </row>
    <row r="442">
      <c r="A442" s="20" t="n"/>
      <c r="B442" s="16" t="n"/>
      <c r="C442" s="16" t="n"/>
      <c r="D442" s="13" t="n"/>
    </row>
    <row r="443">
      <c r="A443" s="20" t="n"/>
      <c r="B443" s="16" t="n"/>
      <c r="C443" s="16" t="n"/>
      <c r="D443" s="13" t="n"/>
    </row>
    <row r="444">
      <c r="A444" s="20" t="n"/>
      <c r="B444" s="16" t="n"/>
      <c r="C444" s="16" t="n"/>
      <c r="D444" s="13" t="n"/>
    </row>
    <row r="445">
      <c r="A445" s="20" t="n"/>
      <c r="B445" s="16" t="n"/>
      <c r="C445" s="16" t="n"/>
      <c r="D445" s="13" t="n"/>
    </row>
    <row r="446">
      <c r="A446" s="20" t="n"/>
      <c r="B446" s="16" t="n"/>
      <c r="C446" s="16" t="n"/>
      <c r="D446" s="13" t="n"/>
    </row>
    <row r="447">
      <c r="A447" s="20" t="n"/>
      <c r="B447" s="16" t="n"/>
      <c r="C447" s="16" t="n"/>
      <c r="D447" s="13" t="n"/>
    </row>
    <row r="448">
      <c r="A448" s="20" t="n"/>
      <c r="B448" s="16" t="n"/>
      <c r="C448" s="16" t="n"/>
      <c r="D448" s="13" t="n"/>
    </row>
    <row r="449">
      <c r="A449" s="20" t="n"/>
      <c r="B449" s="16" t="n"/>
      <c r="C449" s="16" t="n"/>
      <c r="D449" s="13" t="n"/>
    </row>
    <row r="450">
      <c r="A450" s="20" t="n"/>
      <c r="B450" s="16" t="n"/>
      <c r="C450" s="16" t="n"/>
      <c r="D450" s="13" t="n"/>
    </row>
    <row r="451">
      <c r="A451" s="20" t="n"/>
      <c r="B451" s="16" t="n"/>
      <c r="C451" s="16" t="n"/>
      <c r="D451" s="13" t="n"/>
    </row>
    <row r="452">
      <c r="A452" s="20" t="n"/>
      <c r="B452" s="16" t="n"/>
      <c r="C452" s="16" t="n"/>
      <c r="D452" s="13" t="n"/>
    </row>
    <row r="453">
      <c r="A453" s="20" t="n"/>
      <c r="B453" s="16" t="n"/>
      <c r="C453" s="16" t="n"/>
      <c r="D453" s="13" t="n"/>
    </row>
    <row r="454">
      <c r="A454" s="20" t="n"/>
      <c r="B454" s="16" t="n"/>
      <c r="C454" s="16" t="n"/>
      <c r="D454" s="13" t="n"/>
    </row>
    <row r="455">
      <c r="A455" s="20" t="n"/>
      <c r="B455" s="16" t="n"/>
      <c r="C455" s="16" t="n"/>
      <c r="D455" s="13" t="n"/>
    </row>
    <row r="456">
      <c r="A456" s="20" t="n"/>
      <c r="B456" s="16" t="n"/>
      <c r="C456" s="16" t="n"/>
      <c r="D456" s="13" t="n"/>
    </row>
    <row r="457">
      <c r="A457" s="20" t="n"/>
      <c r="B457" s="16" t="n"/>
      <c r="C457" s="16" t="n"/>
      <c r="D457" s="13" t="n"/>
    </row>
    <row r="458">
      <c r="A458" s="20" t="n"/>
      <c r="B458" s="16" t="n"/>
      <c r="C458" s="16" t="n"/>
      <c r="D458" s="13" t="n"/>
    </row>
    <row r="459">
      <c r="A459" s="20" t="n"/>
      <c r="B459" s="16" t="n"/>
      <c r="C459" s="16" t="n"/>
      <c r="D459" s="13" t="n"/>
    </row>
    <row r="460">
      <c r="A460" s="20" t="n"/>
      <c r="B460" s="16" t="n"/>
      <c r="C460" s="16" t="n"/>
      <c r="D460" s="13" t="n"/>
    </row>
    <row r="461">
      <c r="A461" s="20" t="n"/>
      <c r="B461" s="16" t="n"/>
      <c r="C461" s="16" t="n"/>
      <c r="D461" s="13" t="n"/>
    </row>
    <row r="462">
      <c r="A462" s="20" t="n"/>
      <c r="B462" s="16" t="n"/>
      <c r="C462" s="16" t="n"/>
      <c r="D462" s="13" t="n"/>
    </row>
    <row r="463">
      <c r="A463" s="20" t="n"/>
      <c r="B463" s="16" t="n"/>
      <c r="C463" s="16" t="n"/>
      <c r="D463" s="13" t="n"/>
    </row>
    <row r="464">
      <c r="A464" s="20" t="n"/>
      <c r="B464" s="16" t="n"/>
      <c r="C464" s="16" t="n"/>
      <c r="D464" s="13" t="n"/>
    </row>
    <row r="465">
      <c r="A465" s="20" t="n"/>
      <c r="B465" s="16" t="n"/>
      <c r="C465" s="16" t="n"/>
      <c r="D465" s="13" t="n"/>
    </row>
    <row r="466">
      <c r="A466" s="20" t="n"/>
      <c r="B466" s="16" t="n"/>
      <c r="C466" s="16" t="n"/>
      <c r="D466" s="13" t="n"/>
    </row>
    <row r="467">
      <c r="A467" s="20" t="n"/>
      <c r="B467" s="16" t="n"/>
      <c r="C467" s="16" t="n"/>
      <c r="D467" s="13" t="n"/>
    </row>
    <row r="468">
      <c r="A468" s="20" t="n"/>
      <c r="B468" s="16" t="n"/>
      <c r="C468" s="16" t="n"/>
      <c r="D468" s="13" t="n"/>
    </row>
    <row r="469">
      <c r="A469" s="20" t="n"/>
      <c r="B469" s="16" t="n"/>
      <c r="C469" s="16" t="n"/>
      <c r="D469" s="13" t="n"/>
    </row>
    <row r="470">
      <c r="A470" s="20" t="n"/>
      <c r="B470" s="16" t="n"/>
      <c r="C470" s="16" t="n"/>
      <c r="D470" s="13" t="n"/>
    </row>
    <row r="471">
      <c r="A471" s="20" t="n"/>
      <c r="B471" s="16" t="n"/>
      <c r="C471" s="16" t="n"/>
      <c r="D471" s="13" t="n"/>
    </row>
    <row r="472">
      <c r="A472" s="20" t="n"/>
      <c r="B472" s="16" t="n"/>
      <c r="C472" s="16" t="n"/>
      <c r="D472" s="13" t="n"/>
    </row>
    <row r="473">
      <c r="A473" s="20" t="n"/>
      <c r="B473" s="16" t="n"/>
      <c r="C473" s="16" t="n"/>
      <c r="D473" s="13" t="n"/>
    </row>
    <row r="474">
      <c r="A474" s="20" t="n"/>
      <c r="B474" s="16" t="n"/>
      <c r="C474" s="16" t="n"/>
      <c r="D474" s="13" t="n"/>
    </row>
    <row r="475">
      <c r="A475" s="20" t="n"/>
      <c r="B475" s="16" t="n"/>
      <c r="C475" s="16" t="n"/>
      <c r="D475" s="13" t="n"/>
    </row>
    <row r="476">
      <c r="A476" s="20" t="n"/>
      <c r="B476" s="16" t="n"/>
      <c r="C476" s="16" t="n"/>
      <c r="D476" s="13" t="n"/>
    </row>
    <row r="477">
      <c r="A477" s="20" t="n"/>
      <c r="B477" s="16" t="n"/>
      <c r="C477" s="16" t="n"/>
      <c r="D477" s="13" t="n"/>
    </row>
    <row r="478">
      <c r="A478" s="20" t="n"/>
      <c r="B478" s="16" t="n"/>
      <c r="C478" s="16" t="n"/>
      <c r="D478" s="13" t="n"/>
    </row>
    <row r="479">
      <c r="A479" s="20" t="n"/>
      <c r="B479" s="16" t="n"/>
      <c r="C479" s="16" t="n"/>
      <c r="D479" s="13" t="n"/>
    </row>
    <row r="480">
      <c r="A480" s="20" t="n"/>
      <c r="B480" s="16" t="n"/>
      <c r="C480" s="16" t="n"/>
      <c r="D480" s="13" t="n"/>
    </row>
    <row r="481">
      <c r="A481" s="20" t="n"/>
      <c r="B481" s="16" t="n"/>
      <c r="C481" s="16" t="n"/>
      <c r="D481" s="13" t="n"/>
    </row>
    <row r="482">
      <c r="A482" s="20" t="n"/>
      <c r="B482" s="16" t="n"/>
      <c r="C482" s="16" t="n"/>
      <c r="D482" s="13" t="n"/>
    </row>
    <row r="483">
      <c r="A483" s="20" t="n"/>
      <c r="B483" s="16" t="n"/>
      <c r="C483" s="16" t="n"/>
      <c r="D483" s="13" t="n"/>
    </row>
    <row r="484">
      <c r="A484" s="20" t="n"/>
      <c r="B484" s="16" t="n"/>
      <c r="C484" s="16" t="n"/>
      <c r="D484" s="13" t="n"/>
    </row>
    <row r="485">
      <c r="A485" s="20" t="n"/>
      <c r="B485" s="16" t="n"/>
      <c r="C485" s="16" t="n"/>
      <c r="D485" s="13" t="n"/>
    </row>
    <row r="486">
      <c r="A486" s="20" t="n"/>
      <c r="B486" s="16" t="n"/>
      <c r="C486" s="16" t="n"/>
      <c r="D486" s="13" t="n"/>
    </row>
    <row r="487">
      <c r="A487" s="20" t="n"/>
      <c r="B487" s="16" t="n"/>
      <c r="C487" s="16" t="n"/>
      <c r="D487" s="13" t="n"/>
    </row>
    <row r="488">
      <c r="A488" s="20" t="n"/>
      <c r="B488" s="16" t="n"/>
      <c r="C488" s="16" t="n"/>
      <c r="D488" s="13" t="n"/>
    </row>
    <row r="489">
      <c r="A489" s="20" t="n"/>
      <c r="B489" s="16" t="n"/>
      <c r="C489" s="16" t="n"/>
      <c r="D489" s="13" t="n"/>
    </row>
    <row r="490">
      <c r="A490" s="20" t="n"/>
      <c r="B490" s="16" t="n"/>
      <c r="C490" s="16" t="n"/>
      <c r="D490" s="13" t="n"/>
    </row>
    <row r="491">
      <c r="A491" s="20" t="n"/>
      <c r="B491" s="16" t="n"/>
      <c r="C491" s="16" t="n"/>
      <c r="D491" s="13" t="n"/>
    </row>
    <row r="492">
      <c r="A492" s="20" t="n"/>
      <c r="B492" s="16" t="n"/>
      <c r="C492" s="16" t="n"/>
      <c r="D492" s="13" t="n"/>
    </row>
    <row r="493">
      <c r="A493" s="20" t="n"/>
      <c r="B493" s="16" t="n"/>
      <c r="C493" s="16" t="n"/>
      <c r="D493" s="13" t="n"/>
    </row>
    <row r="494">
      <c r="A494" s="20" t="n"/>
      <c r="B494" s="16" t="n"/>
      <c r="C494" s="16" t="n"/>
      <c r="D494" s="13" t="n"/>
    </row>
    <row r="495">
      <c r="A495" s="20" t="n"/>
      <c r="B495" s="16" t="n"/>
      <c r="C495" s="16" t="n"/>
      <c r="D495" s="13" t="n"/>
    </row>
    <row r="496">
      <c r="A496" s="20" t="n"/>
      <c r="B496" s="16" t="n"/>
      <c r="C496" s="16" t="n"/>
      <c r="D496" s="13" t="n"/>
    </row>
    <row r="497">
      <c r="A497" s="20" t="n"/>
      <c r="B497" s="16" t="n"/>
      <c r="C497" s="16" t="n"/>
      <c r="D497" s="13" t="n"/>
    </row>
    <row r="498">
      <c r="A498" s="20" t="n"/>
      <c r="B498" s="16" t="n"/>
      <c r="C498" s="16" t="n"/>
      <c r="D498" s="13" t="n"/>
    </row>
    <row r="499">
      <c r="A499" s="20" t="n"/>
      <c r="B499" s="16" t="n"/>
      <c r="C499" s="16" t="n"/>
      <c r="D499" s="13" t="n"/>
    </row>
    <row r="500">
      <c r="A500" s="20" t="n"/>
      <c r="B500" s="16" t="n"/>
      <c r="C500" s="16" t="n"/>
      <c r="D500" s="13" t="n"/>
    </row>
    <row r="501">
      <c r="A501" s="20" t="n"/>
      <c r="B501" s="16" t="n"/>
      <c r="C501" s="16" t="n"/>
      <c r="D501" s="13" t="n"/>
    </row>
    <row r="502">
      <c r="A502" s="20" t="n"/>
      <c r="B502" s="16" t="n"/>
      <c r="C502" s="16" t="n"/>
      <c r="D502" s="13" t="n"/>
    </row>
    <row r="503">
      <c r="A503" s="20" t="n"/>
      <c r="B503" s="16" t="n"/>
      <c r="C503" s="16" t="n"/>
      <c r="D503" s="13" t="n"/>
    </row>
    <row r="504">
      <c r="A504" s="20" t="n"/>
      <c r="B504" s="16" t="n"/>
      <c r="C504" s="16" t="n"/>
      <c r="D504" s="13" t="n"/>
    </row>
  </sheetData>
  <dataValidations count="1">
    <dataValidation sqref="B5:B504" showDropDown="0" showInputMessage="0" showErrorMessage="0" allowBlank="1" type="list">
      <formula1>"بضاعة,شحن وجمرك,إعلانات,تغليف,توصيل,تصميم وطباعة,اشتراكات وأدوات,تسجيل ورسوم,أخرى"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8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4" customWidth="1" min="11" max="11"/>
    <col width="22" customWidth="1" min="13" max="13"/>
    <col width="14" customWidth="1" min="14" max="14"/>
  </cols>
  <sheetData>
    <row r="1">
      <c r="A1" s="1" t="inlineStr">
        <is>
          <t>متابعة أداء الإعلانات</t>
        </is>
      </c>
    </row>
    <row r="2">
      <c r="A2" s="8" t="inlineStr">
        <is>
          <t>سجل أرقام كل حملة أسبوعياً من Meta Ads Manager. هاي الصفحة للمتابعة، والصرف الحقيقي سجله بصفحة المصاريف.</t>
        </is>
      </c>
    </row>
    <row r="4" ht="32" customHeight="1">
      <c r="A4" s="15" t="inlineStr">
        <is>
          <t>بداية الأسبوع</t>
        </is>
      </c>
      <c r="B4" s="15" t="inlineStr">
        <is>
          <t>اسم الحملة</t>
        </is>
      </c>
      <c r="C4" s="15" t="inlineStr">
        <is>
          <t>المنصة</t>
        </is>
      </c>
      <c r="D4" s="15" t="inlineStr">
        <is>
          <t>الصرف (دينار)</t>
        </is>
      </c>
      <c r="E4" s="15" t="inlineStr">
        <is>
          <t>الوصول (Reach)</t>
        </is>
      </c>
      <c r="F4" s="15" t="inlineStr">
        <is>
          <t>الرسائل</t>
        </is>
      </c>
      <c r="G4" s="15" t="inlineStr">
        <is>
          <t>الطلبات</t>
        </is>
      </c>
      <c r="H4" s="15" t="inlineStr">
        <is>
          <t>المبيعات (دينار)</t>
        </is>
      </c>
      <c r="I4" s="15" t="inlineStr">
        <is>
          <t>تكلفة الرسالة</t>
        </is>
      </c>
      <c r="J4" s="15" t="inlineStr">
        <is>
          <t>تكلفة الطلب</t>
        </is>
      </c>
      <c r="K4" s="15" t="inlineStr">
        <is>
          <t>العائد على الإعلان (ROAS)</t>
        </is>
      </c>
      <c r="M4" s="2" t="inlineStr">
        <is>
          <t>الإجمالي</t>
        </is>
      </c>
    </row>
    <row r="5">
      <c r="A5" s="20" t="n">
        <v>46301</v>
      </c>
      <c r="B5" s="16" t="inlineStr">
        <is>
          <t>إطلاق – فيديو النقرة (مثال – امسحه)</t>
        </is>
      </c>
      <c r="C5" s="16" t="inlineStr">
        <is>
          <t>انستغرام + فيسبوك</t>
        </is>
      </c>
      <c r="D5" s="13" t="n">
        <v>35</v>
      </c>
      <c r="E5" s="21" t="n">
        <v>12000</v>
      </c>
      <c r="F5" s="16" t="n">
        <v>40</v>
      </c>
      <c r="G5" s="16" t="n">
        <v>9</v>
      </c>
      <c r="H5" s="13" t="n">
        <v>160</v>
      </c>
      <c r="I5" s="13">
        <f>IF(OR(D5="",F5=0,F5=""),"",D5/F5)</f>
        <v/>
      </c>
      <c r="J5" s="13">
        <f>IF(OR(D5="",G5=0,G5=""),"",D5/G5)</f>
        <v/>
      </c>
      <c r="K5" s="25">
        <f>IF(OR(D5="",D5=0),"",H5/D5)</f>
        <v/>
      </c>
      <c r="M5" s="16" t="inlineStr">
        <is>
          <t>إجمالي الصرف</t>
        </is>
      </c>
      <c r="N5" s="17">
        <f>SUM(D5:D208)</f>
        <v/>
      </c>
    </row>
    <row r="6">
      <c r="A6" s="20" t="n"/>
      <c r="B6" s="16" t="n"/>
      <c r="C6" s="16" t="n"/>
      <c r="D6" s="13" t="n"/>
      <c r="E6" s="21" t="n"/>
      <c r="F6" s="16" t="n"/>
      <c r="G6" s="16" t="n"/>
      <c r="H6" s="13" t="n"/>
      <c r="I6" s="13">
        <f>IF(OR(D6="",F6=0,F6=""),"",D6/F6)</f>
        <v/>
      </c>
      <c r="J6" s="13">
        <f>IF(OR(D6="",G6=0,G6=""),"",D6/G6)</f>
        <v/>
      </c>
      <c r="K6" s="25">
        <f>IF(OR(D6="",D6=0),"",H6/D6)</f>
        <v/>
      </c>
      <c r="M6" s="16" t="inlineStr">
        <is>
          <t>إجمالي الطلبات</t>
        </is>
      </c>
      <c r="N6" s="19">
        <f>SUM(G5:G208)</f>
        <v/>
      </c>
    </row>
    <row r="7">
      <c r="A7" s="20" t="n"/>
      <c r="B7" s="16" t="n"/>
      <c r="C7" s="16" t="n"/>
      <c r="D7" s="13" t="n"/>
      <c r="E7" s="21" t="n"/>
      <c r="F7" s="16" t="n"/>
      <c r="G7" s="16" t="n"/>
      <c r="H7" s="13" t="n"/>
      <c r="I7" s="13">
        <f>IF(OR(D7="",F7=0,F7=""),"",D7/F7)</f>
        <v/>
      </c>
      <c r="J7" s="13">
        <f>IF(OR(D7="",G7=0,G7=""),"",D7/G7)</f>
        <v/>
      </c>
      <c r="K7" s="25">
        <f>IF(OR(D7="",D7=0),"",H7/D7)</f>
        <v/>
      </c>
      <c r="M7" s="16" t="inlineStr">
        <is>
          <t>متوسط تكلفة الطلب</t>
        </is>
      </c>
      <c r="N7" s="17">
        <f>IFERROR(N5/N6,0)</f>
        <v/>
      </c>
    </row>
    <row r="8">
      <c r="A8" s="20" t="n"/>
      <c r="B8" s="16" t="n"/>
      <c r="C8" s="16" t="n"/>
      <c r="D8" s="13" t="n"/>
      <c r="E8" s="21" t="n"/>
      <c r="F8" s="16" t="n"/>
      <c r="G8" s="16" t="n"/>
      <c r="H8" s="13" t="n"/>
      <c r="I8" s="13">
        <f>IF(OR(D8="",F8=0,F8=""),"",D8/F8)</f>
        <v/>
      </c>
      <c r="J8" s="13">
        <f>IF(OR(D8="",G8=0,G8=""),"",D8/G8)</f>
        <v/>
      </c>
      <c r="K8" s="25">
        <f>IF(OR(D8="",D8=0),"",H8/D8)</f>
        <v/>
      </c>
      <c r="M8" s="16" t="inlineStr">
        <is>
          <t>إجمالي المبيعات من الإعلانات</t>
        </is>
      </c>
      <c r="N8" s="17">
        <f>SUM(H5:H208)</f>
        <v/>
      </c>
    </row>
    <row r="9">
      <c r="A9" s="20" t="n"/>
      <c r="B9" s="16" t="n"/>
      <c r="C9" s="16" t="n"/>
      <c r="D9" s="13" t="n"/>
      <c r="E9" s="21" t="n"/>
      <c r="F9" s="16" t="n"/>
      <c r="G9" s="16" t="n"/>
      <c r="H9" s="13" t="n"/>
      <c r="I9" s="13">
        <f>IF(OR(D9="",F9=0,F9=""),"",D9/F9)</f>
        <v/>
      </c>
      <c r="J9" s="13">
        <f>IF(OR(D9="",G9=0,G9=""),"",D9/G9)</f>
        <v/>
      </c>
      <c r="K9" s="25">
        <f>IF(OR(D9="",D9=0),"",H9/D9)</f>
        <v/>
      </c>
      <c r="M9" s="16" t="inlineStr">
        <is>
          <t>العائد الكلي (ROAS)</t>
        </is>
      </c>
      <c r="N9" s="26">
        <f>IFERROR(N8/N5,0)</f>
        <v/>
      </c>
    </row>
    <row r="10">
      <c r="A10" s="20" t="n"/>
      <c r="B10" s="16" t="n"/>
      <c r="C10" s="16" t="n"/>
      <c r="D10" s="13" t="n"/>
      <c r="E10" s="21" t="n"/>
      <c r="F10" s="16" t="n"/>
      <c r="G10" s="16" t="n"/>
      <c r="H10" s="13" t="n"/>
      <c r="I10" s="13">
        <f>IF(OR(D10="",F10=0,F10=""),"",D10/F10)</f>
        <v/>
      </c>
      <c r="J10" s="13">
        <f>IF(OR(D10="",G10=0,G10=""),"",D10/G10)</f>
        <v/>
      </c>
      <c r="K10" s="25">
        <f>IF(OR(D10="",D10=0),"",H10/D10)</f>
        <v/>
      </c>
    </row>
    <row r="11">
      <c r="A11" s="20" t="n"/>
      <c r="B11" s="16" t="n"/>
      <c r="C11" s="16" t="n"/>
      <c r="D11" s="13" t="n"/>
      <c r="E11" s="21" t="n"/>
      <c r="F11" s="16" t="n"/>
      <c r="G11" s="16" t="n"/>
      <c r="H11" s="13" t="n"/>
      <c r="I11" s="13">
        <f>IF(OR(D11="",F11=0,F11=""),"",D11/F11)</f>
        <v/>
      </c>
      <c r="J11" s="13">
        <f>IF(OR(D11="",G11=0,G11=""),"",D11/G11)</f>
        <v/>
      </c>
      <c r="K11" s="25">
        <f>IF(OR(D11="",D11=0),"",H11/D11)</f>
        <v/>
      </c>
    </row>
    <row r="12">
      <c r="A12" s="20" t="n"/>
      <c r="B12" s="16" t="n"/>
      <c r="C12" s="16" t="n"/>
      <c r="D12" s="13" t="n"/>
      <c r="E12" s="21" t="n"/>
      <c r="F12" s="16" t="n"/>
      <c r="G12" s="16" t="n"/>
      <c r="H12" s="13" t="n"/>
      <c r="I12" s="13">
        <f>IF(OR(D12="",F12=0,F12=""),"",D12/F12)</f>
        <v/>
      </c>
      <c r="J12" s="13">
        <f>IF(OR(D12="",G12=0,G12=""),"",D12/G12)</f>
        <v/>
      </c>
      <c r="K12" s="25">
        <f>IF(OR(D12="",D12=0),"",H12/D12)</f>
        <v/>
      </c>
    </row>
    <row r="13">
      <c r="A13" s="20" t="n"/>
      <c r="B13" s="16" t="n"/>
      <c r="C13" s="16" t="n"/>
      <c r="D13" s="13" t="n"/>
      <c r="E13" s="21" t="n"/>
      <c r="F13" s="16" t="n"/>
      <c r="G13" s="16" t="n"/>
      <c r="H13" s="13" t="n"/>
      <c r="I13" s="13">
        <f>IF(OR(D13="",F13=0,F13=""),"",D13/F13)</f>
        <v/>
      </c>
      <c r="J13" s="13">
        <f>IF(OR(D13="",G13=0,G13=""),"",D13/G13)</f>
        <v/>
      </c>
      <c r="K13" s="25">
        <f>IF(OR(D13="",D13=0),"",H13/D13)</f>
        <v/>
      </c>
    </row>
    <row r="14">
      <c r="A14" s="20" t="n"/>
      <c r="B14" s="16" t="n"/>
      <c r="C14" s="16" t="n"/>
      <c r="D14" s="13" t="n"/>
      <c r="E14" s="21" t="n"/>
      <c r="F14" s="16" t="n"/>
      <c r="G14" s="16" t="n"/>
      <c r="H14" s="13" t="n"/>
      <c r="I14" s="13">
        <f>IF(OR(D14="",F14=0,F14=""),"",D14/F14)</f>
        <v/>
      </c>
      <c r="J14" s="13">
        <f>IF(OR(D14="",G14=0,G14=""),"",D14/G14)</f>
        <v/>
      </c>
      <c r="K14" s="25">
        <f>IF(OR(D14="",D14=0),"",H14/D14)</f>
        <v/>
      </c>
    </row>
    <row r="15">
      <c r="A15" s="20" t="n"/>
      <c r="B15" s="16" t="n"/>
      <c r="C15" s="16" t="n"/>
      <c r="D15" s="13" t="n"/>
      <c r="E15" s="21" t="n"/>
      <c r="F15" s="16" t="n"/>
      <c r="G15" s="16" t="n"/>
      <c r="H15" s="13" t="n"/>
      <c r="I15" s="13">
        <f>IF(OR(D15="",F15=0,F15=""),"",D15/F15)</f>
        <v/>
      </c>
      <c r="J15" s="13">
        <f>IF(OR(D15="",G15=0,G15=""),"",D15/G15)</f>
        <v/>
      </c>
      <c r="K15" s="25">
        <f>IF(OR(D15="",D15=0),"",H15/D15)</f>
        <v/>
      </c>
    </row>
    <row r="16">
      <c r="A16" s="20" t="n"/>
      <c r="B16" s="16" t="n"/>
      <c r="C16" s="16" t="n"/>
      <c r="D16" s="13" t="n"/>
      <c r="E16" s="21" t="n"/>
      <c r="F16" s="16" t="n"/>
      <c r="G16" s="16" t="n"/>
      <c r="H16" s="13" t="n"/>
      <c r="I16" s="13">
        <f>IF(OR(D16="",F16=0,F16=""),"",D16/F16)</f>
        <v/>
      </c>
      <c r="J16" s="13">
        <f>IF(OR(D16="",G16=0,G16=""),"",D16/G16)</f>
        <v/>
      </c>
      <c r="K16" s="25">
        <f>IF(OR(D16="",D16=0),"",H16/D16)</f>
        <v/>
      </c>
    </row>
    <row r="17">
      <c r="A17" s="20" t="n"/>
      <c r="B17" s="16" t="n"/>
      <c r="C17" s="16" t="n"/>
      <c r="D17" s="13" t="n"/>
      <c r="E17" s="21" t="n"/>
      <c r="F17" s="16" t="n"/>
      <c r="G17" s="16" t="n"/>
      <c r="H17" s="13" t="n"/>
      <c r="I17" s="13">
        <f>IF(OR(D17="",F17=0,F17=""),"",D17/F17)</f>
        <v/>
      </c>
      <c r="J17" s="13">
        <f>IF(OR(D17="",G17=0,G17=""),"",D17/G17)</f>
        <v/>
      </c>
      <c r="K17" s="25">
        <f>IF(OR(D17="",D17=0),"",H17/D17)</f>
        <v/>
      </c>
    </row>
    <row r="18">
      <c r="A18" s="20" t="n"/>
      <c r="B18" s="16" t="n"/>
      <c r="C18" s="16" t="n"/>
      <c r="D18" s="13" t="n"/>
      <c r="E18" s="21" t="n"/>
      <c r="F18" s="16" t="n"/>
      <c r="G18" s="16" t="n"/>
      <c r="H18" s="13" t="n"/>
      <c r="I18" s="13">
        <f>IF(OR(D18="",F18=0,F18=""),"",D18/F18)</f>
        <v/>
      </c>
      <c r="J18" s="13">
        <f>IF(OR(D18="",G18=0,G18=""),"",D18/G18)</f>
        <v/>
      </c>
      <c r="K18" s="25">
        <f>IF(OR(D18="",D18=0),"",H18/D18)</f>
        <v/>
      </c>
    </row>
    <row r="19">
      <c r="A19" s="20" t="n"/>
      <c r="B19" s="16" t="n"/>
      <c r="C19" s="16" t="n"/>
      <c r="D19" s="13" t="n"/>
      <c r="E19" s="21" t="n"/>
      <c r="F19" s="16" t="n"/>
      <c r="G19" s="16" t="n"/>
      <c r="H19" s="13" t="n"/>
      <c r="I19" s="13">
        <f>IF(OR(D19="",F19=0,F19=""),"",D19/F19)</f>
        <v/>
      </c>
      <c r="J19" s="13">
        <f>IF(OR(D19="",G19=0,G19=""),"",D19/G19)</f>
        <v/>
      </c>
      <c r="K19" s="25">
        <f>IF(OR(D19="",D19=0),"",H19/D19)</f>
        <v/>
      </c>
    </row>
    <row r="20">
      <c r="A20" s="20" t="n"/>
      <c r="B20" s="16" t="n"/>
      <c r="C20" s="16" t="n"/>
      <c r="D20" s="13" t="n"/>
      <c r="E20" s="21" t="n"/>
      <c r="F20" s="16" t="n"/>
      <c r="G20" s="16" t="n"/>
      <c r="H20" s="13" t="n"/>
      <c r="I20" s="13">
        <f>IF(OR(D20="",F20=0,F20=""),"",D20/F20)</f>
        <v/>
      </c>
      <c r="J20" s="13">
        <f>IF(OR(D20="",G20=0,G20=""),"",D20/G20)</f>
        <v/>
      </c>
      <c r="K20" s="25">
        <f>IF(OR(D20="",D20=0),"",H20/D20)</f>
        <v/>
      </c>
    </row>
    <row r="21">
      <c r="A21" s="20" t="n"/>
      <c r="B21" s="16" t="n"/>
      <c r="C21" s="16" t="n"/>
      <c r="D21" s="13" t="n"/>
      <c r="E21" s="21" t="n"/>
      <c r="F21" s="16" t="n"/>
      <c r="G21" s="16" t="n"/>
      <c r="H21" s="13" t="n"/>
      <c r="I21" s="13">
        <f>IF(OR(D21="",F21=0,F21=""),"",D21/F21)</f>
        <v/>
      </c>
      <c r="J21" s="13">
        <f>IF(OR(D21="",G21=0,G21=""),"",D21/G21)</f>
        <v/>
      </c>
      <c r="K21" s="25">
        <f>IF(OR(D21="",D21=0),"",H21/D21)</f>
        <v/>
      </c>
    </row>
    <row r="22">
      <c r="A22" s="20" t="n"/>
      <c r="B22" s="16" t="n"/>
      <c r="C22" s="16" t="n"/>
      <c r="D22" s="13" t="n"/>
      <c r="E22" s="21" t="n"/>
      <c r="F22" s="16" t="n"/>
      <c r="G22" s="16" t="n"/>
      <c r="H22" s="13" t="n"/>
      <c r="I22" s="13">
        <f>IF(OR(D22="",F22=0,F22=""),"",D22/F22)</f>
        <v/>
      </c>
      <c r="J22" s="13">
        <f>IF(OR(D22="",G22=0,G22=""),"",D22/G22)</f>
        <v/>
      </c>
      <c r="K22" s="25">
        <f>IF(OR(D22="",D22=0),"",H22/D22)</f>
        <v/>
      </c>
    </row>
    <row r="23">
      <c r="A23" s="20" t="n"/>
      <c r="B23" s="16" t="n"/>
      <c r="C23" s="16" t="n"/>
      <c r="D23" s="13" t="n"/>
      <c r="E23" s="21" t="n"/>
      <c r="F23" s="16" t="n"/>
      <c r="G23" s="16" t="n"/>
      <c r="H23" s="13" t="n"/>
      <c r="I23" s="13">
        <f>IF(OR(D23="",F23=0,F23=""),"",D23/F23)</f>
        <v/>
      </c>
      <c r="J23" s="13">
        <f>IF(OR(D23="",G23=0,G23=""),"",D23/G23)</f>
        <v/>
      </c>
      <c r="K23" s="25">
        <f>IF(OR(D23="",D23=0),"",H23/D23)</f>
        <v/>
      </c>
    </row>
    <row r="24">
      <c r="A24" s="20" t="n"/>
      <c r="B24" s="16" t="n"/>
      <c r="C24" s="16" t="n"/>
      <c r="D24" s="13" t="n"/>
      <c r="E24" s="21" t="n"/>
      <c r="F24" s="16" t="n"/>
      <c r="G24" s="16" t="n"/>
      <c r="H24" s="13" t="n"/>
      <c r="I24" s="13">
        <f>IF(OR(D24="",F24=0,F24=""),"",D24/F24)</f>
        <v/>
      </c>
      <c r="J24" s="13">
        <f>IF(OR(D24="",G24=0,G24=""),"",D24/G24)</f>
        <v/>
      </c>
      <c r="K24" s="25">
        <f>IF(OR(D24="",D24=0),"",H24/D24)</f>
        <v/>
      </c>
    </row>
    <row r="25">
      <c r="A25" s="20" t="n"/>
      <c r="B25" s="16" t="n"/>
      <c r="C25" s="16" t="n"/>
      <c r="D25" s="13" t="n"/>
      <c r="E25" s="21" t="n"/>
      <c r="F25" s="16" t="n"/>
      <c r="G25" s="16" t="n"/>
      <c r="H25" s="13" t="n"/>
      <c r="I25" s="13">
        <f>IF(OR(D25="",F25=0,F25=""),"",D25/F25)</f>
        <v/>
      </c>
      <c r="J25" s="13">
        <f>IF(OR(D25="",G25=0,G25=""),"",D25/G25)</f>
        <v/>
      </c>
      <c r="K25" s="25">
        <f>IF(OR(D25="",D25=0),"",H25/D25)</f>
        <v/>
      </c>
    </row>
    <row r="26">
      <c r="A26" s="20" t="n"/>
      <c r="B26" s="16" t="n"/>
      <c r="C26" s="16" t="n"/>
      <c r="D26" s="13" t="n"/>
      <c r="E26" s="21" t="n"/>
      <c r="F26" s="16" t="n"/>
      <c r="G26" s="16" t="n"/>
      <c r="H26" s="13" t="n"/>
      <c r="I26" s="13">
        <f>IF(OR(D26="",F26=0,F26=""),"",D26/F26)</f>
        <v/>
      </c>
      <c r="J26" s="13">
        <f>IF(OR(D26="",G26=0,G26=""),"",D26/G26)</f>
        <v/>
      </c>
      <c r="K26" s="25">
        <f>IF(OR(D26="",D26=0),"",H26/D26)</f>
        <v/>
      </c>
    </row>
    <row r="27">
      <c r="A27" s="20" t="n"/>
      <c r="B27" s="16" t="n"/>
      <c r="C27" s="16" t="n"/>
      <c r="D27" s="13" t="n"/>
      <c r="E27" s="21" t="n"/>
      <c r="F27" s="16" t="n"/>
      <c r="G27" s="16" t="n"/>
      <c r="H27" s="13" t="n"/>
      <c r="I27" s="13">
        <f>IF(OR(D27="",F27=0,F27=""),"",D27/F27)</f>
        <v/>
      </c>
      <c r="J27" s="13">
        <f>IF(OR(D27="",G27=0,G27=""),"",D27/G27)</f>
        <v/>
      </c>
      <c r="K27" s="25">
        <f>IF(OR(D27="",D27=0),"",H27/D27)</f>
        <v/>
      </c>
    </row>
    <row r="28">
      <c r="A28" s="20" t="n"/>
      <c r="B28" s="16" t="n"/>
      <c r="C28" s="16" t="n"/>
      <c r="D28" s="13" t="n"/>
      <c r="E28" s="21" t="n"/>
      <c r="F28" s="16" t="n"/>
      <c r="G28" s="16" t="n"/>
      <c r="H28" s="13" t="n"/>
      <c r="I28" s="13">
        <f>IF(OR(D28="",F28=0,F28=""),"",D28/F28)</f>
        <v/>
      </c>
      <c r="J28" s="13">
        <f>IF(OR(D28="",G28=0,G28=""),"",D28/G28)</f>
        <v/>
      </c>
      <c r="K28" s="25">
        <f>IF(OR(D28="",D28=0),"",H28/D28)</f>
        <v/>
      </c>
    </row>
    <row r="29">
      <c r="A29" s="20" t="n"/>
      <c r="B29" s="16" t="n"/>
      <c r="C29" s="16" t="n"/>
      <c r="D29" s="13" t="n"/>
      <c r="E29" s="21" t="n"/>
      <c r="F29" s="16" t="n"/>
      <c r="G29" s="16" t="n"/>
      <c r="H29" s="13" t="n"/>
      <c r="I29" s="13">
        <f>IF(OR(D29="",F29=0,F29=""),"",D29/F29)</f>
        <v/>
      </c>
      <c r="J29" s="13">
        <f>IF(OR(D29="",G29=0,G29=""),"",D29/G29)</f>
        <v/>
      </c>
      <c r="K29" s="25">
        <f>IF(OR(D29="",D29=0),"",H29/D29)</f>
        <v/>
      </c>
    </row>
    <row r="30">
      <c r="A30" s="20" t="n"/>
      <c r="B30" s="16" t="n"/>
      <c r="C30" s="16" t="n"/>
      <c r="D30" s="13" t="n"/>
      <c r="E30" s="21" t="n"/>
      <c r="F30" s="16" t="n"/>
      <c r="G30" s="16" t="n"/>
      <c r="H30" s="13" t="n"/>
      <c r="I30" s="13">
        <f>IF(OR(D30="",F30=0,F30=""),"",D30/F30)</f>
        <v/>
      </c>
      <c r="J30" s="13">
        <f>IF(OR(D30="",G30=0,G30=""),"",D30/G30)</f>
        <v/>
      </c>
      <c r="K30" s="25">
        <f>IF(OR(D30="",D30=0),"",H30/D30)</f>
        <v/>
      </c>
    </row>
    <row r="31">
      <c r="A31" s="20" t="n"/>
      <c r="B31" s="16" t="n"/>
      <c r="C31" s="16" t="n"/>
      <c r="D31" s="13" t="n"/>
      <c r="E31" s="21" t="n"/>
      <c r="F31" s="16" t="n"/>
      <c r="G31" s="16" t="n"/>
      <c r="H31" s="13" t="n"/>
      <c r="I31" s="13">
        <f>IF(OR(D31="",F31=0,F31=""),"",D31/F31)</f>
        <v/>
      </c>
      <c r="J31" s="13">
        <f>IF(OR(D31="",G31=0,G31=""),"",D31/G31)</f>
        <v/>
      </c>
      <c r="K31" s="25">
        <f>IF(OR(D31="",D31=0),"",H31/D31)</f>
        <v/>
      </c>
    </row>
    <row r="32">
      <c r="A32" s="20" t="n"/>
      <c r="B32" s="16" t="n"/>
      <c r="C32" s="16" t="n"/>
      <c r="D32" s="13" t="n"/>
      <c r="E32" s="21" t="n"/>
      <c r="F32" s="16" t="n"/>
      <c r="G32" s="16" t="n"/>
      <c r="H32" s="13" t="n"/>
      <c r="I32" s="13">
        <f>IF(OR(D32="",F32=0,F32=""),"",D32/F32)</f>
        <v/>
      </c>
      <c r="J32" s="13">
        <f>IF(OR(D32="",G32=0,G32=""),"",D32/G32)</f>
        <v/>
      </c>
      <c r="K32" s="25">
        <f>IF(OR(D32="",D32=0),"",H32/D32)</f>
        <v/>
      </c>
    </row>
    <row r="33">
      <c r="A33" s="20" t="n"/>
      <c r="B33" s="16" t="n"/>
      <c r="C33" s="16" t="n"/>
      <c r="D33" s="13" t="n"/>
      <c r="E33" s="21" t="n"/>
      <c r="F33" s="16" t="n"/>
      <c r="G33" s="16" t="n"/>
      <c r="H33" s="13" t="n"/>
      <c r="I33" s="13">
        <f>IF(OR(D33="",F33=0,F33=""),"",D33/F33)</f>
        <v/>
      </c>
      <c r="J33" s="13">
        <f>IF(OR(D33="",G33=0,G33=""),"",D33/G33)</f>
        <v/>
      </c>
      <c r="K33" s="25">
        <f>IF(OR(D33="",D33=0),"",H33/D33)</f>
        <v/>
      </c>
    </row>
    <row r="34">
      <c r="A34" s="20" t="n"/>
      <c r="B34" s="16" t="n"/>
      <c r="C34" s="16" t="n"/>
      <c r="D34" s="13" t="n"/>
      <c r="E34" s="21" t="n"/>
      <c r="F34" s="16" t="n"/>
      <c r="G34" s="16" t="n"/>
      <c r="H34" s="13" t="n"/>
      <c r="I34" s="13">
        <f>IF(OR(D34="",F34=0,F34=""),"",D34/F34)</f>
        <v/>
      </c>
      <c r="J34" s="13">
        <f>IF(OR(D34="",G34=0,G34=""),"",D34/G34)</f>
        <v/>
      </c>
      <c r="K34" s="25">
        <f>IF(OR(D34="",D34=0),"",H34/D34)</f>
        <v/>
      </c>
    </row>
    <row r="35">
      <c r="A35" s="20" t="n"/>
      <c r="B35" s="16" t="n"/>
      <c r="C35" s="16" t="n"/>
      <c r="D35" s="13" t="n"/>
      <c r="E35" s="21" t="n"/>
      <c r="F35" s="16" t="n"/>
      <c r="G35" s="16" t="n"/>
      <c r="H35" s="13" t="n"/>
      <c r="I35" s="13">
        <f>IF(OR(D35="",F35=0,F35=""),"",D35/F35)</f>
        <v/>
      </c>
      <c r="J35" s="13">
        <f>IF(OR(D35="",G35=0,G35=""),"",D35/G35)</f>
        <v/>
      </c>
      <c r="K35" s="25">
        <f>IF(OR(D35="",D35=0),"",H35/D35)</f>
        <v/>
      </c>
    </row>
    <row r="36">
      <c r="A36" s="20" t="n"/>
      <c r="B36" s="16" t="n"/>
      <c r="C36" s="16" t="n"/>
      <c r="D36" s="13" t="n"/>
      <c r="E36" s="21" t="n"/>
      <c r="F36" s="16" t="n"/>
      <c r="G36" s="16" t="n"/>
      <c r="H36" s="13" t="n"/>
      <c r="I36" s="13">
        <f>IF(OR(D36="",F36=0,F36=""),"",D36/F36)</f>
        <v/>
      </c>
      <c r="J36" s="13">
        <f>IF(OR(D36="",G36=0,G36=""),"",D36/G36)</f>
        <v/>
      </c>
      <c r="K36" s="25">
        <f>IF(OR(D36="",D36=0),"",H36/D36)</f>
        <v/>
      </c>
    </row>
    <row r="37">
      <c r="A37" s="20" t="n"/>
      <c r="B37" s="16" t="n"/>
      <c r="C37" s="16" t="n"/>
      <c r="D37" s="13" t="n"/>
      <c r="E37" s="21" t="n"/>
      <c r="F37" s="16" t="n"/>
      <c r="G37" s="16" t="n"/>
      <c r="H37" s="13" t="n"/>
      <c r="I37" s="13">
        <f>IF(OR(D37="",F37=0,F37=""),"",D37/F37)</f>
        <v/>
      </c>
      <c r="J37" s="13">
        <f>IF(OR(D37="",G37=0,G37=""),"",D37/G37)</f>
        <v/>
      </c>
      <c r="K37" s="25">
        <f>IF(OR(D37="",D37=0),"",H37/D37)</f>
        <v/>
      </c>
    </row>
    <row r="38">
      <c r="A38" s="20" t="n"/>
      <c r="B38" s="16" t="n"/>
      <c r="C38" s="16" t="n"/>
      <c r="D38" s="13" t="n"/>
      <c r="E38" s="21" t="n"/>
      <c r="F38" s="16" t="n"/>
      <c r="G38" s="16" t="n"/>
      <c r="H38" s="13" t="n"/>
      <c r="I38" s="13">
        <f>IF(OR(D38="",F38=0,F38=""),"",D38/F38)</f>
        <v/>
      </c>
      <c r="J38" s="13">
        <f>IF(OR(D38="",G38=0,G38=""),"",D38/G38)</f>
        <v/>
      </c>
      <c r="K38" s="25">
        <f>IF(OR(D38="",D38=0),"",H38/D38)</f>
        <v/>
      </c>
    </row>
    <row r="39">
      <c r="A39" s="20" t="n"/>
      <c r="B39" s="16" t="n"/>
      <c r="C39" s="16" t="n"/>
      <c r="D39" s="13" t="n"/>
      <c r="E39" s="21" t="n"/>
      <c r="F39" s="16" t="n"/>
      <c r="G39" s="16" t="n"/>
      <c r="H39" s="13" t="n"/>
      <c r="I39" s="13">
        <f>IF(OR(D39="",F39=0,F39=""),"",D39/F39)</f>
        <v/>
      </c>
      <c r="J39" s="13">
        <f>IF(OR(D39="",G39=0,G39=""),"",D39/G39)</f>
        <v/>
      </c>
      <c r="K39" s="25">
        <f>IF(OR(D39="",D39=0),"",H39/D39)</f>
        <v/>
      </c>
    </row>
    <row r="40">
      <c r="A40" s="20" t="n"/>
      <c r="B40" s="16" t="n"/>
      <c r="C40" s="16" t="n"/>
      <c r="D40" s="13" t="n"/>
      <c r="E40" s="21" t="n"/>
      <c r="F40" s="16" t="n"/>
      <c r="G40" s="16" t="n"/>
      <c r="H40" s="13" t="n"/>
      <c r="I40" s="13">
        <f>IF(OR(D40="",F40=0,F40=""),"",D40/F40)</f>
        <v/>
      </c>
      <c r="J40" s="13">
        <f>IF(OR(D40="",G40=0,G40=""),"",D40/G40)</f>
        <v/>
      </c>
      <c r="K40" s="25">
        <f>IF(OR(D40="",D40=0),"",H40/D40)</f>
        <v/>
      </c>
    </row>
    <row r="41">
      <c r="A41" s="20" t="n"/>
      <c r="B41" s="16" t="n"/>
      <c r="C41" s="16" t="n"/>
      <c r="D41" s="13" t="n"/>
      <c r="E41" s="21" t="n"/>
      <c r="F41" s="16" t="n"/>
      <c r="G41" s="16" t="n"/>
      <c r="H41" s="13" t="n"/>
      <c r="I41" s="13">
        <f>IF(OR(D41="",F41=0,F41=""),"",D41/F41)</f>
        <v/>
      </c>
      <c r="J41" s="13">
        <f>IF(OR(D41="",G41=0,G41=""),"",D41/G41)</f>
        <v/>
      </c>
      <c r="K41" s="25">
        <f>IF(OR(D41="",D41=0),"",H41/D41)</f>
        <v/>
      </c>
    </row>
    <row r="42">
      <c r="A42" s="20" t="n"/>
      <c r="B42" s="16" t="n"/>
      <c r="C42" s="16" t="n"/>
      <c r="D42" s="13" t="n"/>
      <c r="E42" s="21" t="n"/>
      <c r="F42" s="16" t="n"/>
      <c r="G42" s="16" t="n"/>
      <c r="H42" s="13" t="n"/>
      <c r="I42" s="13">
        <f>IF(OR(D42="",F42=0,F42=""),"",D42/F42)</f>
        <v/>
      </c>
      <c r="J42" s="13">
        <f>IF(OR(D42="",G42=0,G42=""),"",D42/G42)</f>
        <v/>
      </c>
      <c r="K42" s="25">
        <f>IF(OR(D42="",D42=0),"",H42/D42)</f>
        <v/>
      </c>
    </row>
    <row r="43">
      <c r="A43" s="20" t="n"/>
      <c r="B43" s="16" t="n"/>
      <c r="C43" s="16" t="n"/>
      <c r="D43" s="13" t="n"/>
      <c r="E43" s="21" t="n"/>
      <c r="F43" s="16" t="n"/>
      <c r="G43" s="16" t="n"/>
      <c r="H43" s="13" t="n"/>
      <c r="I43" s="13">
        <f>IF(OR(D43="",F43=0,F43=""),"",D43/F43)</f>
        <v/>
      </c>
      <c r="J43" s="13">
        <f>IF(OR(D43="",G43=0,G43=""),"",D43/G43)</f>
        <v/>
      </c>
      <c r="K43" s="25">
        <f>IF(OR(D43="",D43=0),"",H43/D43)</f>
        <v/>
      </c>
    </row>
    <row r="44">
      <c r="A44" s="20" t="n"/>
      <c r="B44" s="16" t="n"/>
      <c r="C44" s="16" t="n"/>
      <c r="D44" s="13" t="n"/>
      <c r="E44" s="21" t="n"/>
      <c r="F44" s="16" t="n"/>
      <c r="G44" s="16" t="n"/>
      <c r="H44" s="13" t="n"/>
      <c r="I44" s="13">
        <f>IF(OR(D44="",F44=0,F44=""),"",D44/F44)</f>
        <v/>
      </c>
      <c r="J44" s="13">
        <f>IF(OR(D44="",G44=0,G44=""),"",D44/G44)</f>
        <v/>
      </c>
      <c r="K44" s="25">
        <f>IF(OR(D44="",D44=0),"",H44/D44)</f>
        <v/>
      </c>
    </row>
    <row r="45">
      <c r="A45" s="20" t="n"/>
      <c r="B45" s="16" t="n"/>
      <c r="C45" s="16" t="n"/>
      <c r="D45" s="13" t="n"/>
      <c r="E45" s="21" t="n"/>
      <c r="F45" s="16" t="n"/>
      <c r="G45" s="16" t="n"/>
      <c r="H45" s="13" t="n"/>
      <c r="I45" s="13">
        <f>IF(OR(D45="",F45=0,F45=""),"",D45/F45)</f>
        <v/>
      </c>
      <c r="J45" s="13">
        <f>IF(OR(D45="",G45=0,G45=""),"",D45/G45)</f>
        <v/>
      </c>
      <c r="K45" s="25">
        <f>IF(OR(D45="",D45=0),"",H45/D45)</f>
        <v/>
      </c>
    </row>
    <row r="46">
      <c r="A46" s="20" t="n"/>
      <c r="B46" s="16" t="n"/>
      <c r="C46" s="16" t="n"/>
      <c r="D46" s="13" t="n"/>
      <c r="E46" s="21" t="n"/>
      <c r="F46" s="16" t="n"/>
      <c r="G46" s="16" t="n"/>
      <c r="H46" s="13" t="n"/>
      <c r="I46" s="13">
        <f>IF(OR(D46="",F46=0,F46=""),"",D46/F46)</f>
        <v/>
      </c>
      <c r="J46" s="13">
        <f>IF(OR(D46="",G46=0,G46=""),"",D46/G46)</f>
        <v/>
      </c>
      <c r="K46" s="25">
        <f>IF(OR(D46="",D46=0),"",H46/D46)</f>
        <v/>
      </c>
    </row>
    <row r="47">
      <c r="A47" s="20" t="n"/>
      <c r="B47" s="16" t="n"/>
      <c r="C47" s="16" t="n"/>
      <c r="D47" s="13" t="n"/>
      <c r="E47" s="21" t="n"/>
      <c r="F47" s="16" t="n"/>
      <c r="G47" s="16" t="n"/>
      <c r="H47" s="13" t="n"/>
      <c r="I47" s="13">
        <f>IF(OR(D47="",F47=0,F47=""),"",D47/F47)</f>
        <v/>
      </c>
      <c r="J47" s="13">
        <f>IF(OR(D47="",G47=0,G47=""),"",D47/G47)</f>
        <v/>
      </c>
      <c r="K47" s="25">
        <f>IF(OR(D47="",D47=0),"",H47/D47)</f>
        <v/>
      </c>
    </row>
    <row r="48">
      <c r="A48" s="20" t="n"/>
      <c r="B48" s="16" t="n"/>
      <c r="C48" s="16" t="n"/>
      <c r="D48" s="13" t="n"/>
      <c r="E48" s="21" t="n"/>
      <c r="F48" s="16" t="n"/>
      <c r="G48" s="16" t="n"/>
      <c r="H48" s="13" t="n"/>
      <c r="I48" s="13">
        <f>IF(OR(D48="",F48=0,F48=""),"",D48/F48)</f>
        <v/>
      </c>
      <c r="J48" s="13">
        <f>IF(OR(D48="",G48=0,G48=""),"",D48/G48)</f>
        <v/>
      </c>
      <c r="K48" s="25">
        <f>IF(OR(D48="",D48=0),"",H48/D48)</f>
        <v/>
      </c>
    </row>
    <row r="49">
      <c r="A49" s="20" t="n"/>
      <c r="B49" s="16" t="n"/>
      <c r="C49" s="16" t="n"/>
      <c r="D49" s="13" t="n"/>
      <c r="E49" s="21" t="n"/>
      <c r="F49" s="16" t="n"/>
      <c r="G49" s="16" t="n"/>
      <c r="H49" s="13" t="n"/>
      <c r="I49" s="13">
        <f>IF(OR(D49="",F49=0,F49=""),"",D49/F49)</f>
        <v/>
      </c>
      <c r="J49" s="13">
        <f>IF(OR(D49="",G49=0,G49=""),"",D49/G49)</f>
        <v/>
      </c>
      <c r="K49" s="25">
        <f>IF(OR(D49="",D49=0),"",H49/D49)</f>
        <v/>
      </c>
    </row>
    <row r="50">
      <c r="A50" s="20" t="n"/>
      <c r="B50" s="16" t="n"/>
      <c r="C50" s="16" t="n"/>
      <c r="D50" s="13" t="n"/>
      <c r="E50" s="21" t="n"/>
      <c r="F50" s="16" t="n"/>
      <c r="G50" s="16" t="n"/>
      <c r="H50" s="13" t="n"/>
      <c r="I50" s="13">
        <f>IF(OR(D50="",F50=0,F50=""),"",D50/F50)</f>
        <v/>
      </c>
      <c r="J50" s="13">
        <f>IF(OR(D50="",G50=0,G50=""),"",D50/G50)</f>
        <v/>
      </c>
      <c r="K50" s="25">
        <f>IF(OR(D50="",D50=0),"",H50/D50)</f>
        <v/>
      </c>
    </row>
    <row r="51">
      <c r="A51" s="20" t="n"/>
      <c r="B51" s="16" t="n"/>
      <c r="C51" s="16" t="n"/>
      <c r="D51" s="13" t="n"/>
      <c r="E51" s="21" t="n"/>
      <c r="F51" s="16" t="n"/>
      <c r="G51" s="16" t="n"/>
      <c r="H51" s="13" t="n"/>
      <c r="I51" s="13">
        <f>IF(OR(D51="",F51=0,F51=""),"",D51/F51)</f>
        <v/>
      </c>
      <c r="J51" s="13">
        <f>IF(OR(D51="",G51=0,G51=""),"",D51/G51)</f>
        <v/>
      </c>
      <c r="K51" s="25">
        <f>IF(OR(D51="",D51=0),"",H51/D51)</f>
        <v/>
      </c>
    </row>
    <row r="52">
      <c r="A52" s="20" t="n"/>
      <c r="B52" s="16" t="n"/>
      <c r="C52" s="16" t="n"/>
      <c r="D52" s="13" t="n"/>
      <c r="E52" s="21" t="n"/>
      <c r="F52" s="16" t="n"/>
      <c r="G52" s="16" t="n"/>
      <c r="H52" s="13" t="n"/>
      <c r="I52" s="13">
        <f>IF(OR(D52="",F52=0,F52=""),"",D52/F52)</f>
        <v/>
      </c>
      <c r="J52" s="13">
        <f>IF(OR(D52="",G52=0,G52=""),"",D52/G52)</f>
        <v/>
      </c>
      <c r="K52" s="25">
        <f>IF(OR(D52="",D52=0),"",H52/D52)</f>
        <v/>
      </c>
    </row>
    <row r="53">
      <c r="A53" s="20" t="n"/>
      <c r="B53" s="16" t="n"/>
      <c r="C53" s="16" t="n"/>
      <c r="D53" s="13" t="n"/>
      <c r="E53" s="21" t="n"/>
      <c r="F53" s="16" t="n"/>
      <c r="G53" s="16" t="n"/>
      <c r="H53" s="13" t="n"/>
      <c r="I53" s="13">
        <f>IF(OR(D53="",F53=0,F53=""),"",D53/F53)</f>
        <v/>
      </c>
      <c r="J53" s="13">
        <f>IF(OR(D53="",G53=0,G53=""),"",D53/G53)</f>
        <v/>
      </c>
      <c r="K53" s="25">
        <f>IF(OR(D53="",D53=0),"",H53/D53)</f>
        <v/>
      </c>
    </row>
    <row r="54">
      <c r="A54" s="20" t="n"/>
      <c r="B54" s="16" t="n"/>
      <c r="C54" s="16" t="n"/>
      <c r="D54" s="13" t="n"/>
      <c r="E54" s="21" t="n"/>
      <c r="F54" s="16" t="n"/>
      <c r="G54" s="16" t="n"/>
      <c r="H54" s="13" t="n"/>
      <c r="I54" s="13">
        <f>IF(OR(D54="",F54=0,F54=""),"",D54/F54)</f>
        <v/>
      </c>
      <c r="J54" s="13">
        <f>IF(OR(D54="",G54=0,G54=""),"",D54/G54)</f>
        <v/>
      </c>
      <c r="K54" s="25">
        <f>IF(OR(D54="",D54=0),"",H54/D54)</f>
        <v/>
      </c>
    </row>
    <row r="55">
      <c r="A55" s="20" t="n"/>
      <c r="B55" s="16" t="n"/>
      <c r="C55" s="16" t="n"/>
      <c r="D55" s="13" t="n"/>
      <c r="E55" s="21" t="n"/>
      <c r="F55" s="16" t="n"/>
      <c r="G55" s="16" t="n"/>
      <c r="H55" s="13" t="n"/>
      <c r="I55" s="13">
        <f>IF(OR(D55="",F55=0,F55=""),"",D55/F55)</f>
        <v/>
      </c>
      <c r="J55" s="13">
        <f>IF(OR(D55="",G55=0,G55=""),"",D55/G55)</f>
        <v/>
      </c>
      <c r="K55" s="25">
        <f>IF(OR(D55="",D55=0),"",H55/D55)</f>
        <v/>
      </c>
    </row>
    <row r="56">
      <c r="A56" s="20" t="n"/>
      <c r="B56" s="16" t="n"/>
      <c r="C56" s="16" t="n"/>
      <c r="D56" s="13" t="n"/>
      <c r="E56" s="21" t="n"/>
      <c r="F56" s="16" t="n"/>
      <c r="G56" s="16" t="n"/>
      <c r="H56" s="13" t="n"/>
      <c r="I56" s="13">
        <f>IF(OR(D56="",F56=0,F56=""),"",D56/F56)</f>
        <v/>
      </c>
      <c r="J56" s="13">
        <f>IF(OR(D56="",G56=0,G56=""),"",D56/G56)</f>
        <v/>
      </c>
      <c r="K56" s="25">
        <f>IF(OR(D56="",D56=0),"",H56/D56)</f>
        <v/>
      </c>
    </row>
    <row r="57">
      <c r="A57" s="20" t="n"/>
      <c r="B57" s="16" t="n"/>
      <c r="C57" s="16" t="n"/>
      <c r="D57" s="13" t="n"/>
      <c r="E57" s="21" t="n"/>
      <c r="F57" s="16" t="n"/>
      <c r="G57" s="16" t="n"/>
      <c r="H57" s="13" t="n"/>
      <c r="I57" s="13">
        <f>IF(OR(D57="",F57=0,F57=""),"",D57/F57)</f>
        <v/>
      </c>
      <c r="J57" s="13">
        <f>IF(OR(D57="",G57=0,G57=""),"",D57/G57)</f>
        <v/>
      </c>
      <c r="K57" s="25">
        <f>IF(OR(D57="",D57=0),"",H57/D57)</f>
        <v/>
      </c>
    </row>
    <row r="58">
      <c r="A58" s="20" t="n"/>
      <c r="B58" s="16" t="n"/>
      <c r="C58" s="16" t="n"/>
      <c r="D58" s="13" t="n"/>
      <c r="E58" s="21" t="n"/>
      <c r="F58" s="16" t="n"/>
      <c r="G58" s="16" t="n"/>
      <c r="H58" s="13" t="n"/>
      <c r="I58" s="13">
        <f>IF(OR(D58="",F58=0,F58=""),"",D58/F58)</f>
        <v/>
      </c>
      <c r="J58" s="13">
        <f>IF(OR(D58="",G58=0,G58=""),"",D58/G58)</f>
        <v/>
      </c>
      <c r="K58" s="25">
        <f>IF(OR(D58="",D58=0),"",H58/D58)</f>
        <v/>
      </c>
    </row>
    <row r="59">
      <c r="A59" s="20" t="n"/>
      <c r="B59" s="16" t="n"/>
      <c r="C59" s="16" t="n"/>
      <c r="D59" s="13" t="n"/>
      <c r="E59" s="21" t="n"/>
      <c r="F59" s="16" t="n"/>
      <c r="G59" s="16" t="n"/>
      <c r="H59" s="13" t="n"/>
      <c r="I59" s="13">
        <f>IF(OR(D59="",F59=0,F59=""),"",D59/F59)</f>
        <v/>
      </c>
      <c r="J59" s="13">
        <f>IF(OR(D59="",G59=0,G59=""),"",D59/G59)</f>
        <v/>
      </c>
      <c r="K59" s="25">
        <f>IF(OR(D59="",D59=0),"",H59/D59)</f>
        <v/>
      </c>
    </row>
    <row r="60">
      <c r="A60" s="20" t="n"/>
      <c r="B60" s="16" t="n"/>
      <c r="C60" s="16" t="n"/>
      <c r="D60" s="13" t="n"/>
      <c r="E60" s="21" t="n"/>
      <c r="F60" s="16" t="n"/>
      <c r="G60" s="16" t="n"/>
      <c r="H60" s="13" t="n"/>
      <c r="I60" s="13">
        <f>IF(OR(D60="",F60=0,F60=""),"",D60/F60)</f>
        <v/>
      </c>
      <c r="J60" s="13">
        <f>IF(OR(D60="",G60=0,G60=""),"",D60/G60)</f>
        <v/>
      </c>
      <c r="K60" s="25">
        <f>IF(OR(D60="",D60=0),"",H60/D60)</f>
        <v/>
      </c>
    </row>
    <row r="61">
      <c r="A61" s="20" t="n"/>
      <c r="B61" s="16" t="n"/>
      <c r="C61" s="16" t="n"/>
      <c r="D61" s="13" t="n"/>
      <c r="E61" s="21" t="n"/>
      <c r="F61" s="16" t="n"/>
      <c r="G61" s="16" t="n"/>
      <c r="H61" s="13" t="n"/>
      <c r="I61" s="13">
        <f>IF(OR(D61="",F61=0,F61=""),"",D61/F61)</f>
        <v/>
      </c>
      <c r="J61" s="13">
        <f>IF(OR(D61="",G61=0,G61=""),"",D61/G61)</f>
        <v/>
      </c>
      <c r="K61" s="25">
        <f>IF(OR(D61="",D61=0),"",H61/D61)</f>
        <v/>
      </c>
    </row>
    <row r="62">
      <c r="A62" s="20" t="n"/>
      <c r="B62" s="16" t="n"/>
      <c r="C62" s="16" t="n"/>
      <c r="D62" s="13" t="n"/>
      <c r="E62" s="21" t="n"/>
      <c r="F62" s="16" t="n"/>
      <c r="G62" s="16" t="n"/>
      <c r="H62" s="13" t="n"/>
      <c r="I62" s="13">
        <f>IF(OR(D62="",F62=0,F62=""),"",D62/F62)</f>
        <v/>
      </c>
      <c r="J62" s="13">
        <f>IF(OR(D62="",G62=0,G62=""),"",D62/G62)</f>
        <v/>
      </c>
      <c r="K62" s="25">
        <f>IF(OR(D62="",D62=0),"",H62/D62)</f>
        <v/>
      </c>
    </row>
    <row r="63">
      <c r="A63" s="20" t="n"/>
      <c r="B63" s="16" t="n"/>
      <c r="C63" s="16" t="n"/>
      <c r="D63" s="13" t="n"/>
      <c r="E63" s="21" t="n"/>
      <c r="F63" s="16" t="n"/>
      <c r="G63" s="16" t="n"/>
      <c r="H63" s="13" t="n"/>
      <c r="I63" s="13">
        <f>IF(OR(D63="",F63=0,F63=""),"",D63/F63)</f>
        <v/>
      </c>
      <c r="J63" s="13">
        <f>IF(OR(D63="",G63=0,G63=""),"",D63/G63)</f>
        <v/>
      </c>
      <c r="K63" s="25">
        <f>IF(OR(D63="",D63=0),"",H63/D63)</f>
        <v/>
      </c>
    </row>
    <row r="64">
      <c r="A64" s="20" t="n"/>
      <c r="B64" s="16" t="n"/>
      <c r="C64" s="16" t="n"/>
      <c r="D64" s="13" t="n"/>
      <c r="E64" s="21" t="n"/>
      <c r="F64" s="16" t="n"/>
      <c r="G64" s="16" t="n"/>
      <c r="H64" s="13" t="n"/>
      <c r="I64" s="13">
        <f>IF(OR(D64="",F64=0,F64=""),"",D64/F64)</f>
        <v/>
      </c>
      <c r="J64" s="13">
        <f>IF(OR(D64="",G64=0,G64=""),"",D64/G64)</f>
        <v/>
      </c>
      <c r="K64" s="25">
        <f>IF(OR(D64="",D64=0),"",H64/D64)</f>
        <v/>
      </c>
    </row>
    <row r="65">
      <c r="A65" s="20" t="n"/>
      <c r="B65" s="16" t="n"/>
      <c r="C65" s="16" t="n"/>
      <c r="D65" s="13" t="n"/>
      <c r="E65" s="21" t="n"/>
      <c r="F65" s="16" t="n"/>
      <c r="G65" s="16" t="n"/>
      <c r="H65" s="13" t="n"/>
      <c r="I65" s="13">
        <f>IF(OR(D65="",F65=0,F65=""),"",D65/F65)</f>
        <v/>
      </c>
      <c r="J65" s="13">
        <f>IF(OR(D65="",G65=0,G65=""),"",D65/G65)</f>
        <v/>
      </c>
      <c r="K65" s="25">
        <f>IF(OR(D65="",D65=0),"",H65/D65)</f>
        <v/>
      </c>
    </row>
    <row r="66">
      <c r="A66" s="20" t="n"/>
      <c r="B66" s="16" t="n"/>
      <c r="C66" s="16" t="n"/>
      <c r="D66" s="13" t="n"/>
      <c r="E66" s="21" t="n"/>
      <c r="F66" s="16" t="n"/>
      <c r="G66" s="16" t="n"/>
      <c r="H66" s="13" t="n"/>
      <c r="I66" s="13">
        <f>IF(OR(D66="",F66=0,F66=""),"",D66/F66)</f>
        <v/>
      </c>
      <c r="J66" s="13">
        <f>IF(OR(D66="",G66=0,G66=""),"",D66/G66)</f>
        <v/>
      </c>
      <c r="K66" s="25">
        <f>IF(OR(D66="",D66=0),"",H66/D66)</f>
        <v/>
      </c>
    </row>
    <row r="67">
      <c r="A67" s="20" t="n"/>
      <c r="B67" s="16" t="n"/>
      <c r="C67" s="16" t="n"/>
      <c r="D67" s="13" t="n"/>
      <c r="E67" s="21" t="n"/>
      <c r="F67" s="16" t="n"/>
      <c r="G67" s="16" t="n"/>
      <c r="H67" s="13" t="n"/>
      <c r="I67" s="13">
        <f>IF(OR(D67="",F67=0,F67=""),"",D67/F67)</f>
        <v/>
      </c>
      <c r="J67" s="13">
        <f>IF(OR(D67="",G67=0,G67=""),"",D67/G67)</f>
        <v/>
      </c>
      <c r="K67" s="25">
        <f>IF(OR(D67="",D67=0),"",H67/D67)</f>
        <v/>
      </c>
    </row>
    <row r="68">
      <c r="A68" s="20" t="n"/>
      <c r="B68" s="16" t="n"/>
      <c r="C68" s="16" t="n"/>
      <c r="D68" s="13" t="n"/>
      <c r="E68" s="21" t="n"/>
      <c r="F68" s="16" t="n"/>
      <c r="G68" s="16" t="n"/>
      <c r="H68" s="13" t="n"/>
      <c r="I68" s="13">
        <f>IF(OR(D68="",F68=0,F68=""),"",D68/F68)</f>
        <v/>
      </c>
      <c r="J68" s="13">
        <f>IF(OR(D68="",G68=0,G68=""),"",D68/G68)</f>
        <v/>
      </c>
      <c r="K68" s="25">
        <f>IF(OR(D68="",D68=0),"",H68/D68)</f>
        <v/>
      </c>
    </row>
    <row r="69">
      <c r="A69" s="20" t="n"/>
      <c r="B69" s="16" t="n"/>
      <c r="C69" s="16" t="n"/>
      <c r="D69" s="13" t="n"/>
      <c r="E69" s="21" t="n"/>
      <c r="F69" s="16" t="n"/>
      <c r="G69" s="16" t="n"/>
      <c r="H69" s="13" t="n"/>
      <c r="I69" s="13">
        <f>IF(OR(D69="",F69=0,F69=""),"",D69/F69)</f>
        <v/>
      </c>
      <c r="J69" s="13">
        <f>IF(OR(D69="",G69=0,G69=""),"",D69/G69)</f>
        <v/>
      </c>
      <c r="K69" s="25">
        <f>IF(OR(D69="",D69=0),"",H69/D69)</f>
        <v/>
      </c>
    </row>
    <row r="70">
      <c r="A70" s="20" t="n"/>
      <c r="B70" s="16" t="n"/>
      <c r="C70" s="16" t="n"/>
      <c r="D70" s="13" t="n"/>
      <c r="E70" s="21" t="n"/>
      <c r="F70" s="16" t="n"/>
      <c r="G70" s="16" t="n"/>
      <c r="H70" s="13" t="n"/>
      <c r="I70" s="13">
        <f>IF(OR(D70="",F70=0,F70=""),"",D70/F70)</f>
        <v/>
      </c>
      <c r="J70" s="13">
        <f>IF(OR(D70="",G70=0,G70=""),"",D70/G70)</f>
        <v/>
      </c>
      <c r="K70" s="25">
        <f>IF(OR(D70="",D70=0),"",H70/D70)</f>
        <v/>
      </c>
    </row>
    <row r="71">
      <c r="A71" s="20" t="n"/>
      <c r="B71" s="16" t="n"/>
      <c r="C71" s="16" t="n"/>
      <c r="D71" s="13" t="n"/>
      <c r="E71" s="21" t="n"/>
      <c r="F71" s="16" t="n"/>
      <c r="G71" s="16" t="n"/>
      <c r="H71" s="13" t="n"/>
      <c r="I71" s="13">
        <f>IF(OR(D71="",F71=0,F71=""),"",D71/F71)</f>
        <v/>
      </c>
      <c r="J71" s="13">
        <f>IF(OR(D71="",G71=0,G71=""),"",D71/G71)</f>
        <v/>
      </c>
      <c r="K71" s="25">
        <f>IF(OR(D71="",D71=0),"",H71/D71)</f>
        <v/>
      </c>
    </row>
    <row r="72">
      <c r="A72" s="20" t="n"/>
      <c r="B72" s="16" t="n"/>
      <c r="C72" s="16" t="n"/>
      <c r="D72" s="13" t="n"/>
      <c r="E72" s="21" t="n"/>
      <c r="F72" s="16" t="n"/>
      <c r="G72" s="16" t="n"/>
      <c r="H72" s="13" t="n"/>
      <c r="I72" s="13">
        <f>IF(OR(D72="",F72=0,F72=""),"",D72/F72)</f>
        <v/>
      </c>
      <c r="J72" s="13">
        <f>IF(OR(D72="",G72=0,G72=""),"",D72/G72)</f>
        <v/>
      </c>
      <c r="K72" s="25">
        <f>IF(OR(D72="",D72=0),"",H72/D72)</f>
        <v/>
      </c>
    </row>
    <row r="73">
      <c r="A73" s="20" t="n"/>
      <c r="B73" s="16" t="n"/>
      <c r="C73" s="16" t="n"/>
      <c r="D73" s="13" t="n"/>
      <c r="E73" s="21" t="n"/>
      <c r="F73" s="16" t="n"/>
      <c r="G73" s="16" t="n"/>
      <c r="H73" s="13" t="n"/>
      <c r="I73" s="13">
        <f>IF(OR(D73="",F73=0,F73=""),"",D73/F73)</f>
        <v/>
      </c>
      <c r="J73" s="13">
        <f>IF(OR(D73="",G73=0,G73=""),"",D73/G73)</f>
        <v/>
      </c>
      <c r="K73" s="25">
        <f>IF(OR(D73="",D73=0),"",H73/D73)</f>
        <v/>
      </c>
    </row>
    <row r="74">
      <c r="A74" s="20" t="n"/>
      <c r="B74" s="16" t="n"/>
      <c r="C74" s="16" t="n"/>
      <c r="D74" s="13" t="n"/>
      <c r="E74" s="21" t="n"/>
      <c r="F74" s="16" t="n"/>
      <c r="G74" s="16" t="n"/>
      <c r="H74" s="13" t="n"/>
      <c r="I74" s="13">
        <f>IF(OR(D74="",F74=0,F74=""),"",D74/F74)</f>
        <v/>
      </c>
      <c r="J74" s="13">
        <f>IF(OR(D74="",G74=0,G74=""),"",D74/G74)</f>
        <v/>
      </c>
      <c r="K74" s="25">
        <f>IF(OR(D74="",D74=0),"",H74/D74)</f>
        <v/>
      </c>
    </row>
    <row r="75">
      <c r="A75" s="20" t="n"/>
      <c r="B75" s="16" t="n"/>
      <c r="C75" s="16" t="n"/>
      <c r="D75" s="13" t="n"/>
      <c r="E75" s="21" t="n"/>
      <c r="F75" s="16" t="n"/>
      <c r="G75" s="16" t="n"/>
      <c r="H75" s="13" t="n"/>
      <c r="I75" s="13">
        <f>IF(OR(D75="",F75=0,F75=""),"",D75/F75)</f>
        <v/>
      </c>
      <c r="J75" s="13">
        <f>IF(OR(D75="",G75=0,G75=""),"",D75/G75)</f>
        <v/>
      </c>
      <c r="K75" s="25">
        <f>IF(OR(D75="",D75=0),"",H75/D75)</f>
        <v/>
      </c>
    </row>
    <row r="76">
      <c r="A76" s="20" t="n"/>
      <c r="B76" s="16" t="n"/>
      <c r="C76" s="16" t="n"/>
      <c r="D76" s="13" t="n"/>
      <c r="E76" s="21" t="n"/>
      <c r="F76" s="16" t="n"/>
      <c r="G76" s="16" t="n"/>
      <c r="H76" s="13" t="n"/>
      <c r="I76" s="13">
        <f>IF(OR(D76="",F76=0,F76=""),"",D76/F76)</f>
        <v/>
      </c>
      <c r="J76" s="13">
        <f>IF(OR(D76="",G76=0,G76=""),"",D76/G76)</f>
        <v/>
      </c>
      <c r="K76" s="25">
        <f>IF(OR(D76="",D76=0),"",H76/D76)</f>
        <v/>
      </c>
    </row>
    <row r="77">
      <c r="A77" s="20" t="n"/>
      <c r="B77" s="16" t="n"/>
      <c r="C77" s="16" t="n"/>
      <c r="D77" s="13" t="n"/>
      <c r="E77" s="21" t="n"/>
      <c r="F77" s="16" t="n"/>
      <c r="G77" s="16" t="n"/>
      <c r="H77" s="13" t="n"/>
      <c r="I77" s="13">
        <f>IF(OR(D77="",F77=0,F77=""),"",D77/F77)</f>
        <v/>
      </c>
      <c r="J77" s="13">
        <f>IF(OR(D77="",G77=0,G77=""),"",D77/G77)</f>
        <v/>
      </c>
      <c r="K77" s="25">
        <f>IF(OR(D77="",D77=0),"",H77/D77)</f>
        <v/>
      </c>
    </row>
    <row r="78">
      <c r="A78" s="20" t="n"/>
      <c r="B78" s="16" t="n"/>
      <c r="C78" s="16" t="n"/>
      <c r="D78" s="13" t="n"/>
      <c r="E78" s="21" t="n"/>
      <c r="F78" s="16" t="n"/>
      <c r="G78" s="16" t="n"/>
      <c r="H78" s="13" t="n"/>
      <c r="I78" s="13">
        <f>IF(OR(D78="",F78=0,F78=""),"",D78/F78)</f>
        <v/>
      </c>
      <c r="J78" s="13">
        <f>IF(OR(D78="",G78=0,G78=""),"",D78/G78)</f>
        <v/>
      </c>
      <c r="K78" s="25">
        <f>IF(OR(D78="",D78=0),"",H78/D78)</f>
        <v/>
      </c>
    </row>
    <row r="79">
      <c r="A79" s="20" t="n"/>
      <c r="B79" s="16" t="n"/>
      <c r="C79" s="16" t="n"/>
      <c r="D79" s="13" t="n"/>
      <c r="E79" s="21" t="n"/>
      <c r="F79" s="16" t="n"/>
      <c r="G79" s="16" t="n"/>
      <c r="H79" s="13" t="n"/>
      <c r="I79" s="13">
        <f>IF(OR(D79="",F79=0,F79=""),"",D79/F79)</f>
        <v/>
      </c>
      <c r="J79" s="13">
        <f>IF(OR(D79="",G79=0,G79=""),"",D79/G79)</f>
        <v/>
      </c>
      <c r="K79" s="25">
        <f>IF(OR(D79="",D79=0),"",H79/D79)</f>
        <v/>
      </c>
    </row>
    <row r="80">
      <c r="A80" s="20" t="n"/>
      <c r="B80" s="16" t="n"/>
      <c r="C80" s="16" t="n"/>
      <c r="D80" s="13" t="n"/>
      <c r="E80" s="21" t="n"/>
      <c r="F80" s="16" t="n"/>
      <c r="G80" s="16" t="n"/>
      <c r="H80" s="13" t="n"/>
      <c r="I80" s="13">
        <f>IF(OR(D80="",F80=0,F80=""),"",D80/F80)</f>
        <v/>
      </c>
      <c r="J80" s="13">
        <f>IF(OR(D80="",G80=0,G80=""),"",D80/G80)</f>
        <v/>
      </c>
      <c r="K80" s="25">
        <f>IF(OR(D80="",D80=0),"",H80/D80)</f>
        <v/>
      </c>
    </row>
    <row r="81">
      <c r="A81" s="20" t="n"/>
      <c r="B81" s="16" t="n"/>
      <c r="C81" s="16" t="n"/>
      <c r="D81" s="13" t="n"/>
      <c r="E81" s="21" t="n"/>
      <c r="F81" s="16" t="n"/>
      <c r="G81" s="16" t="n"/>
      <c r="H81" s="13" t="n"/>
      <c r="I81" s="13">
        <f>IF(OR(D81="",F81=0,F81=""),"",D81/F81)</f>
        <v/>
      </c>
      <c r="J81" s="13">
        <f>IF(OR(D81="",G81=0,G81=""),"",D81/G81)</f>
        <v/>
      </c>
      <c r="K81" s="25">
        <f>IF(OR(D81="",D81=0),"",H81/D81)</f>
        <v/>
      </c>
    </row>
    <row r="82">
      <c r="A82" s="20" t="n"/>
      <c r="B82" s="16" t="n"/>
      <c r="C82" s="16" t="n"/>
      <c r="D82" s="13" t="n"/>
      <c r="E82" s="21" t="n"/>
      <c r="F82" s="16" t="n"/>
      <c r="G82" s="16" t="n"/>
      <c r="H82" s="13" t="n"/>
      <c r="I82" s="13">
        <f>IF(OR(D82="",F82=0,F82=""),"",D82/F82)</f>
        <v/>
      </c>
      <c r="J82" s="13">
        <f>IF(OR(D82="",G82=0,G82=""),"",D82/G82)</f>
        <v/>
      </c>
      <c r="K82" s="25">
        <f>IF(OR(D82="",D82=0),"",H82/D82)</f>
        <v/>
      </c>
    </row>
    <row r="83">
      <c r="A83" s="20" t="n"/>
      <c r="B83" s="16" t="n"/>
      <c r="C83" s="16" t="n"/>
      <c r="D83" s="13" t="n"/>
      <c r="E83" s="21" t="n"/>
      <c r="F83" s="16" t="n"/>
      <c r="G83" s="16" t="n"/>
      <c r="H83" s="13" t="n"/>
      <c r="I83" s="13">
        <f>IF(OR(D83="",F83=0,F83=""),"",D83/F83)</f>
        <v/>
      </c>
      <c r="J83" s="13">
        <f>IF(OR(D83="",G83=0,G83=""),"",D83/G83)</f>
        <v/>
      </c>
      <c r="K83" s="25">
        <f>IF(OR(D83="",D83=0),"",H83/D83)</f>
        <v/>
      </c>
    </row>
    <row r="84">
      <c r="A84" s="20" t="n"/>
      <c r="B84" s="16" t="n"/>
      <c r="C84" s="16" t="n"/>
      <c r="D84" s="13" t="n"/>
      <c r="E84" s="21" t="n"/>
      <c r="F84" s="16" t="n"/>
      <c r="G84" s="16" t="n"/>
      <c r="H84" s="13" t="n"/>
      <c r="I84" s="13">
        <f>IF(OR(D84="",F84=0,F84=""),"",D84/F84)</f>
        <v/>
      </c>
      <c r="J84" s="13">
        <f>IF(OR(D84="",G84=0,G84=""),"",D84/G84)</f>
        <v/>
      </c>
      <c r="K84" s="25">
        <f>IF(OR(D84="",D84=0),"",H84/D84)</f>
        <v/>
      </c>
    </row>
    <row r="85">
      <c r="A85" s="20" t="n"/>
      <c r="B85" s="16" t="n"/>
      <c r="C85" s="16" t="n"/>
      <c r="D85" s="13" t="n"/>
      <c r="E85" s="21" t="n"/>
      <c r="F85" s="16" t="n"/>
      <c r="G85" s="16" t="n"/>
      <c r="H85" s="13" t="n"/>
      <c r="I85" s="13">
        <f>IF(OR(D85="",F85=0,F85=""),"",D85/F85)</f>
        <v/>
      </c>
      <c r="J85" s="13">
        <f>IF(OR(D85="",G85=0,G85=""),"",D85/G85)</f>
        <v/>
      </c>
      <c r="K85" s="25">
        <f>IF(OR(D85="",D85=0),"",H85/D85)</f>
        <v/>
      </c>
    </row>
    <row r="86">
      <c r="A86" s="20" t="n"/>
      <c r="B86" s="16" t="n"/>
      <c r="C86" s="16" t="n"/>
      <c r="D86" s="13" t="n"/>
      <c r="E86" s="21" t="n"/>
      <c r="F86" s="16" t="n"/>
      <c r="G86" s="16" t="n"/>
      <c r="H86" s="13" t="n"/>
      <c r="I86" s="13">
        <f>IF(OR(D86="",F86=0,F86=""),"",D86/F86)</f>
        <v/>
      </c>
      <c r="J86" s="13">
        <f>IF(OR(D86="",G86=0,G86=""),"",D86/G86)</f>
        <v/>
      </c>
      <c r="K86" s="25">
        <f>IF(OR(D86="",D86=0),"",H86/D86)</f>
        <v/>
      </c>
    </row>
    <row r="87">
      <c r="A87" s="20" t="n"/>
      <c r="B87" s="16" t="n"/>
      <c r="C87" s="16" t="n"/>
      <c r="D87" s="13" t="n"/>
      <c r="E87" s="21" t="n"/>
      <c r="F87" s="16" t="n"/>
      <c r="G87" s="16" t="n"/>
      <c r="H87" s="13" t="n"/>
      <c r="I87" s="13">
        <f>IF(OR(D87="",F87=0,F87=""),"",D87/F87)</f>
        <v/>
      </c>
      <c r="J87" s="13">
        <f>IF(OR(D87="",G87=0,G87=""),"",D87/G87)</f>
        <v/>
      </c>
      <c r="K87" s="25">
        <f>IF(OR(D87="",D87=0),"",H87/D87)</f>
        <v/>
      </c>
    </row>
    <row r="88">
      <c r="A88" s="20" t="n"/>
      <c r="B88" s="16" t="n"/>
      <c r="C88" s="16" t="n"/>
      <c r="D88" s="13" t="n"/>
      <c r="E88" s="21" t="n"/>
      <c r="F88" s="16" t="n"/>
      <c r="G88" s="16" t="n"/>
      <c r="H88" s="13" t="n"/>
      <c r="I88" s="13">
        <f>IF(OR(D88="",F88=0,F88=""),"",D88/F88)</f>
        <v/>
      </c>
      <c r="J88" s="13">
        <f>IF(OR(D88="",G88=0,G88=""),"",D88/G88)</f>
        <v/>
      </c>
      <c r="K88" s="25">
        <f>IF(OR(D88="",D88=0),"",H88/D88)</f>
        <v/>
      </c>
    </row>
    <row r="89">
      <c r="A89" s="20" t="n"/>
      <c r="B89" s="16" t="n"/>
      <c r="C89" s="16" t="n"/>
      <c r="D89" s="13" t="n"/>
      <c r="E89" s="21" t="n"/>
      <c r="F89" s="16" t="n"/>
      <c r="G89" s="16" t="n"/>
      <c r="H89" s="13" t="n"/>
      <c r="I89" s="13">
        <f>IF(OR(D89="",F89=0,F89=""),"",D89/F89)</f>
        <v/>
      </c>
      <c r="J89" s="13">
        <f>IF(OR(D89="",G89=0,G89=""),"",D89/G89)</f>
        <v/>
      </c>
      <c r="K89" s="25">
        <f>IF(OR(D89="",D89=0),"",H89/D89)</f>
        <v/>
      </c>
    </row>
    <row r="90">
      <c r="A90" s="20" t="n"/>
      <c r="B90" s="16" t="n"/>
      <c r="C90" s="16" t="n"/>
      <c r="D90" s="13" t="n"/>
      <c r="E90" s="21" t="n"/>
      <c r="F90" s="16" t="n"/>
      <c r="G90" s="16" t="n"/>
      <c r="H90" s="13" t="n"/>
      <c r="I90" s="13">
        <f>IF(OR(D90="",F90=0,F90=""),"",D90/F90)</f>
        <v/>
      </c>
      <c r="J90" s="13">
        <f>IF(OR(D90="",G90=0,G90=""),"",D90/G90)</f>
        <v/>
      </c>
      <c r="K90" s="25">
        <f>IF(OR(D90="",D90=0),"",H90/D90)</f>
        <v/>
      </c>
    </row>
    <row r="91">
      <c r="A91" s="20" t="n"/>
      <c r="B91" s="16" t="n"/>
      <c r="C91" s="16" t="n"/>
      <c r="D91" s="13" t="n"/>
      <c r="E91" s="21" t="n"/>
      <c r="F91" s="16" t="n"/>
      <c r="G91" s="16" t="n"/>
      <c r="H91" s="13" t="n"/>
      <c r="I91" s="13">
        <f>IF(OR(D91="",F91=0,F91=""),"",D91/F91)</f>
        <v/>
      </c>
      <c r="J91" s="13">
        <f>IF(OR(D91="",G91=0,G91=""),"",D91/G91)</f>
        <v/>
      </c>
      <c r="K91" s="25">
        <f>IF(OR(D91="",D91=0),"",H91/D91)</f>
        <v/>
      </c>
    </row>
    <row r="92">
      <c r="A92" s="20" t="n"/>
      <c r="B92" s="16" t="n"/>
      <c r="C92" s="16" t="n"/>
      <c r="D92" s="13" t="n"/>
      <c r="E92" s="21" t="n"/>
      <c r="F92" s="16" t="n"/>
      <c r="G92" s="16" t="n"/>
      <c r="H92" s="13" t="n"/>
      <c r="I92" s="13">
        <f>IF(OR(D92="",F92=0,F92=""),"",D92/F92)</f>
        <v/>
      </c>
      <c r="J92" s="13">
        <f>IF(OR(D92="",G92=0,G92=""),"",D92/G92)</f>
        <v/>
      </c>
      <c r="K92" s="25">
        <f>IF(OR(D92="",D92=0),"",H92/D92)</f>
        <v/>
      </c>
    </row>
    <row r="93">
      <c r="A93" s="20" t="n"/>
      <c r="B93" s="16" t="n"/>
      <c r="C93" s="16" t="n"/>
      <c r="D93" s="13" t="n"/>
      <c r="E93" s="21" t="n"/>
      <c r="F93" s="16" t="n"/>
      <c r="G93" s="16" t="n"/>
      <c r="H93" s="13" t="n"/>
      <c r="I93" s="13">
        <f>IF(OR(D93="",F93=0,F93=""),"",D93/F93)</f>
        <v/>
      </c>
      <c r="J93" s="13">
        <f>IF(OR(D93="",G93=0,G93=""),"",D93/G93)</f>
        <v/>
      </c>
      <c r="K93" s="25">
        <f>IF(OR(D93="",D93=0),"",H93/D93)</f>
        <v/>
      </c>
    </row>
    <row r="94">
      <c r="A94" s="20" t="n"/>
      <c r="B94" s="16" t="n"/>
      <c r="C94" s="16" t="n"/>
      <c r="D94" s="13" t="n"/>
      <c r="E94" s="21" t="n"/>
      <c r="F94" s="16" t="n"/>
      <c r="G94" s="16" t="n"/>
      <c r="H94" s="13" t="n"/>
      <c r="I94" s="13">
        <f>IF(OR(D94="",F94=0,F94=""),"",D94/F94)</f>
        <v/>
      </c>
      <c r="J94" s="13">
        <f>IF(OR(D94="",G94=0,G94=""),"",D94/G94)</f>
        <v/>
      </c>
      <c r="K94" s="25">
        <f>IF(OR(D94="",D94=0),"",H94/D94)</f>
        <v/>
      </c>
    </row>
    <row r="95">
      <c r="A95" s="20" t="n"/>
      <c r="B95" s="16" t="n"/>
      <c r="C95" s="16" t="n"/>
      <c r="D95" s="13" t="n"/>
      <c r="E95" s="21" t="n"/>
      <c r="F95" s="16" t="n"/>
      <c r="G95" s="16" t="n"/>
      <c r="H95" s="13" t="n"/>
      <c r="I95" s="13">
        <f>IF(OR(D95="",F95=0,F95=""),"",D95/F95)</f>
        <v/>
      </c>
      <c r="J95" s="13">
        <f>IF(OR(D95="",G95=0,G95=""),"",D95/G95)</f>
        <v/>
      </c>
      <c r="K95" s="25">
        <f>IF(OR(D95="",D95=0),"",H95/D95)</f>
        <v/>
      </c>
    </row>
    <row r="96">
      <c r="A96" s="20" t="n"/>
      <c r="B96" s="16" t="n"/>
      <c r="C96" s="16" t="n"/>
      <c r="D96" s="13" t="n"/>
      <c r="E96" s="21" t="n"/>
      <c r="F96" s="16" t="n"/>
      <c r="G96" s="16" t="n"/>
      <c r="H96" s="13" t="n"/>
      <c r="I96" s="13">
        <f>IF(OR(D96="",F96=0,F96=""),"",D96/F96)</f>
        <v/>
      </c>
      <c r="J96" s="13">
        <f>IF(OR(D96="",G96=0,G96=""),"",D96/G96)</f>
        <v/>
      </c>
      <c r="K96" s="25">
        <f>IF(OR(D96="",D96=0),"",H96/D96)</f>
        <v/>
      </c>
    </row>
    <row r="97">
      <c r="A97" s="20" t="n"/>
      <c r="B97" s="16" t="n"/>
      <c r="C97" s="16" t="n"/>
      <c r="D97" s="13" t="n"/>
      <c r="E97" s="21" t="n"/>
      <c r="F97" s="16" t="n"/>
      <c r="G97" s="16" t="n"/>
      <c r="H97" s="13" t="n"/>
      <c r="I97" s="13">
        <f>IF(OR(D97="",F97=0,F97=""),"",D97/F97)</f>
        <v/>
      </c>
      <c r="J97" s="13">
        <f>IF(OR(D97="",G97=0,G97=""),"",D97/G97)</f>
        <v/>
      </c>
      <c r="K97" s="25">
        <f>IF(OR(D97="",D97=0),"",H97/D97)</f>
        <v/>
      </c>
    </row>
    <row r="98">
      <c r="A98" s="20" t="n"/>
      <c r="B98" s="16" t="n"/>
      <c r="C98" s="16" t="n"/>
      <c r="D98" s="13" t="n"/>
      <c r="E98" s="21" t="n"/>
      <c r="F98" s="16" t="n"/>
      <c r="G98" s="16" t="n"/>
      <c r="H98" s="13" t="n"/>
      <c r="I98" s="13">
        <f>IF(OR(D98="",F98=0,F98=""),"",D98/F98)</f>
        <v/>
      </c>
      <c r="J98" s="13">
        <f>IF(OR(D98="",G98=0,G98=""),"",D98/G98)</f>
        <v/>
      </c>
      <c r="K98" s="25">
        <f>IF(OR(D98="",D98=0),"",H98/D98)</f>
        <v/>
      </c>
    </row>
    <row r="99">
      <c r="A99" s="20" t="n"/>
      <c r="B99" s="16" t="n"/>
      <c r="C99" s="16" t="n"/>
      <c r="D99" s="13" t="n"/>
      <c r="E99" s="21" t="n"/>
      <c r="F99" s="16" t="n"/>
      <c r="G99" s="16" t="n"/>
      <c r="H99" s="13" t="n"/>
      <c r="I99" s="13">
        <f>IF(OR(D99="",F99=0,F99=""),"",D99/F99)</f>
        <v/>
      </c>
      <c r="J99" s="13">
        <f>IF(OR(D99="",G99=0,G99=""),"",D99/G99)</f>
        <v/>
      </c>
      <c r="K99" s="25">
        <f>IF(OR(D99="",D99=0),"",H99/D99)</f>
        <v/>
      </c>
    </row>
    <row r="100">
      <c r="A100" s="20" t="n"/>
      <c r="B100" s="16" t="n"/>
      <c r="C100" s="16" t="n"/>
      <c r="D100" s="13" t="n"/>
      <c r="E100" s="21" t="n"/>
      <c r="F100" s="16" t="n"/>
      <c r="G100" s="16" t="n"/>
      <c r="H100" s="13" t="n"/>
      <c r="I100" s="13">
        <f>IF(OR(D100="",F100=0,F100=""),"",D100/F100)</f>
        <v/>
      </c>
      <c r="J100" s="13">
        <f>IF(OR(D100="",G100=0,G100=""),"",D100/G100)</f>
        <v/>
      </c>
      <c r="K100" s="25">
        <f>IF(OR(D100="",D100=0),"",H100/D100)</f>
        <v/>
      </c>
    </row>
    <row r="101">
      <c r="A101" s="20" t="n"/>
      <c r="B101" s="16" t="n"/>
      <c r="C101" s="16" t="n"/>
      <c r="D101" s="13" t="n"/>
      <c r="E101" s="21" t="n"/>
      <c r="F101" s="16" t="n"/>
      <c r="G101" s="16" t="n"/>
      <c r="H101" s="13" t="n"/>
      <c r="I101" s="13">
        <f>IF(OR(D101="",F101=0,F101=""),"",D101/F101)</f>
        <v/>
      </c>
      <c r="J101" s="13">
        <f>IF(OR(D101="",G101=0,G101=""),"",D101/G101)</f>
        <v/>
      </c>
      <c r="K101" s="25">
        <f>IF(OR(D101="",D101=0),"",H101/D101)</f>
        <v/>
      </c>
    </row>
    <row r="102">
      <c r="A102" s="20" t="n"/>
      <c r="B102" s="16" t="n"/>
      <c r="C102" s="16" t="n"/>
      <c r="D102" s="13" t="n"/>
      <c r="E102" s="21" t="n"/>
      <c r="F102" s="16" t="n"/>
      <c r="G102" s="16" t="n"/>
      <c r="H102" s="13" t="n"/>
      <c r="I102" s="13">
        <f>IF(OR(D102="",F102=0,F102=""),"",D102/F102)</f>
        <v/>
      </c>
      <c r="J102" s="13">
        <f>IF(OR(D102="",G102=0,G102=""),"",D102/G102)</f>
        <v/>
      </c>
      <c r="K102" s="25">
        <f>IF(OR(D102="",D102=0),"",H102/D102)</f>
        <v/>
      </c>
    </row>
    <row r="103">
      <c r="A103" s="20" t="n"/>
      <c r="B103" s="16" t="n"/>
      <c r="C103" s="16" t="n"/>
      <c r="D103" s="13" t="n"/>
      <c r="E103" s="21" t="n"/>
      <c r="F103" s="16" t="n"/>
      <c r="G103" s="16" t="n"/>
      <c r="H103" s="13" t="n"/>
      <c r="I103" s="13">
        <f>IF(OR(D103="",F103=0,F103=""),"",D103/F103)</f>
        <v/>
      </c>
      <c r="J103" s="13">
        <f>IF(OR(D103="",G103=0,G103=""),"",D103/G103)</f>
        <v/>
      </c>
      <c r="K103" s="25">
        <f>IF(OR(D103="",D103=0),"",H103/D103)</f>
        <v/>
      </c>
    </row>
    <row r="104">
      <c r="A104" s="20" t="n"/>
      <c r="B104" s="16" t="n"/>
      <c r="C104" s="16" t="n"/>
      <c r="D104" s="13" t="n"/>
      <c r="E104" s="21" t="n"/>
      <c r="F104" s="16" t="n"/>
      <c r="G104" s="16" t="n"/>
      <c r="H104" s="13" t="n"/>
      <c r="I104" s="13">
        <f>IF(OR(D104="",F104=0,F104=""),"",D104/F104)</f>
        <v/>
      </c>
      <c r="J104" s="13">
        <f>IF(OR(D104="",G104=0,G104=""),"",D104/G104)</f>
        <v/>
      </c>
      <c r="K104" s="25">
        <f>IF(OR(D104="",D104=0),"",H104/D104)</f>
        <v/>
      </c>
    </row>
    <row r="105">
      <c r="A105" s="20" t="n"/>
      <c r="B105" s="16" t="n"/>
      <c r="C105" s="16" t="n"/>
      <c r="D105" s="13" t="n"/>
      <c r="E105" s="21" t="n"/>
      <c r="F105" s="16" t="n"/>
      <c r="G105" s="16" t="n"/>
      <c r="H105" s="13" t="n"/>
      <c r="I105" s="13">
        <f>IF(OR(D105="",F105=0,F105=""),"",D105/F105)</f>
        <v/>
      </c>
      <c r="J105" s="13">
        <f>IF(OR(D105="",G105=0,G105=""),"",D105/G105)</f>
        <v/>
      </c>
      <c r="K105" s="25">
        <f>IF(OR(D105="",D105=0),"",H105/D105)</f>
        <v/>
      </c>
    </row>
    <row r="106">
      <c r="A106" s="20" t="n"/>
      <c r="B106" s="16" t="n"/>
      <c r="C106" s="16" t="n"/>
      <c r="D106" s="13" t="n"/>
      <c r="E106" s="21" t="n"/>
      <c r="F106" s="16" t="n"/>
      <c r="G106" s="16" t="n"/>
      <c r="H106" s="13" t="n"/>
      <c r="I106" s="13">
        <f>IF(OR(D106="",F106=0,F106=""),"",D106/F106)</f>
        <v/>
      </c>
      <c r="J106" s="13">
        <f>IF(OR(D106="",G106=0,G106=""),"",D106/G106)</f>
        <v/>
      </c>
      <c r="K106" s="25">
        <f>IF(OR(D106="",D106=0),"",H106/D106)</f>
        <v/>
      </c>
    </row>
    <row r="107">
      <c r="A107" s="20" t="n"/>
      <c r="B107" s="16" t="n"/>
      <c r="C107" s="16" t="n"/>
      <c r="D107" s="13" t="n"/>
      <c r="E107" s="21" t="n"/>
      <c r="F107" s="16" t="n"/>
      <c r="G107" s="16" t="n"/>
      <c r="H107" s="13" t="n"/>
      <c r="I107" s="13">
        <f>IF(OR(D107="",F107=0,F107=""),"",D107/F107)</f>
        <v/>
      </c>
      <c r="J107" s="13">
        <f>IF(OR(D107="",G107=0,G107=""),"",D107/G107)</f>
        <v/>
      </c>
      <c r="K107" s="25">
        <f>IF(OR(D107="",D107=0),"",H107/D107)</f>
        <v/>
      </c>
    </row>
    <row r="108">
      <c r="A108" s="20" t="n"/>
      <c r="B108" s="16" t="n"/>
      <c r="C108" s="16" t="n"/>
      <c r="D108" s="13" t="n"/>
      <c r="E108" s="21" t="n"/>
      <c r="F108" s="16" t="n"/>
      <c r="G108" s="16" t="n"/>
      <c r="H108" s="13" t="n"/>
      <c r="I108" s="13">
        <f>IF(OR(D108="",F108=0,F108=""),"",D108/F108)</f>
        <v/>
      </c>
      <c r="J108" s="13">
        <f>IF(OR(D108="",G108=0,G108=""),"",D108/G108)</f>
        <v/>
      </c>
      <c r="K108" s="25">
        <f>IF(OR(D108="",D108=0),"",H108/D108)</f>
        <v/>
      </c>
    </row>
    <row r="109">
      <c r="A109" s="20" t="n"/>
      <c r="B109" s="16" t="n"/>
      <c r="C109" s="16" t="n"/>
      <c r="D109" s="13" t="n"/>
      <c r="E109" s="21" t="n"/>
      <c r="F109" s="16" t="n"/>
      <c r="G109" s="16" t="n"/>
      <c r="H109" s="13" t="n"/>
      <c r="I109" s="13">
        <f>IF(OR(D109="",F109=0,F109=""),"",D109/F109)</f>
        <v/>
      </c>
      <c r="J109" s="13">
        <f>IF(OR(D109="",G109=0,G109=""),"",D109/G109)</f>
        <v/>
      </c>
      <c r="K109" s="25">
        <f>IF(OR(D109="",D109=0),"",H109/D109)</f>
        <v/>
      </c>
    </row>
    <row r="110">
      <c r="A110" s="20" t="n"/>
      <c r="B110" s="16" t="n"/>
      <c r="C110" s="16" t="n"/>
      <c r="D110" s="13" t="n"/>
      <c r="E110" s="21" t="n"/>
      <c r="F110" s="16" t="n"/>
      <c r="G110" s="16" t="n"/>
      <c r="H110" s="13" t="n"/>
      <c r="I110" s="13">
        <f>IF(OR(D110="",F110=0,F110=""),"",D110/F110)</f>
        <v/>
      </c>
      <c r="J110" s="13">
        <f>IF(OR(D110="",G110=0,G110=""),"",D110/G110)</f>
        <v/>
      </c>
      <c r="K110" s="25">
        <f>IF(OR(D110="",D110=0),"",H110/D110)</f>
        <v/>
      </c>
    </row>
    <row r="111">
      <c r="A111" s="20" t="n"/>
      <c r="B111" s="16" t="n"/>
      <c r="C111" s="16" t="n"/>
      <c r="D111" s="13" t="n"/>
      <c r="E111" s="21" t="n"/>
      <c r="F111" s="16" t="n"/>
      <c r="G111" s="16" t="n"/>
      <c r="H111" s="13" t="n"/>
      <c r="I111" s="13">
        <f>IF(OR(D111="",F111=0,F111=""),"",D111/F111)</f>
        <v/>
      </c>
      <c r="J111" s="13">
        <f>IF(OR(D111="",G111=0,G111=""),"",D111/G111)</f>
        <v/>
      </c>
      <c r="K111" s="25">
        <f>IF(OR(D111="",D111=0),"",H111/D111)</f>
        <v/>
      </c>
    </row>
    <row r="112">
      <c r="A112" s="20" t="n"/>
      <c r="B112" s="16" t="n"/>
      <c r="C112" s="16" t="n"/>
      <c r="D112" s="13" t="n"/>
      <c r="E112" s="21" t="n"/>
      <c r="F112" s="16" t="n"/>
      <c r="G112" s="16" t="n"/>
      <c r="H112" s="13" t="n"/>
      <c r="I112" s="13">
        <f>IF(OR(D112="",F112=0,F112=""),"",D112/F112)</f>
        <v/>
      </c>
      <c r="J112" s="13">
        <f>IF(OR(D112="",G112=0,G112=""),"",D112/G112)</f>
        <v/>
      </c>
      <c r="K112" s="25">
        <f>IF(OR(D112="",D112=0),"",H112/D112)</f>
        <v/>
      </c>
    </row>
    <row r="113">
      <c r="A113" s="20" t="n"/>
      <c r="B113" s="16" t="n"/>
      <c r="C113" s="16" t="n"/>
      <c r="D113" s="13" t="n"/>
      <c r="E113" s="21" t="n"/>
      <c r="F113" s="16" t="n"/>
      <c r="G113" s="16" t="n"/>
      <c r="H113" s="13" t="n"/>
      <c r="I113" s="13">
        <f>IF(OR(D113="",F113=0,F113=""),"",D113/F113)</f>
        <v/>
      </c>
      <c r="J113" s="13">
        <f>IF(OR(D113="",G113=0,G113=""),"",D113/G113)</f>
        <v/>
      </c>
      <c r="K113" s="25">
        <f>IF(OR(D113="",D113=0),"",H113/D113)</f>
        <v/>
      </c>
    </row>
    <row r="114">
      <c r="A114" s="20" t="n"/>
      <c r="B114" s="16" t="n"/>
      <c r="C114" s="16" t="n"/>
      <c r="D114" s="13" t="n"/>
      <c r="E114" s="21" t="n"/>
      <c r="F114" s="16" t="n"/>
      <c r="G114" s="16" t="n"/>
      <c r="H114" s="13" t="n"/>
      <c r="I114" s="13">
        <f>IF(OR(D114="",F114=0,F114=""),"",D114/F114)</f>
        <v/>
      </c>
      <c r="J114" s="13">
        <f>IF(OR(D114="",G114=0,G114=""),"",D114/G114)</f>
        <v/>
      </c>
      <c r="K114" s="25">
        <f>IF(OR(D114="",D114=0),"",H114/D114)</f>
        <v/>
      </c>
    </row>
    <row r="115">
      <c r="A115" s="20" t="n"/>
      <c r="B115" s="16" t="n"/>
      <c r="C115" s="16" t="n"/>
      <c r="D115" s="13" t="n"/>
      <c r="E115" s="21" t="n"/>
      <c r="F115" s="16" t="n"/>
      <c r="G115" s="16" t="n"/>
      <c r="H115" s="13" t="n"/>
      <c r="I115" s="13">
        <f>IF(OR(D115="",F115=0,F115=""),"",D115/F115)</f>
        <v/>
      </c>
      <c r="J115" s="13">
        <f>IF(OR(D115="",G115=0,G115=""),"",D115/G115)</f>
        <v/>
      </c>
      <c r="K115" s="25">
        <f>IF(OR(D115="",D115=0),"",H115/D115)</f>
        <v/>
      </c>
    </row>
    <row r="116">
      <c r="A116" s="20" t="n"/>
      <c r="B116" s="16" t="n"/>
      <c r="C116" s="16" t="n"/>
      <c r="D116" s="13" t="n"/>
      <c r="E116" s="21" t="n"/>
      <c r="F116" s="16" t="n"/>
      <c r="G116" s="16" t="n"/>
      <c r="H116" s="13" t="n"/>
      <c r="I116" s="13">
        <f>IF(OR(D116="",F116=0,F116=""),"",D116/F116)</f>
        <v/>
      </c>
      <c r="J116" s="13">
        <f>IF(OR(D116="",G116=0,G116=""),"",D116/G116)</f>
        <v/>
      </c>
      <c r="K116" s="25">
        <f>IF(OR(D116="",D116=0),"",H116/D116)</f>
        <v/>
      </c>
    </row>
    <row r="117">
      <c r="A117" s="20" t="n"/>
      <c r="B117" s="16" t="n"/>
      <c r="C117" s="16" t="n"/>
      <c r="D117" s="13" t="n"/>
      <c r="E117" s="21" t="n"/>
      <c r="F117" s="16" t="n"/>
      <c r="G117" s="16" t="n"/>
      <c r="H117" s="13" t="n"/>
      <c r="I117" s="13">
        <f>IF(OR(D117="",F117=0,F117=""),"",D117/F117)</f>
        <v/>
      </c>
      <c r="J117" s="13">
        <f>IF(OR(D117="",G117=0,G117=""),"",D117/G117)</f>
        <v/>
      </c>
      <c r="K117" s="25">
        <f>IF(OR(D117="",D117=0),"",H117/D117)</f>
        <v/>
      </c>
    </row>
    <row r="118">
      <c r="A118" s="20" t="n"/>
      <c r="B118" s="16" t="n"/>
      <c r="C118" s="16" t="n"/>
      <c r="D118" s="13" t="n"/>
      <c r="E118" s="21" t="n"/>
      <c r="F118" s="16" t="n"/>
      <c r="G118" s="16" t="n"/>
      <c r="H118" s="13" t="n"/>
      <c r="I118" s="13">
        <f>IF(OR(D118="",F118=0,F118=""),"",D118/F118)</f>
        <v/>
      </c>
      <c r="J118" s="13">
        <f>IF(OR(D118="",G118=0,G118=""),"",D118/G118)</f>
        <v/>
      </c>
      <c r="K118" s="25">
        <f>IF(OR(D118="",D118=0),"",H118/D118)</f>
        <v/>
      </c>
    </row>
    <row r="119">
      <c r="A119" s="20" t="n"/>
      <c r="B119" s="16" t="n"/>
      <c r="C119" s="16" t="n"/>
      <c r="D119" s="13" t="n"/>
      <c r="E119" s="21" t="n"/>
      <c r="F119" s="16" t="n"/>
      <c r="G119" s="16" t="n"/>
      <c r="H119" s="13" t="n"/>
      <c r="I119" s="13">
        <f>IF(OR(D119="",F119=0,F119=""),"",D119/F119)</f>
        <v/>
      </c>
      <c r="J119" s="13">
        <f>IF(OR(D119="",G119=0,G119=""),"",D119/G119)</f>
        <v/>
      </c>
      <c r="K119" s="25">
        <f>IF(OR(D119="",D119=0),"",H119/D119)</f>
        <v/>
      </c>
    </row>
    <row r="120">
      <c r="A120" s="20" t="n"/>
      <c r="B120" s="16" t="n"/>
      <c r="C120" s="16" t="n"/>
      <c r="D120" s="13" t="n"/>
      <c r="E120" s="21" t="n"/>
      <c r="F120" s="16" t="n"/>
      <c r="G120" s="16" t="n"/>
      <c r="H120" s="13" t="n"/>
      <c r="I120" s="13">
        <f>IF(OR(D120="",F120=0,F120=""),"",D120/F120)</f>
        <v/>
      </c>
      <c r="J120" s="13">
        <f>IF(OR(D120="",G120=0,G120=""),"",D120/G120)</f>
        <v/>
      </c>
      <c r="K120" s="25">
        <f>IF(OR(D120="",D120=0),"",H120/D120)</f>
        <v/>
      </c>
    </row>
    <row r="121">
      <c r="A121" s="20" t="n"/>
      <c r="B121" s="16" t="n"/>
      <c r="C121" s="16" t="n"/>
      <c r="D121" s="13" t="n"/>
      <c r="E121" s="21" t="n"/>
      <c r="F121" s="16" t="n"/>
      <c r="G121" s="16" t="n"/>
      <c r="H121" s="13" t="n"/>
      <c r="I121" s="13">
        <f>IF(OR(D121="",F121=0,F121=""),"",D121/F121)</f>
        <v/>
      </c>
      <c r="J121" s="13">
        <f>IF(OR(D121="",G121=0,G121=""),"",D121/G121)</f>
        <v/>
      </c>
      <c r="K121" s="25">
        <f>IF(OR(D121="",D121=0),"",H121/D121)</f>
        <v/>
      </c>
    </row>
    <row r="122">
      <c r="A122" s="20" t="n"/>
      <c r="B122" s="16" t="n"/>
      <c r="C122" s="16" t="n"/>
      <c r="D122" s="13" t="n"/>
      <c r="E122" s="21" t="n"/>
      <c r="F122" s="16" t="n"/>
      <c r="G122" s="16" t="n"/>
      <c r="H122" s="13" t="n"/>
      <c r="I122" s="13">
        <f>IF(OR(D122="",F122=0,F122=""),"",D122/F122)</f>
        <v/>
      </c>
      <c r="J122" s="13">
        <f>IF(OR(D122="",G122=0,G122=""),"",D122/G122)</f>
        <v/>
      </c>
      <c r="K122" s="25">
        <f>IF(OR(D122="",D122=0),"",H122/D122)</f>
        <v/>
      </c>
    </row>
    <row r="123">
      <c r="A123" s="20" t="n"/>
      <c r="B123" s="16" t="n"/>
      <c r="C123" s="16" t="n"/>
      <c r="D123" s="13" t="n"/>
      <c r="E123" s="21" t="n"/>
      <c r="F123" s="16" t="n"/>
      <c r="G123" s="16" t="n"/>
      <c r="H123" s="13" t="n"/>
      <c r="I123" s="13">
        <f>IF(OR(D123="",F123=0,F123=""),"",D123/F123)</f>
        <v/>
      </c>
      <c r="J123" s="13">
        <f>IF(OR(D123="",G123=0,G123=""),"",D123/G123)</f>
        <v/>
      </c>
      <c r="K123" s="25">
        <f>IF(OR(D123="",D123=0),"",H123/D123)</f>
        <v/>
      </c>
    </row>
    <row r="124">
      <c r="A124" s="20" t="n"/>
      <c r="B124" s="16" t="n"/>
      <c r="C124" s="16" t="n"/>
      <c r="D124" s="13" t="n"/>
      <c r="E124" s="21" t="n"/>
      <c r="F124" s="16" t="n"/>
      <c r="G124" s="16" t="n"/>
      <c r="H124" s="13" t="n"/>
      <c r="I124" s="13">
        <f>IF(OR(D124="",F124=0,F124=""),"",D124/F124)</f>
        <v/>
      </c>
      <c r="J124" s="13">
        <f>IF(OR(D124="",G124=0,G124=""),"",D124/G124)</f>
        <v/>
      </c>
      <c r="K124" s="25">
        <f>IF(OR(D124="",D124=0),"",H124/D124)</f>
        <v/>
      </c>
    </row>
    <row r="125">
      <c r="A125" s="20" t="n"/>
      <c r="B125" s="16" t="n"/>
      <c r="C125" s="16" t="n"/>
      <c r="D125" s="13" t="n"/>
      <c r="E125" s="21" t="n"/>
      <c r="F125" s="16" t="n"/>
      <c r="G125" s="16" t="n"/>
      <c r="H125" s="13" t="n"/>
      <c r="I125" s="13">
        <f>IF(OR(D125="",F125=0,F125=""),"",D125/F125)</f>
        <v/>
      </c>
      <c r="J125" s="13">
        <f>IF(OR(D125="",G125=0,G125=""),"",D125/G125)</f>
        <v/>
      </c>
      <c r="K125" s="25">
        <f>IF(OR(D125="",D125=0),"",H125/D125)</f>
        <v/>
      </c>
    </row>
    <row r="126">
      <c r="A126" s="20" t="n"/>
      <c r="B126" s="16" t="n"/>
      <c r="C126" s="16" t="n"/>
      <c r="D126" s="13" t="n"/>
      <c r="E126" s="21" t="n"/>
      <c r="F126" s="16" t="n"/>
      <c r="G126" s="16" t="n"/>
      <c r="H126" s="13" t="n"/>
      <c r="I126" s="13">
        <f>IF(OR(D126="",F126=0,F126=""),"",D126/F126)</f>
        <v/>
      </c>
      <c r="J126" s="13">
        <f>IF(OR(D126="",G126=0,G126=""),"",D126/G126)</f>
        <v/>
      </c>
      <c r="K126" s="25">
        <f>IF(OR(D126="",D126=0),"",H126/D126)</f>
        <v/>
      </c>
    </row>
    <row r="127">
      <c r="A127" s="20" t="n"/>
      <c r="B127" s="16" t="n"/>
      <c r="C127" s="16" t="n"/>
      <c r="D127" s="13" t="n"/>
      <c r="E127" s="21" t="n"/>
      <c r="F127" s="16" t="n"/>
      <c r="G127" s="16" t="n"/>
      <c r="H127" s="13" t="n"/>
      <c r="I127" s="13">
        <f>IF(OR(D127="",F127=0,F127=""),"",D127/F127)</f>
        <v/>
      </c>
      <c r="J127" s="13">
        <f>IF(OR(D127="",G127=0,G127=""),"",D127/G127)</f>
        <v/>
      </c>
      <c r="K127" s="25">
        <f>IF(OR(D127="",D127=0),"",H127/D127)</f>
        <v/>
      </c>
    </row>
    <row r="128">
      <c r="A128" s="20" t="n"/>
      <c r="B128" s="16" t="n"/>
      <c r="C128" s="16" t="n"/>
      <c r="D128" s="13" t="n"/>
      <c r="E128" s="21" t="n"/>
      <c r="F128" s="16" t="n"/>
      <c r="G128" s="16" t="n"/>
      <c r="H128" s="13" t="n"/>
      <c r="I128" s="13">
        <f>IF(OR(D128="",F128=0,F128=""),"",D128/F128)</f>
        <v/>
      </c>
      <c r="J128" s="13">
        <f>IF(OR(D128="",G128=0,G128=""),"",D128/G128)</f>
        <v/>
      </c>
      <c r="K128" s="25">
        <f>IF(OR(D128="",D128=0),"",H128/D128)</f>
        <v/>
      </c>
    </row>
    <row r="129">
      <c r="A129" s="20" t="n"/>
      <c r="B129" s="16" t="n"/>
      <c r="C129" s="16" t="n"/>
      <c r="D129" s="13" t="n"/>
      <c r="E129" s="21" t="n"/>
      <c r="F129" s="16" t="n"/>
      <c r="G129" s="16" t="n"/>
      <c r="H129" s="13" t="n"/>
      <c r="I129" s="13">
        <f>IF(OR(D129="",F129=0,F129=""),"",D129/F129)</f>
        <v/>
      </c>
      <c r="J129" s="13">
        <f>IF(OR(D129="",G129=0,G129=""),"",D129/G129)</f>
        <v/>
      </c>
      <c r="K129" s="25">
        <f>IF(OR(D129="",D129=0),"",H129/D129)</f>
        <v/>
      </c>
    </row>
    <row r="130">
      <c r="A130" s="20" t="n"/>
      <c r="B130" s="16" t="n"/>
      <c r="C130" s="16" t="n"/>
      <c r="D130" s="13" t="n"/>
      <c r="E130" s="21" t="n"/>
      <c r="F130" s="16" t="n"/>
      <c r="G130" s="16" t="n"/>
      <c r="H130" s="13" t="n"/>
      <c r="I130" s="13">
        <f>IF(OR(D130="",F130=0,F130=""),"",D130/F130)</f>
        <v/>
      </c>
      <c r="J130" s="13">
        <f>IF(OR(D130="",G130=0,G130=""),"",D130/G130)</f>
        <v/>
      </c>
      <c r="K130" s="25">
        <f>IF(OR(D130="",D130=0),"",H130/D130)</f>
        <v/>
      </c>
    </row>
    <row r="131">
      <c r="A131" s="20" t="n"/>
      <c r="B131" s="16" t="n"/>
      <c r="C131" s="16" t="n"/>
      <c r="D131" s="13" t="n"/>
      <c r="E131" s="21" t="n"/>
      <c r="F131" s="16" t="n"/>
      <c r="G131" s="16" t="n"/>
      <c r="H131" s="13" t="n"/>
      <c r="I131" s="13">
        <f>IF(OR(D131="",F131=0,F131=""),"",D131/F131)</f>
        <v/>
      </c>
      <c r="J131" s="13">
        <f>IF(OR(D131="",G131=0,G131=""),"",D131/G131)</f>
        <v/>
      </c>
      <c r="K131" s="25">
        <f>IF(OR(D131="",D131=0),"",H131/D131)</f>
        <v/>
      </c>
    </row>
    <row r="132">
      <c r="A132" s="20" t="n"/>
      <c r="B132" s="16" t="n"/>
      <c r="C132" s="16" t="n"/>
      <c r="D132" s="13" t="n"/>
      <c r="E132" s="21" t="n"/>
      <c r="F132" s="16" t="n"/>
      <c r="G132" s="16" t="n"/>
      <c r="H132" s="13" t="n"/>
      <c r="I132" s="13">
        <f>IF(OR(D132="",F132=0,F132=""),"",D132/F132)</f>
        <v/>
      </c>
      <c r="J132" s="13">
        <f>IF(OR(D132="",G132=0,G132=""),"",D132/G132)</f>
        <v/>
      </c>
      <c r="K132" s="25">
        <f>IF(OR(D132="",D132=0),"",H132/D132)</f>
        <v/>
      </c>
    </row>
    <row r="133">
      <c r="A133" s="20" t="n"/>
      <c r="B133" s="16" t="n"/>
      <c r="C133" s="16" t="n"/>
      <c r="D133" s="13" t="n"/>
      <c r="E133" s="21" t="n"/>
      <c r="F133" s="16" t="n"/>
      <c r="G133" s="16" t="n"/>
      <c r="H133" s="13" t="n"/>
      <c r="I133" s="13">
        <f>IF(OR(D133="",F133=0,F133=""),"",D133/F133)</f>
        <v/>
      </c>
      <c r="J133" s="13">
        <f>IF(OR(D133="",G133=0,G133=""),"",D133/G133)</f>
        <v/>
      </c>
      <c r="K133" s="25">
        <f>IF(OR(D133="",D133=0),"",H133/D133)</f>
        <v/>
      </c>
    </row>
    <row r="134">
      <c r="A134" s="20" t="n"/>
      <c r="B134" s="16" t="n"/>
      <c r="C134" s="16" t="n"/>
      <c r="D134" s="13" t="n"/>
      <c r="E134" s="21" t="n"/>
      <c r="F134" s="16" t="n"/>
      <c r="G134" s="16" t="n"/>
      <c r="H134" s="13" t="n"/>
      <c r="I134" s="13">
        <f>IF(OR(D134="",F134=0,F134=""),"",D134/F134)</f>
        <v/>
      </c>
      <c r="J134" s="13">
        <f>IF(OR(D134="",G134=0,G134=""),"",D134/G134)</f>
        <v/>
      </c>
      <c r="K134" s="25">
        <f>IF(OR(D134="",D134=0),"",H134/D134)</f>
        <v/>
      </c>
    </row>
    <row r="135">
      <c r="A135" s="20" t="n"/>
      <c r="B135" s="16" t="n"/>
      <c r="C135" s="16" t="n"/>
      <c r="D135" s="13" t="n"/>
      <c r="E135" s="21" t="n"/>
      <c r="F135" s="16" t="n"/>
      <c r="G135" s="16" t="n"/>
      <c r="H135" s="13" t="n"/>
      <c r="I135" s="13">
        <f>IF(OR(D135="",F135=0,F135=""),"",D135/F135)</f>
        <v/>
      </c>
      <c r="J135" s="13">
        <f>IF(OR(D135="",G135=0,G135=""),"",D135/G135)</f>
        <v/>
      </c>
      <c r="K135" s="25">
        <f>IF(OR(D135="",D135=0),"",H135/D135)</f>
        <v/>
      </c>
    </row>
    <row r="136">
      <c r="A136" s="20" t="n"/>
      <c r="B136" s="16" t="n"/>
      <c r="C136" s="16" t="n"/>
      <c r="D136" s="13" t="n"/>
      <c r="E136" s="21" t="n"/>
      <c r="F136" s="16" t="n"/>
      <c r="G136" s="16" t="n"/>
      <c r="H136" s="13" t="n"/>
      <c r="I136" s="13">
        <f>IF(OR(D136="",F136=0,F136=""),"",D136/F136)</f>
        <v/>
      </c>
      <c r="J136" s="13">
        <f>IF(OR(D136="",G136=0,G136=""),"",D136/G136)</f>
        <v/>
      </c>
      <c r="K136" s="25">
        <f>IF(OR(D136="",D136=0),"",H136/D136)</f>
        <v/>
      </c>
    </row>
    <row r="137">
      <c r="A137" s="20" t="n"/>
      <c r="B137" s="16" t="n"/>
      <c r="C137" s="16" t="n"/>
      <c r="D137" s="13" t="n"/>
      <c r="E137" s="21" t="n"/>
      <c r="F137" s="16" t="n"/>
      <c r="G137" s="16" t="n"/>
      <c r="H137" s="13" t="n"/>
      <c r="I137" s="13">
        <f>IF(OR(D137="",F137=0,F137=""),"",D137/F137)</f>
        <v/>
      </c>
      <c r="J137" s="13">
        <f>IF(OR(D137="",G137=0,G137=""),"",D137/G137)</f>
        <v/>
      </c>
      <c r="K137" s="25">
        <f>IF(OR(D137="",D137=0),"",H137/D137)</f>
        <v/>
      </c>
    </row>
    <row r="138">
      <c r="A138" s="20" t="n"/>
      <c r="B138" s="16" t="n"/>
      <c r="C138" s="16" t="n"/>
      <c r="D138" s="13" t="n"/>
      <c r="E138" s="21" t="n"/>
      <c r="F138" s="16" t="n"/>
      <c r="G138" s="16" t="n"/>
      <c r="H138" s="13" t="n"/>
      <c r="I138" s="13">
        <f>IF(OR(D138="",F138=0,F138=""),"",D138/F138)</f>
        <v/>
      </c>
      <c r="J138" s="13">
        <f>IF(OR(D138="",G138=0,G138=""),"",D138/G138)</f>
        <v/>
      </c>
      <c r="K138" s="25">
        <f>IF(OR(D138="",D138=0),"",H138/D138)</f>
        <v/>
      </c>
    </row>
    <row r="139">
      <c r="A139" s="20" t="n"/>
      <c r="B139" s="16" t="n"/>
      <c r="C139" s="16" t="n"/>
      <c r="D139" s="13" t="n"/>
      <c r="E139" s="21" t="n"/>
      <c r="F139" s="16" t="n"/>
      <c r="G139" s="16" t="n"/>
      <c r="H139" s="13" t="n"/>
      <c r="I139" s="13">
        <f>IF(OR(D139="",F139=0,F139=""),"",D139/F139)</f>
        <v/>
      </c>
      <c r="J139" s="13">
        <f>IF(OR(D139="",G139=0,G139=""),"",D139/G139)</f>
        <v/>
      </c>
      <c r="K139" s="25">
        <f>IF(OR(D139="",D139=0),"",H139/D139)</f>
        <v/>
      </c>
    </row>
    <row r="140">
      <c r="A140" s="20" t="n"/>
      <c r="B140" s="16" t="n"/>
      <c r="C140" s="16" t="n"/>
      <c r="D140" s="13" t="n"/>
      <c r="E140" s="21" t="n"/>
      <c r="F140" s="16" t="n"/>
      <c r="G140" s="16" t="n"/>
      <c r="H140" s="13" t="n"/>
      <c r="I140" s="13">
        <f>IF(OR(D140="",F140=0,F140=""),"",D140/F140)</f>
        <v/>
      </c>
      <c r="J140" s="13">
        <f>IF(OR(D140="",G140=0,G140=""),"",D140/G140)</f>
        <v/>
      </c>
      <c r="K140" s="25">
        <f>IF(OR(D140="",D140=0),"",H140/D140)</f>
        <v/>
      </c>
    </row>
    <row r="141">
      <c r="A141" s="20" t="n"/>
      <c r="B141" s="16" t="n"/>
      <c r="C141" s="16" t="n"/>
      <c r="D141" s="13" t="n"/>
      <c r="E141" s="21" t="n"/>
      <c r="F141" s="16" t="n"/>
      <c r="G141" s="16" t="n"/>
      <c r="H141" s="13" t="n"/>
      <c r="I141" s="13">
        <f>IF(OR(D141="",F141=0,F141=""),"",D141/F141)</f>
        <v/>
      </c>
      <c r="J141" s="13">
        <f>IF(OR(D141="",G141=0,G141=""),"",D141/G141)</f>
        <v/>
      </c>
      <c r="K141" s="25">
        <f>IF(OR(D141="",D141=0),"",H141/D141)</f>
        <v/>
      </c>
    </row>
    <row r="142">
      <c r="A142" s="20" t="n"/>
      <c r="B142" s="16" t="n"/>
      <c r="C142" s="16" t="n"/>
      <c r="D142" s="13" t="n"/>
      <c r="E142" s="21" t="n"/>
      <c r="F142" s="16" t="n"/>
      <c r="G142" s="16" t="n"/>
      <c r="H142" s="13" t="n"/>
      <c r="I142" s="13">
        <f>IF(OR(D142="",F142=0,F142=""),"",D142/F142)</f>
        <v/>
      </c>
      <c r="J142" s="13">
        <f>IF(OR(D142="",G142=0,G142=""),"",D142/G142)</f>
        <v/>
      </c>
      <c r="K142" s="25">
        <f>IF(OR(D142="",D142=0),"",H142/D142)</f>
        <v/>
      </c>
    </row>
    <row r="143">
      <c r="A143" s="20" t="n"/>
      <c r="B143" s="16" t="n"/>
      <c r="C143" s="16" t="n"/>
      <c r="D143" s="13" t="n"/>
      <c r="E143" s="21" t="n"/>
      <c r="F143" s="16" t="n"/>
      <c r="G143" s="16" t="n"/>
      <c r="H143" s="13" t="n"/>
      <c r="I143" s="13">
        <f>IF(OR(D143="",F143=0,F143=""),"",D143/F143)</f>
        <v/>
      </c>
      <c r="J143" s="13">
        <f>IF(OR(D143="",G143=0,G143=""),"",D143/G143)</f>
        <v/>
      </c>
      <c r="K143" s="25">
        <f>IF(OR(D143="",D143=0),"",H143/D143)</f>
        <v/>
      </c>
    </row>
    <row r="144">
      <c r="A144" s="20" t="n"/>
      <c r="B144" s="16" t="n"/>
      <c r="C144" s="16" t="n"/>
      <c r="D144" s="13" t="n"/>
      <c r="E144" s="21" t="n"/>
      <c r="F144" s="16" t="n"/>
      <c r="G144" s="16" t="n"/>
      <c r="H144" s="13" t="n"/>
      <c r="I144" s="13">
        <f>IF(OR(D144="",F144=0,F144=""),"",D144/F144)</f>
        <v/>
      </c>
      <c r="J144" s="13">
        <f>IF(OR(D144="",G144=0,G144=""),"",D144/G144)</f>
        <v/>
      </c>
      <c r="K144" s="25">
        <f>IF(OR(D144="",D144=0),"",H144/D144)</f>
        <v/>
      </c>
    </row>
    <row r="145">
      <c r="A145" s="20" t="n"/>
      <c r="B145" s="16" t="n"/>
      <c r="C145" s="16" t="n"/>
      <c r="D145" s="13" t="n"/>
      <c r="E145" s="21" t="n"/>
      <c r="F145" s="16" t="n"/>
      <c r="G145" s="16" t="n"/>
      <c r="H145" s="13" t="n"/>
      <c r="I145" s="13">
        <f>IF(OR(D145="",F145=0,F145=""),"",D145/F145)</f>
        <v/>
      </c>
      <c r="J145" s="13">
        <f>IF(OR(D145="",G145=0,G145=""),"",D145/G145)</f>
        <v/>
      </c>
      <c r="K145" s="25">
        <f>IF(OR(D145="",D145=0),"",H145/D145)</f>
        <v/>
      </c>
    </row>
    <row r="146">
      <c r="A146" s="20" t="n"/>
      <c r="B146" s="16" t="n"/>
      <c r="C146" s="16" t="n"/>
      <c r="D146" s="13" t="n"/>
      <c r="E146" s="21" t="n"/>
      <c r="F146" s="16" t="n"/>
      <c r="G146" s="16" t="n"/>
      <c r="H146" s="13" t="n"/>
      <c r="I146" s="13">
        <f>IF(OR(D146="",F146=0,F146=""),"",D146/F146)</f>
        <v/>
      </c>
      <c r="J146" s="13">
        <f>IF(OR(D146="",G146=0,G146=""),"",D146/G146)</f>
        <v/>
      </c>
      <c r="K146" s="25">
        <f>IF(OR(D146="",D146=0),"",H146/D146)</f>
        <v/>
      </c>
    </row>
    <row r="147">
      <c r="A147" s="20" t="n"/>
      <c r="B147" s="16" t="n"/>
      <c r="C147" s="16" t="n"/>
      <c r="D147" s="13" t="n"/>
      <c r="E147" s="21" t="n"/>
      <c r="F147" s="16" t="n"/>
      <c r="G147" s="16" t="n"/>
      <c r="H147" s="13" t="n"/>
      <c r="I147" s="13">
        <f>IF(OR(D147="",F147=0,F147=""),"",D147/F147)</f>
        <v/>
      </c>
      <c r="J147" s="13">
        <f>IF(OR(D147="",G147=0,G147=""),"",D147/G147)</f>
        <v/>
      </c>
      <c r="K147" s="25">
        <f>IF(OR(D147="",D147=0),"",H147/D147)</f>
        <v/>
      </c>
    </row>
    <row r="148">
      <c r="A148" s="20" t="n"/>
      <c r="B148" s="16" t="n"/>
      <c r="C148" s="16" t="n"/>
      <c r="D148" s="13" t="n"/>
      <c r="E148" s="21" t="n"/>
      <c r="F148" s="16" t="n"/>
      <c r="G148" s="16" t="n"/>
      <c r="H148" s="13" t="n"/>
      <c r="I148" s="13">
        <f>IF(OR(D148="",F148=0,F148=""),"",D148/F148)</f>
        <v/>
      </c>
      <c r="J148" s="13">
        <f>IF(OR(D148="",G148=0,G148=""),"",D148/G148)</f>
        <v/>
      </c>
      <c r="K148" s="25">
        <f>IF(OR(D148="",D148=0),"",H148/D148)</f>
        <v/>
      </c>
    </row>
    <row r="149">
      <c r="A149" s="20" t="n"/>
      <c r="B149" s="16" t="n"/>
      <c r="C149" s="16" t="n"/>
      <c r="D149" s="13" t="n"/>
      <c r="E149" s="21" t="n"/>
      <c r="F149" s="16" t="n"/>
      <c r="G149" s="16" t="n"/>
      <c r="H149" s="13" t="n"/>
      <c r="I149" s="13">
        <f>IF(OR(D149="",F149=0,F149=""),"",D149/F149)</f>
        <v/>
      </c>
      <c r="J149" s="13">
        <f>IF(OR(D149="",G149=0,G149=""),"",D149/G149)</f>
        <v/>
      </c>
      <c r="K149" s="25">
        <f>IF(OR(D149="",D149=0),"",H149/D149)</f>
        <v/>
      </c>
    </row>
    <row r="150">
      <c r="A150" s="20" t="n"/>
      <c r="B150" s="16" t="n"/>
      <c r="C150" s="16" t="n"/>
      <c r="D150" s="13" t="n"/>
      <c r="E150" s="21" t="n"/>
      <c r="F150" s="16" t="n"/>
      <c r="G150" s="16" t="n"/>
      <c r="H150" s="13" t="n"/>
      <c r="I150" s="13">
        <f>IF(OR(D150="",F150=0,F150=""),"",D150/F150)</f>
        <v/>
      </c>
      <c r="J150" s="13">
        <f>IF(OR(D150="",G150=0,G150=""),"",D150/G150)</f>
        <v/>
      </c>
      <c r="K150" s="25">
        <f>IF(OR(D150="",D150=0),"",H150/D150)</f>
        <v/>
      </c>
    </row>
    <row r="151">
      <c r="A151" s="20" t="n"/>
      <c r="B151" s="16" t="n"/>
      <c r="C151" s="16" t="n"/>
      <c r="D151" s="13" t="n"/>
      <c r="E151" s="21" t="n"/>
      <c r="F151" s="16" t="n"/>
      <c r="G151" s="16" t="n"/>
      <c r="H151" s="13" t="n"/>
      <c r="I151" s="13">
        <f>IF(OR(D151="",F151=0,F151=""),"",D151/F151)</f>
        <v/>
      </c>
      <c r="J151" s="13">
        <f>IF(OR(D151="",G151=0,G151=""),"",D151/G151)</f>
        <v/>
      </c>
      <c r="K151" s="25">
        <f>IF(OR(D151="",D151=0),"",H151/D151)</f>
        <v/>
      </c>
    </row>
    <row r="152">
      <c r="A152" s="20" t="n"/>
      <c r="B152" s="16" t="n"/>
      <c r="C152" s="16" t="n"/>
      <c r="D152" s="13" t="n"/>
      <c r="E152" s="21" t="n"/>
      <c r="F152" s="16" t="n"/>
      <c r="G152" s="16" t="n"/>
      <c r="H152" s="13" t="n"/>
      <c r="I152" s="13">
        <f>IF(OR(D152="",F152=0,F152=""),"",D152/F152)</f>
        <v/>
      </c>
      <c r="J152" s="13">
        <f>IF(OR(D152="",G152=0,G152=""),"",D152/G152)</f>
        <v/>
      </c>
      <c r="K152" s="25">
        <f>IF(OR(D152="",D152=0),"",H152/D152)</f>
        <v/>
      </c>
    </row>
    <row r="153">
      <c r="A153" s="20" t="n"/>
      <c r="B153" s="16" t="n"/>
      <c r="C153" s="16" t="n"/>
      <c r="D153" s="13" t="n"/>
      <c r="E153" s="21" t="n"/>
      <c r="F153" s="16" t="n"/>
      <c r="G153" s="16" t="n"/>
      <c r="H153" s="13" t="n"/>
      <c r="I153" s="13">
        <f>IF(OR(D153="",F153=0,F153=""),"",D153/F153)</f>
        <v/>
      </c>
      <c r="J153" s="13">
        <f>IF(OR(D153="",G153=0,G153=""),"",D153/G153)</f>
        <v/>
      </c>
      <c r="K153" s="25">
        <f>IF(OR(D153="",D153=0),"",H153/D153)</f>
        <v/>
      </c>
    </row>
    <row r="154">
      <c r="A154" s="20" t="n"/>
      <c r="B154" s="16" t="n"/>
      <c r="C154" s="16" t="n"/>
      <c r="D154" s="13" t="n"/>
      <c r="E154" s="21" t="n"/>
      <c r="F154" s="16" t="n"/>
      <c r="G154" s="16" t="n"/>
      <c r="H154" s="13" t="n"/>
      <c r="I154" s="13">
        <f>IF(OR(D154="",F154=0,F154=""),"",D154/F154)</f>
        <v/>
      </c>
      <c r="J154" s="13">
        <f>IF(OR(D154="",G154=0,G154=""),"",D154/G154)</f>
        <v/>
      </c>
      <c r="K154" s="25">
        <f>IF(OR(D154="",D154=0),"",H154/D154)</f>
        <v/>
      </c>
    </row>
    <row r="155">
      <c r="A155" s="20" t="n"/>
      <c r="B155" s="16" t="n"/>
      <c r="C155" s="16" t="n"/>
      <c r="D155" s="13" t="n"/>
      <c r="E155" s="21" t="n"/>
      <c r="F155" s="16" t="n"/>
      <c r="G155" s="16" t="n"/>
      <c r="H155" s="13" t="n"/>
      <c r="I155" s="13">
        <f>IF(OR(D155="",F155=0,F155=""),"",D155/F155)</f>
        <v/>
      </c>
      <c r="J155" s="13">
        <f>IF(OR(D155="",G155=0,G155=""),"",D155/G155)</f>
        <v/>
      </c>
      <c r="K155" s="25">
        <f>IF(OR(D155="",D155=0),"",H155/D155)</f>
        <v/>
      </c>
    </row>
    <row r="156">
      <c r="A156" s="20" t="n"/>
      <c r="B156" s="16" t="n"/>
      <c r="C156" s="16" t="n"/>
      <c r="D156" s="13" t="n"/>
      <c r="E156" s="21" t="n"/>
      <c r="F156" s="16" t="n"/>
      <c r="G156" s="16" t="n"/>
      <c r="H156" s="13" t="n"/>
      <c r="I156" s="13">
        <f>IF(OR(D156="",F156=0,F156=""),"",D156/F156)</f>
        <v/>
      </c>
      <c r="J156" s="13">
        <f>IF(OR(D156="",G156=0,G156=""),"",D156/G156)</f>
        <v/>
      </c>
      <c r="K156" s="25">
        <f>IF(OR(D156="",D156=0),"",H156/D156)</f>
        <v/>
      </c>
    </row>
    <row r="157">
      <c r="A157" s="20" t="n"/>
      <c r="B157" s="16" t="n"/>
      <c r="C157" s="16" t="n"/>
      <c r="D157" s="13" t="n"/>
      <c r="E157" s="21" t="n"/>
      <c r="F157" s="16" t="n"/>
      <c r="G157" s="16" t="n"/>
      <c r="H157" s="13" t="n"/>
      <c r="I157" s="13">
        <f>IF(OR(D157="",F157=0,F157=""),"",D157/F157)</f>
        <v/>
      </c>
      <c r="J157" s="13">
        <f>IF(OR(D157="",G157=0,G157=""),"",D157/G157)</f>
        <v/>
      </c>
      <c r="K157" s="25">
        <f>IF(OR(D157="",D157=0),"",H157/D157)</f>
        <v/>
      </c>
    </row>
    <row r="158">
      <c r="A158" s="20" t="n"/>
      <c r="B158" s="16" t="n"/>
      <c r="C158" s="16" t="n"/>
      <c r="D158" s="13" t="n"/>
      <c r="E158" s="21" t="n"/>
      <c r="F158" s="16" t="n"/>
      <c r="G158" s="16" t="n"/>
      <c r="H158" s="13" t="n"/>
      <c r="I158" s="13">
        <f>IF(OR(D158="",F158=0,F158=""),"",D158/F158)</f>
        <v/>
      </c>
      <c r="J158" s="13">
        <f>IF(OR(D158="",G158=0,G158=""),"",D158/G158)</f>
        <v/>
      </c>
      <c r="K158" s="25">
        <f>IF(OR(D158="",D158=0),"",H158/D158)</f>
        <v/>
      </c>
    </row>
    <row r="159">
      <c r="A159" s="20" t="n"/>
      <c r="B159" s="16" t="n"/>
      <c r="C159" s="16" t="n"/>
      <c r="D159" s="13" t="n"/>
      <c r="E159" s="21" t="n"/>
      <c r="F159" s="16" t="n"/>
      <c r="G159" s="16" t="n"/>
      <c r="H159" s="13" t="n"/>
      <c r="I159" s="13">
        <f>IF(OR(D159="",F159=0,F159=""),"",D159/F159)</f>
        <v/>
      </c>
      <c r="J159" s="13">
        <f>IF(OR(D159="",G159=0,G159=""),"",D159/G159)</f>
        <v/>
      </c>
      <c r="K159" s="25">
        <f>IF(OR(D159="",D159=0),"",H159/D159)</f>
        <v/>
      </c>
    </row>
    <row r="160">
      <c r="A160" s="20" t="n"/>
      <c r="B160" s="16" t="n"/>
      <c r="C160" s="16" t="n"/>
      <c r="D160" s="13" t="n"/>
      <c r="E160" s="21" t="n"/>
      <c r="F160" s="16" t="n"/>
      <c r="G160" s="16" t="n"/>
      <c r="H160" s="13" t="n"/>
      <c r="I160" s="13">
        <f>IF(OR(D160="",F160=0,F160=""),"",D160/F160)</f>
        <v/>
      </c>
      <c r="J160" s="13">
        <f>IF(OR(D160="",G160=0,G160=""),"",D160/G160)</f>
        <v/>
      </c>
      <c r="K160" s="25">
        <f>IF(OR(D160="",D160=0),"",H160/D160)</f>
        <v/>
      </c>
    </row>
    <row r="161">
      <c r="A161" s="20" t="n"/>
      <c r="B161" s="16" t="n"/>
      <c r="C161" s="16" t="n"/>
      <c r="D161" s="13" t="n"/>
      <c r="E161" s="21" t="n"/>
      <c r="F161" s="16" t="n"/>
      <c r="G161" s="16" t="n"/>
      <c r="H161" s="13" t="n"/>
      <c r="I161" s="13">
        <f>IF(OR(D161="",F161=0,F161=""),"",D161/F161)</f>
        <v/>
      </c>
      <c r="J161" s="13">
        <f>IF(OR(D161="",G161=0,G161=""),"",D161/G161)</f>
        <v/>
      </c>
      <c r="K161" s="25">
        <f>IF(OR(D161="",D161=0),"",H161/D161)</f>
        <v/>
      </c>
    </row>
    <row r="162">
      <c r="A162" s="20" t="n"/>
      <c r="B162" s="16" t="n"/>
      <c r="C162" s="16" t="n"/>
      <c r="D162" s="13" t="n"/>
      <c r="E162" s="21" t="n"/>
      <c r="F162" s="16" t="n"/>
      <c r="G162" s="16" t="n"/>
      <c r="H162" s="13" t="n"/>
      <c r="I162" s="13">
        <f>IF(OR(D162="",F162=0,F162=""),"",D162/F162)</f>
        <v/>
      </c>
      <c r="J162" s="13">
        <f>IF(OR(D162="",G162=0,G162=""),"",D162/G162)</f>
        <v/>
      </c>
      <c r="K162" s="25">
        <f>IF(OR(D162="",D162=0),"",H162/D162)</f>
        <v/>
      </c>
    </row>
    <row r="163">
      <c r="A163" s="20" t="n"/>
      <c r="B163" s="16" t="n"/>
      <c r="C163" s="16" t="n"/>
      <c r="D163" s="13" t="n"/>
      <c r="E163" s="21" t="n"/>
      <c r="F163" s="16" t="n"/>
      <c r="G163" s="16" t="n"/>
      <c r="H163" s="13" t="n"/>
      <c r="I163" s="13">
        <f>IF(OR(D163="",F163=0,F163=""),"",D163/F163)</f>
        <v/>
      </c>
      <c r="J163" s="13">
        <f>IF(OR(D163="",G163=0,G163=""),"",D163/G163)</f>
        <v/>
      </c>
      <c r="K163" s="25">
        <f>IF(OR(D163="",D163=0),"",H163/D163)</f>
        <v/>
      </c>
    </row>
    <row r="164">
      <c r="A164" s="20" t="n"/>
      <c r="B164" s="16" t="n"/>
      <c r="C164" s="16" t="n"/>
      <c r="D164" s="13" t="n"/>
      <c r="E164" s="21" t="n"/>
      <c r="F164" s="16" t="n"/>
      <c r="G164" s="16" t="n"/>
      <c r="H164" s="13" t="n"/>
      <c r="I164" s="13">
        <f>IF(OR(D164="",F164=0,F164=""),"",D164/F164)</f>
        <v/>
      </c>
      <c r="J164" s="13">
        <f>IF(OR(D164="",G164=0,G164=""),"",D164/G164)</f>
        <v/>
      </c>
      <c r="K164" s="25">
        <f>IF(OR(D164="",D164=0),"",H164/D164)</f>
        <v/>
      </c>
    </row>
    <row r="165">
      <c r="A165" s="20" t="n"/>
      <c r="B165" s="16" t="n"/>
      <c r="C165" s="16" t="n"/>
      <c r="D165" s="13" t="n"/>
      <c r="E165" s="21" t="n"/>
      <c r="F165" s="16" t="n"/>
      <c r="G165" s="16" t="n"/>
      <c r="H165" s="13" t="n"/>
      <c r="I165" s="13">
        <f>IF(OR(D165="",F165=0,F165=""),"",D165/F165)</f>
        <v/>
      </c>
      <c r="J165" s="13">
        <f>IF(OR(D165="",G165=0,G165=""),"",D165/G165)</f>
        <v/>
      </c>
      <c r="K165" s="25">
        <f>IF(OR(D165="",D165=0),"",H165/D165)</f>
        <v/>
      </c>
    </row>
    <row r="166">
      <c r="A166" s="20" t="n"/>
      <c r="B166" s="16" t="n"/>
      <c r="C166" s="16" t="n"/>
      <c r="D166" s="13" t="n"/>
      <c r="E166" s="21" t="n"/>
      <c r="F166" s="16" t="n"/>
      <c r="G166" s="16" t="n"/>
      <c r="H166" s="13" t="n"/>
      <c r="I166" s="13">
        <f>IF(OR(D166="",F166=0,F166=""),"",D166/F166)</f>
        <v/>
      </c>
      <c r="J166" s="13">
        <f>IF(OR(D166="",G166=0,G166=""),"",D166/G166)</f>
        <v/>
      </c>
      <c r="K166" s="25">
        <f>IF(OR(D166="",D166=0),"",H166/D166)</f>
        <v/>
      </c>
    </row>
    <row r="167">
      <c r="A167" s="20" t="n"/>
      <c r="B167" s="16" t="n"/>
      <c r="C167" s="16" t="n"/>
      <c r="D167" s="13" t="n"/>
      <c r="E167" s="21" t="n"/>
      <c r="F167" s="16" t="n"/>
      <c r="G167" s="16" t="n"/>
      <c r="H167" s="13" t="n"/>
      <c r="I167" s="13">
        <f>IF(OR(D167="",F167=0,F167=""),"",D167/F167)</f>
        <v/>
      </c>
      <c r="J167" s="13">
        <f>IF(OR(D167="",G167=0,G167=""),"",D167/G167)</f>
        <v/>
      </c>
      <c r="K167" s="25">
        <f>IF(OR(D167="",D167=0),"",H167/D167)</f>
        <v/>
      </c>
    </row>
    <row r="168">
      <c r="A168" s="20" t="n"/>
      <c r="B168" s="16" t="n"/>
      <c r="C168" s="16" t="n"/>
      <c r="D168" s="13" t="n"/>
      <c r="E168" s="21" t="n"/>
      <c r="F168" s="16" t="n"/>
      <c r="G168" s="16" t="n"/>
      <c r="H168" s="13" t="n"/>
      <c r="I168" s="13">
        <f>IF(OR(D168="",F168=0,F168=""),"",D168/F168)</f>
        <v/>
      </c>
      <c r="J168" s="13">
        <f>IF(OR(D168="",G168=0,G168=""),"",D168/G168)</f>
        <v/>
      </c>
      <c r="K168" s="25">
        <f>IF(OR(D168="",D168=0),"",H168/D168)</f>
        <v/>
      </c>
    </row>
    <row r="169">
      <c r="A169" s="20" t="n"/>
      <c r="B169" s="16" t="n"/>
      <c r="C169" s="16" t="n"/>
      <c r="D169" s="13" t="n"/>
      <c r="E169" s="21" t="n"/>
      <c r="F169" s="16" t="n"/>
      <c r="G169" s="16" t="n"/>
      <c r="H169" s="13" t="n"/>
      <c r="I169" s="13">
        <f>IF(OR(D169="",F169=0,F169=""),"",D169/F169)</f>
        <v/>
      </c>
      <c r="J169" s="13">
        <f>IF(OR(D169="",G169=0,G169=""),"",D169/G169)</f>
        <v/>
      </c>
      <c r="K169" s="25">
        <f>IF(OR(D169="",D169=0),"",H169/D169)</f>
        <v/>
      </c>
    </row>
    <row r="170">
      <c r="A170" s="20" t="n"/>
      <c r="B170" s="16" t="n"/>
      <c r="C170" s="16" t="n"/>
      <c r="D170" s="13" t="n"/>
      <c r="E170" s="21" t="n"/>
      <c r="F170" s="16" t="n"/>
      <c r="G170" s="16" t="n"/>
      <c r="H170" s="13" t="n"/>
      <c r="I170" s="13">
        <f>IF(OR(D170="",F170=0,F170=""),"",D170/F170)</f>
        <v/>
      </c>
      <c r="J170" s="13">
        <f>IF(OR(D170="",G170=0,G170=""),"",D170/G170)</f>
        <v/>
      </c>
      <c r="K170" s="25">
        <f>IF(OR(D170="",D170=0),"",H170/D170)</f>
        <v/>
      </c>
    </row>
    <row r="171">
      <c r="A171" s="20" t="n"/>
      <c r="B171" s="16" t="n"/>
      <c r="C171" s="16" t="n"/>
      <c r="D171" s="13" t="n"/>
      <c r="E171" s="21" t="n"/>
      <c r="F171" s="16" t="n"/>
      <c r="G171" s="16" t="n"/>
      <c r="H171" s="13" t="n"/>
      <c r="I171" s="13">
        <f>IF(OR(D171="",F171=0,F171=""),"",D171/F171)</f>
        <v/>
      </c>
      <c r="J171" s="13">
        <f>IF(OR(D171="",G171=0,G171=""),"",D171/G171)</f>
        <v/>
      </c>
      <c r="K171" s="25">
        <f>IF(OR(D171="",D171=0),"",H171/D171)</f>
        <v/>
      </c>
    </row>
    <row r="172">
      <c r="A172" s="20" t="n"/>
      <c r="B172" s="16" t="n"/>
      <c r="C172" s="16" t="n"/>
      <c r="D172" s="13" t="n"/>
      <c r="E172" s="21" t="n"/>
      <c r="F172" s="16" t="n"/>
      <c r="G172" s="16" t="n"/>
      <c r="H172" s="13" t="n"/>
      <c r="I172" s="13">
        <f>IF(OR(D172="",F172=0,F172=""),"",D172/F172)</f>
        <v/>
      </c>
      <c r="J172" s="13">
        <f>IF(OR(D172="",G172=0,G172=""),"",D172/G172)</f>
        <v/>
      </c>
      <c r="K172" s="25">
        <f>IF(OR(D172="",D172=0),"",H172/D172)</f>
        <v/>
      </c>
    </row>
    <row r="173">
      <c r="A173" s="20" t="n"/>
      <c r="B173" s="16" t="n"/>
      <c r="C173" s="16" t="n"/>
      <c r="D173" s="13" t="n"/>
      <c r="E173" s="21" t="n"/>
      <c r="F173" s="16" t="n"/>
      <c r="G173" s="16" t="n"/>
      <c r="H173" s="13" t="n"/>
      <c r="I173" s="13">
        <f>IF(OR(D173="",F173=0,F173=""),"",D173/F173)</f>
        <v/>
      </c>
      <c r="J173" s="13">
        <f>IF(OR(D173="",G173=0,G173=""),"",D173/G173)</f>
        <v/>
      </c>
      <c r="K173" s="25">
        <f>IF(OR(D173="",D173=0),"",H173/D173)</f>
        <v/>
      </c>
    </row>
    <row r="174">
      <c r="A174" s="20" t="n"/>
      <c r="B174" s="16" t="n"/>
      <c r="C174" s="16" t="n"/>
      <c r="D174" s="13" t="n"/>
      <c r="E174" s="21" t="n"/>
      <c r="F174" s="16" t="n"/>
      <c r="G174" s="16" t="n"/>
      <c r="H174" s="13" t="n"/>
      <c r="I174" s="13">
        <f>IF(OR(D174="",F174=0,F174=""),"",D174/F174)</f>
        <v/>
      </c>
      <c r="J174" s="13">
        <f>IF(OR(D174="",G174=0,G174=""),"",D174/G174)</f>
        <v/>
      </c>
      <c r="K174" s="25">
        <f>IF(OR(D174="",D174=0),"",H174/D174)</f>
        <v/>
      </c>
    </row>
    <row r="175">
      <c r="A175" s="20" t="n"/>
      <c r="B175" s="16" t="n"/>
      <c r="C175" s="16" t="n"/>
      <c r="D175" s="13" t="n"/>
      <c r="E175" s="21" t="n"/>
      <c r="F175" s="16" t="n"/>
      <c r="G175" s="16" t="n"/>
      <c r="H175" s="13" t="n"/>
      <c r="I175" s="13">
        <f>IF(OR(D175="",F175=0,F175=""),"",D175/F175)</f>
        <v/>
      </c>
      <c r="J175" s="13">
        <f>IF(OR(D175="",G175=0,G175=""),"",D175/G175)</f>
        <v/>
      </c>
      <c r="K175" s="25">
        <f>IF(OR(D175="",D175=0),"",H175/D175)</f>
        <v/>
      </c>
    </row>
    <row r="176">
      <c r="A176" s="20" t="n"/>
      <c r="B176" s="16" t="n"/>
      <c r="C176" s="16" t="n"/>
      <c r="D176" s="13" t="n"/>
      <c r="E176" s="21" t="n"/>
      <c r="F176" s="16" t="n"/>
      <c r="G176" s="16" t="n"/>
      <c r="H176" s="13" t="n"/>
      <c r="I176" s="13">
        <f>IF(OR(D176="",F176=0,F176=""),"",D176/F176)</f>
        <v/>
      </c>
      <c r="J176" s="13">
        <f>IF(OR(D176="",G176=0,G176=""),"",D176/G176)</f>
        <v/>
      </c>
      <c r="K176" s="25">
        <f>IF(OR(D176="",D176=0),"",H176/D176)</f>
        <v/>
      </c>
    </row>
    <row r="177">
      <c r="A177" s="20" t="n"/>
      <c r="B177" s="16" t="n"/>
      <c r="C177" s="16" t="n"/>
      <c r="D177" s="13" t="n"/>
      <c r="E177" s="21" t="n"/>
      <c r="F177" s="16" t="n"/>
      <c r="G177" s="16" t="n"/>
      <c r="H177" s="13" t="n"/>
      <c r="I177" s="13">
        <f>IF(OR(D177="",F177=0,F177=""),"",D177/F177)</f>
        <v/>
      </c>
      <c r="J177" s="13">
        <f>IF(OR(D177="",G177=0,G177=""),"",D177/G177)</f>
        <v/>
      </c>
      <c r="K177" s="25">
        <f>IF(OR(D177="",D177=0),"",H177/D177)</f>
        <v/>
      </c>
    </row>
    <row r="178">
      <c r="A178" s="20" t="n"/>
      <c r="B178" s="16" t="n"/>
      <c r="C178" s="16" t="n"/>
      <c r="D178" s="13" t="n"/>
      <c r="E178" s="21" t="n"/>
      <c r="F178" s="16" t="n"/>
      <c r="G178" s="16" t="n"/>
      <c r="H178" s="13" t="n"/>
      <c r="I178" s="13">
        <f>IF(OR(D178="",F178=0,F178=""),"",D178/F178)</f>
        <v/>
      </c>
      <c r="J178" s="13">
        <f>IF(OR(D178="",G178=0,G178=""),"",D178/G178)</f>
        <v/>
      </c>
      <c r="K178" s="25">
        <f>IF(OR(D178="",D178=0),"",H178/D178)</f>
        <v/>
      </c>
    </row>
    <row r="179">
      <c r="A179" s="20" t="n"/>
      <c r="B179" s="16" t="n"/>
      <c r="C179" s="16" t="n"/>
      <c r="D179" s="13" t="n"/>
      <c r="E179" s="21" t="n"/>
      <c r="F179" s="16" t="n"/>
      <c r="G179" s="16" t="n"/>
      <c r="H179" s="13" t="n"/>
      <c r="I179" s="13">
        <f>IF(OR(D179="",F179=0,F179=""),"",D179/F179)</f>
        <v/>
      </c>
      <c r="J179" s="13">
        <f>IF(OR(D179="",G179=0,G179=""),"",D179/G179)</f>
        <v/>
      </c>
      <c r="K179" s="25">
        <f>IF(OR(D179="",D179=0),"",H179/D179)</f>
        <v/>
      </c>
    </row>
    <row r="180">
      <c r="A180" s="20" t="n"/>
      <c r="B180" s="16" t="n"/>
      <c r="C180" s="16" t="n"/>
      <c r="D180" s="13" t="n"/>
      <c r="E180" s="21" t="n"/>
      <c r="F180" s="16" t="n"/>
      <c r="G180" s="16" t="n"/>
      <c r="H180" s="13" t="n"/>
      <c r="I180" s="13">
        <f>IF(OR(D180="",F180=0,F180=""),"",D180/F180)</f>
        <v/>
      </c>
      <c r="J180" s="13">
        <f>IF(OR(D180="",G180=0,G180=""),"",D180/G180)</f>
        <v/>
      </c>
      <c r="K180" s="25">
        <f>IF(OR(D180="",D180=0),"",H180/D180)</f>
        <v/>
      </c>
    </row>
    <row r="181">
      <c r="A181" s="20" t="n"/>
      <c r="B181" s="16" t="n"/>
      <c r="C181" s="16" t="n"/>
      <c r="D181" s="13" t="n"/>
      <c r="E181" s="21" t="n"/>
      <c r="F181" s="16" t="n"/>
      <c r="G181" s="16" t="n"/>
      <c r="H181" s="13" t="n"/>
      <c r="I181" s="13">
        <f>IF(OR(D181="",F181=0,F181=""),"",D181/F181)</f>
        <v/>
      </c>
      <c r="J181" s="13">
        <f>IF(OR(D181="",G181=0,G181=""),"",D181/G181)</f>
        <v/>
      </c>
      <c r="K181" s="25">
        <f>IF(OR(D181="",D181=0),"",H181/D181)</f>
        <v/>
      </c>
    </row>
    <row r="182">
      <c r="A182" s="20" t="n"/>
      <c r="B182" s="16" t="n"/>
      <c r="C182" s="16" t="n"/>
      <c r="D182" s="13" t="n"/>
      <c r="E182" s="21" t="n"/>
      <c r="F182" s="16" t="n"/>
      <c r="G182" s="16" t="n"/>
      <c r="H182" s="13" t="n"/>
      <c r="I182" s="13">
        <f>IF(OR(D182="",F182=0,F182=""),"",D182/F182)</f>
        <v/>
      </c>
      <c r="J182" s="13">
        <f>IF(OR(D182="",G182=0,G182=""),"",D182/G182)</f>
        <v/>
      </c>
      <c r="K182" s="25">
        <f>IF(OR(D182="",D182=0),"",H182/D182)</f>
        <v/>
      </c>
    </row>
    <row r="183">
      <c r="A183" s="20" t="n"/>
      <c r="B183" s="16" t="n"/>
      <c r="C183" s="16" t="n"/>
      <c r="D183" s="13" t="n"/>
      <c r="E183" s="21" t="n"/>
      <c r="F183" s="16" t="n"/>
      <c r="G183" s="16" t="n"/>
      <c r="H183" s="13" t="n"/>
      <c r="I183" s="13">
        <f>IF(OR(D183="",F183=0,F183=""),"",D183/F183)</f>
        <v/>
      </c>
      <c r="J183" s="13">
        <f>IF(OR(D183="",G183=0,G183=""),"",D183/G183)</f>
        <v/>
      </c>
      <c r="K183" s="25">
        <f>IF(OR(D183="",D183=0),"",H183/D183)</f>
        <v/>
      </c>
    </row>
    <row r="184">
      <c r="A184" s="20" t="n"/>
      <c r="B184" s="16" t="n"/>
      <c r="C184" s="16" t="n"/>
      <c r="D184" s="13" t="n"/>
      <c r="E184" s="21" t="n"/>
      <c r="F184" s="16" t="n"/>
      <c r="G184" s="16" t="n"/>
      <c r="H184" s="13" t="n"/>
      <c r="I184" s="13">
        <f>IF(OR(D184="",F184=0,F184=""),"",D184/F184)</f>
        <v/>
      </c>
      <c r="J184" s="13">
        <f>IF(OR(D184="",G184=0,G184=""),"",D184/G184)</f>
        <v/>
      </c>
      <c r="K184" s="25">
        <f>IF(OR(D184="",D184=0),"",H184/D184)</f>
        <v/>
      </c>
    </row>
    <row r="185">
      <c r="A185" s="20" t="n"/>
      <c r="B185" s="16" t="n"/>
      <c r="C185" s="16" t="n"/>
      <c r="D185" s="13" t="n"/>
      <c r="E185" s="21" t="n"/>
      <c r="F185" s="16" t="n"/>
      <c r="G185" s="16" t="n"/>
      <c r="H185" s="13" t="n"/>
      <c r="I185" s="13">
        <f>IF(OR(D185="",F185=0,F185=""),"",D185/F185)</f>
        <v/>
      </c>
      <c r="J185" s="13">
        <f>IF(OR(D185="",G185=0,G185=""),"",D185/G185)</f>
        <v/>
      </c>
      <c r="K185" s="25">
        <f>IF(OR(D185="",D185=0),"",H185/D185)</f>
        <v/>
      </c>
    </row>
    <row r="186">
      <c r="A186" s="20" t="n"/>
      <c r="B186" s="16" t="n"/>
      <c r="C186" s="16" t="n"/>
      <c r="D186" s="13" t="n"/>
      <c r="E186" s="21" t="n"/>
      <c r="F186" s="16" t="n"/>
      <c r="G186" s="16" t="n"/>
      <c r="H186" s="13" t="n"/>
      <c r="I186" s="13">
        <f>IF(OR(D186="",F186=0,F186=""),"",D186/F186)</f>
        <v/>
      </c>
      <c r="J186" s="13">
        <f>IF(OR(D186="",G186=0,G186=""),"",D186/G186)</f>
        <v/>
      </c>
      <c r="K186" s="25">
        <f>IF(OR(D186="",D186=0),"",H186/D186)</f>
        <v/>
      </c>
    </row>
    <row r="187">
      <c r="A187" s="20" t="n"/>
      <c r="B187" s="16" t="n"/>
      <c r="C187" s="16" t="n"/>
      <c r="D187" s="13" t="n"/>
      <c r="E187" s="21" t="n"/>
      <c r="F187" s="16" t="n"/>
      <c r="G187" s="16" t="n"/>
      <c r="H187" s="13" t="n"/>
      <c r="I187" s="13">
        <f>IF(OR(D187="",F187=0,F187=""),"",D187/F187)</f>
        <v/>
      </c>
      <c r="J187" s="13">
        <f>IF(OR(D187="",G187=0,G187=""),"",D187/G187)</f>
        <v/>
      </c>
      <c r="K187" s="25">
        <f>IF(OR(D187="",D187=0),"",H187/D187)</f>
        <v/>
      </c>
    </row>
    <row r="188">
      <c r="A188" s="20" t="n"/>
      <c r="B188" s="16" t="n"/>
      <c r="C188" s="16" t="n"/>
      <c r="D188" s="13" t="n"/>
      <c r="E188" s="21" t="n"/>
      <c r="F188" s="16" t="n"/>
      <c r="G188" s="16" t="n"/>
      <c r="H188" s="13" t="n"/>
      <c r="I188" s="13">
        <f>IF(OR(D188="",F188=0,F188=""),"",D188/F188)</f>
        <v/>
      </c>
      <c r="J188" s="13">
        <f>IF(OR(D188="",G188=0,G188=""),"",D188/G188)</f>
        <v/>
      </c>
      <c r="K188" s="25">
        <f>IF(OR(D188="",D188=0),"",H188/D188)</f>
        <v/>
      </c>
    </row>
    <row r="189">
      <c r="A189" s="20" t="n"/>
      <c r="B189" s="16" t="n"/>
      <c r="C189" s="16" t="n"/>
      <c r="D189" s="13" t="n"/>
      <c r="E189" s="21" t="n"/>
      <c r="F189" s="16" t="n"/>
      <c r="G189" s="16" t="n"/>
      <c r="H189" s="13" t="n"/>
      <c r="I189" s="13">
        <f>IF(OR(D189="",F189=0,F189=""),"",D189/F189)</f>
        <v/>
      </c>
      <c r="J189" s="13">
        <f>IF(OR(D189="",G189=0,G189=""),"",D189/G189)</f>
        <v/>
      </c>
      <c r="K189" s="25">
        <f>IF(OR(D189="",D189=0),"",H189/D189)</f>
        <v/>
      </c>
    </row>
    <row r="190">
      <c r="A190" s="20" t="n"/>
      <c r="B190" s="16" t="n"/>
      <c r="C190" s="16" t="n"/>
      <c r="D190" s="13" t="n"/>
      <c r="E190" s="21" t="n"/>
      <c r="F190" s="16" t="n"/>
      <c r="G190" s="16" t="n"/>
      <c r="H190" s="13" t="n"/>
      <c r="I190" s="13">
        <f>IF(OR(D190="",F190=0,F190=""),"",D190/F190)</f>
        <v/>
      </c>
      <c r="J190" s="13">
        <f>IF(OR(D190="",G190=0,G190=""),"",D190/G190)</f>
        <v/>
      </c>
      <c r="K190" s="25">
        <f>IF(OR(D190="",D190=0),"",H190/D190)</f>
        <v/>
      </c>
    </row>
    <row r="191">
      <c r="A191" s="20" t="n"/>
      <c r="B191" s="16" t="n"/>
      <c r="C191" s="16" t="n"/>
      <c r="D191" s="13" t="n"/>
      <c r="E191" s="21" t="n"/>
      <c r="F191" s="16" t="n"/>
      <c r="G191" s="16" t="n"/>
      <c r="H191" s="13" t="n"/>
      <c r="I191" s="13">
        <f>IF(OR(D191="",F191=0,F191=""),"",D191/F191)</f>
        <v/>
      </c>
      <c r="J191" s="13">
        <f>IF(OR(D191="",G191=0,G191=""),"",D191/G191)</f>
        <v/>
      </c>
      <c r="K191" s="25">
        <f>IF(OR(D191="",D191=0),"",H191/D191)</f>
        <v/>
      </c>
    </row>
    <row r="192">
      <c r="A192" s="20" t="n"/>
      <c r="B192" s="16" t="n"/>
      <c r="C192" s="16" t="n"/>
      <c r="D192" s="13" t="n"/>
      <c r="E192" s="21" t="n"/>
      <c r="F192" s="16" t="n"/>
      <c r="G192" s="16" t="n"/>
      <c r="H192" s="13" t="n"/>
      <c r="I192" s="13">
        <f>IF(OR(D192="",F192=0,F192=""),"",D192/F192)</f>
        <v/>
      </c>
      <c r="J192" s="13">
        <f>IF(OR(D192="",G192=0,G192=""),"",D192/G192)</f>
        <v/>
      </c>
      <c r="K192" s="25">
        <f>IF(OR(D192="",D192=0),"",H192/D192)</f>
        <v/>
      </c>
    </row>
    <row r="193">
      <c r="A193" s="20" t="n"/>
      <c r="B193" s="16" t="n"/>
      <c r="C193" s="16" t="n"/>
      <c r="D193" s="13" t="n"/>
      <c r="E193" s="21" t="n"/>
      <c r="F193" s="16" t="n"/>
      <c r="G193" s="16" t="n"/>
      <c r="H193" s="13" t="n"/>
      <c r="I193" s="13">
        <f>IF(OR(D193="",F193=0,F193=""),"",D193/F193)</f>
        <v/>
      </c>
      <c r="J193" s="13">
        <f>IF(OR(D193="",G193=0,G193=""),"",D193/G193)</f>
        <v/>
      </c>
      <c r="K193" s="25">
        <f>IF(OR(D193="",D193=0),"",H193/D193)</f>
        <v/>
      </c>
    </row>
    <row r="194">
      <c r="A194" s="20" t="n"/>
      <c r="B194" s="16" t="n"/>
      <c r="C194" s="16" t="n"/>
      <c r="D194" s="13" t="n"/>
      <c r="E194" s="21" t="n"/>
      <c r="F194" s="16" t="n"/>
      <c r="G194" s="16" t="n"/>
      <c r="H194" s="13" t="n"/>
      <c r="I194" s="13">
        <f>IF(OR(D194="",F194=0,F194=""),"",D194/F194)</f>
        <v/>
      </c>
      <c r="J194" s="13">
        <f>IF(OR(D194="",G194=0,G194=""),"",D194/G194)</f>
        <v/>
      </c>
      <c r="K194" s="25">
        <f>IF(OR(D194="",D194=0),"",H194/D194)</f>
        <v/>
      </c>
    </row>
    <row r="195">
      <c r="A195" s="20" t="n"/>
      <c r="B195" s="16" t="n"/>
      <c r="C195" s="16" t="n"/>
      <c r="D195" s="13" t="n"/>
      <c r="E195" s="21" t="n"/>
      <c r="F195" s="16" t="n"/>
      <c r="G195" s="16" t="n"/>
      <c r="H195" s="13" t="n"/>
      <c r="I195" s="13">
        <f>IF(OR(D195="",F195=0,F195=""),"",D195/F195)</f>
        <v/>
      </c>
      <c r="J195" s="13">
        <f>IF(OR(D195="",G195=0,G195=""),"",D195/G195)</f>
        <v/>
      </c>
      <c r="K195" s="25">
        <f>IF(OR(D195="",D195=0),"",H195/D195)</f>
        <v/>
      </c>
    </row>
    <row r="196">
      <c r="A196" s="20" t="n"/>
      <c r="B196" s="16" t="n"/>
      <c r="C196" s="16" t="n"/>
      <c r="D196" s="13" t="n"/>
      <c r="E196" s="21" t="n"/>
      <c r="F196" s="16" t="n"/>
      <c r="G196" s="16" t="n"/>
      <c r="H196" s="13" t="n"/>
      <c r="I196" s="13">
        <f>IF(OR(D196="",F196=0,F196=""),"",D196/F196)</f>
        <v/>
      </c>
      <c r="J196" s="13">
        <f>IF(OR(D196="",G196=0,G196=""),"",D196/G196)</f>
        <v/>
      </c>
      <c r="K196" s="25">
        <f>IF(OR(D196="",D196=0),"",H196/D196)</f>
        <v/>
      </c>
    </row>
    <row r="197">
      <c r="A197" s="20" t="n"/>
      <c r="B197" s="16" t="n"/>
      <c r="C197" s="16" t="n"/>
      <c r="D197" s="13" t="n"/>
      <c r="E197" s="21" t="n"/>
      <c r="F197" s="16" t="n"/>
      <c r="G197" s="16" t="n"/>
      <c r="H197" s="13" t="n"/>
      <c r="I197" s="13">
        <f>IF(OR(D197="",F197=0,F197=""),"",D197/F197)</f>
        <v/>
      </c>
      <c r="J197" s="13">
        <f>IF(OR(D197="",G197=0,G197=""),"",D197/G197)</f>
        <v/>
      </c>
      <c r="K197" s="25">
        <f>IF(OR(D197="",D197=0),"",H197/D197)</f>
        <v/>
      </c>
    </row>
    <row r="198">
      <c r="A198" s="20" t="n"/>
      <c r="B198" s="16" t="n"/>
      <c r="C198" s="16" t="n"/>
      <c r="D198" s="13" t="n"/>
      <c r="E198" s="21" t="n"/>
      <c r="F198" s="16" t="n"/>
      <c r="G198" s="16" t="n"/>
      <c r="H198" s="13" t="n"/>
      <c r="I198" s="13">
        <f>IF(OR(D198="",F198=0,F198=""),"",D198/F198)</f>
        <v/>
      </c>
      <c r="J198" s="13">
        <f>IF(OR(D198="",G198=0,G198=""),"",D198/G198)</f>
        <v/>
      </c>
      <c r="K198" s="25">
        <f>IF(OR(D198="",D198=0),"",H198/D198)</f>
        <v/>
      </c>
    </row>
    <row r="199">
      <c r="A199" s="20" t="n"/>
      <c r="B199" s="16" t="n"/>
      <c r="C199" s="16" t="n"/>
      <c r="D199" s="13" t="n"/>
      <c r="E199" s="21" t="n"/>
      <c r="F199" s="16" t="n"/>
      <c r="G199" s="16" t="n"/>
      <c r="H199" s="13" t="n"/>
      <c r="I199" s="13">
        <f>IF(OR(D199="",F199=0,F199=""),"",D199/F199)</f>
        <v/>
      </c>
      <c r="J199" s="13">
        <f>IF(OR(D199="",G199=0,G199=""),"",D199/G199)</f>
        <v/>
      </c>
      <c r="K199" s="25">
        <f>IF(OR(D199="",D199=0),"",H199/D199)</f>
        <v/>
      </c>
    </row>
    <row r="200">
      <c r="A200" s="20" t="n"/>
      <c r="B200" s="16" t="n"/>
      <c r="C200" s="16" t="n"/>
      <c r="D200" s="13" t="n"/>
      <c r="E200" s="21" t="n"/>
      <c r="F200" s="16" t="n"/>
      <c r="G200" s="16" t="n"/>
      <c r="H200" s="13" t="n"/>
      <c r="I200" s="13">
        <f>IF(OR(D200="",F200=0,F200=""),"",D200/F200)</f>
        <v/>
      </c>
      <c r="J200" s="13">
        <f>IF(OR(D200="",G200=0,G200=""),"",D200/G200)</f>
        <v/>
      </c>
      <c r="K200" s="25">
        <f>IF(OR(D200="",D200=0),"",H200/D200)</f>
        <v/>
      </c>
    </row>
    <row r="201">
      <c r="A201" s="20" t="n"/>
      <c r="B201" s="16" t="n"/>
      <c r="C201" s="16" t="n"/>
      <c r="D201" s="13" t="n"/>
      <c r="E201" s="21" t="n"/>
      <c r="F201" s="16" t="n"/>
      <c r="G201" s="16" t="n"/>
      <c r="H201" s="13" t="n"/>
      <c r="I201" s="13">
        <f>IF(OR(D201="",F201=0,F201=""),"",D201/F201)</f>
        <v/>
      </c>
      <c r="J201" s="13">
        <f>IF(OR(D201="",G201=0,G201=""),"",D201/G201)</f>
        <v/>
      </c>
      <c r="K201" s="25">
        <f>IF(OR(D201="",D201=0),"",H201/D201)</f>
        <v/>
      </c>
    </row>
    <row r="202">
      <c r="A202" s="20" t="n"/>
      <c r="B202" s="16" t="n"/>
      <c r="C202" s="16" t="n"/>
      <c r="D202" s="13" t="n"/>
      <c r="E202" s="21" t="n"/>
      <c r="F202" s="16" t="n"/>
      <c r="G202" s="16" t="n"/>
      <c r="H202" s="13" t="n"/>
      <c r="I202" s="13">
        <f>IF(OR(D202="",F202=0,F202=""),"",D202/F202)</f>
        <v/>
      </c>
      <c r="J202" s="13">
        <f>IF(OR(D202="",G202=0,G202=""),"",D202/G202)</f>
        <v/>
      </c>
      <c r="K202" s="25">
        <f>IF(OR(D202="",D202=0),"",H202/D202)</f>
        <v/>
      </c>
    </row>
    <row r="203">
      <c r="A203" s="20" t="n"/>
      <c r="B203" s="16" t="n"/>
      <c r="C203" s="16" t="n"/>
      <c r="D203" s="13" t="n"/>
      <c r="E203" s="21" t="n"/>
      <c r="F203" s="16" t="n"/>
      <c r="G203" s="16" t="n"/>
      <c r="H203" s="13" t="n"/>
      <c r="I203" s="13">
        <f>IF(OR(D203="",F203=0,F203=""),"",D203/F203)</f>
        <v/>
      </c>
      <c r="J203" s="13">
        <f>IF(OR(D203="",G203=0,G203=""),"",D203/G203)</f>
        <v/>
      </c>
      <c r="K203" s="25">
        <f>IF(OR(D203="",D203=0),"",H203/D203)</f>
        <v/>
      </c>
    </row>
    <row r="204">
      <c r="A204" s="20" t="n"/>
      <c r="B204" s="16" t="n"/>
      <c r="C204" s="16" t="n"/>
      <c r="D204" s="13" t="n"/>
      <c r="E204" s="21" t="n"/>
      <c r="F204" s="16" t="n"/>
      <c r="G204" s="16" t="n"/>
      <c r="H204" s="13" t="n"/>
      <c r="I204" s="13">
        <f>IF(OR(D204="",F204=0,F204=""),"",D204/F204)</f>
        <v/>
      </c>
      <c r="J204" s="13">
        <f>IF(OR(D204="",G204=0,G204=""),"",D204/G204)</f>
        <v/>
      </c>
      <c r="K204" s="25">
        <f>IF(OR(D204="",D204=0),"",H204/D204)</f>
        <v/>
      </c>
    </row>
    <row r="205">
      <c r="A205" s="20" t="n"/>
      <c r="B205" s="16" t="n"/>
      <c r="C205" s="16" t="n"/>
      <c r="D205" s="13" t="n"/>
      <c r="E205" s="21" t="n"/>
      <c r="F205" s="16" t="n"/>
      <c r="G205" s="16" t="n"/>
      <c r="H205" s="13" t="n"/>
      <c r="I205" s="13">
        <f>IF(OR(D205="",F205=0,F205=""),"",D205/F205)</f>
        <v/>
      </c>
      <c r="J205" s="13">
        <f>IF(OR(D205="",G205=0,G205=""),"",D205/G205)</f>
        <v/>
      </c>
      <c r="K205" s="25">
        <f>IF(OR(D205="",D205=0),"",H205/D205)</f>
        <v/>
      </c>
    </row>
    <row r="206">
      <c r="A206" s="20" t="n"/>
      <c r="B206" s="16" t="n"/>
      <c r="C206" s="16" t="n"/>
      <c r="D206" s="13" t="n"/>
      <c r="E206" s="21" t="n"/>
      <c r="F206" s="16" t="n"/>
      <c r="G206" s="16" t="n"/>
      <c r="H206" s="13" t="n"/>
      <c r="I206" s="13">
        <f>IF(OR(D206="",F206=0,F206=""),"",D206/F206)</f>
        <v/>
      </c>
      <c r="J206" s="13">
        <f>IF(OR(D206="",G206=0,G206=""),"",D206/G206)</f>
        <v/>
      </c>
      <c r="K206" s="25">
        <f>IF(OR(D206="",D206=0),"",H206/D206)</f>
        <v/>
      </c>
    </row>
    <row r="207">
      <c r="A207" s="20" t="n"/>
      <c r="B207" s="16" t="n"/>
      <c r="C207" s="16" t="n"/>
      <c r="D207" s="13" t="n"/>
      <c r="E207" s="21" t="n"/>
      <c r="F207" s="16" t="n"/>
      <c r="G207" s="16" t="n"/>
      <c r="H207" s="13" t="n"/>
      <c r="I207" s="13">
        <f>IF(OR(D207="",F207=0,F207=""),"",D207/F207)</f>
        <v/>
      </c>
      <c r="J207" s="13">
        <f>IF(OR(D207="",G207=0,G207=""),"",D207/G207)</f>
        <v/>
      </c>
      <c r="K207" s="25">
        <f>IF(OR(D207="",D207=0),"",H207/D207)</f>
        <v/>
      </c>
    </row>
    <row r="208">
      <c r="A208" s="20" t="n"/>
      <c r="B208" s="16" t="n"/>
      <c r="C208" s="16" t="n"/>
      <c r="D208" s="13" t="n"/>
      <c r="E208" s="21" t="n"/>
      <c r="F208" s="16" t="n"/>
      <c r="G208" s="16" t="n"/>
      <c r="H208" s="13" t="n"/>
      <c r="I208" s="13">
        <f>IF(OR(D208="",F208=0,F208=""),"",D208/F208)</f>
        <v/>
      </c>
      <c r="J208" s="13">
        <f>IF(OR(D208="",G208=0,G208=""),"",D208/G208)</f>
        <v/>
      </c>
      <c r="K208" s="25">
        <f>IF(OR(D208="",D208=0),"",H208/D208)</f>
        <v/>
      </c>
    </row>
  </sheetData>
  <dataValidations count="1">
    <dataValidation sqref="C5:C208" showDropDown="0" showInputMessage="0" showErrorMessage="0" allowBlank="1" type="list">
      <formula1>"انستغرام,فيسبوك,انستغرام + فيسبوك,تيك توك"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"/>
  <sheetViews>
    <sheetView rightToLeft="1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" customWidth="1" min="8" max="8"/>
  </cols>
  <sheetData>
    <row r="1">
      <c r="A1" s="1" t="inlineStr">
        <is>
          <t>الملخص الشهري</t>
        </is>
      </c>
    </row>
    <row r="3">
      <c r="A3" s="16" t="inlineStr">
        <is>
          <t>أول شهر بالجدول</t>
        </is>
      </c>
      <c r="B3" s="27" t="n">
        <v>46296</v>
      </c>
    </row>
    <row r="5">
      <c r="A5" s="2" t="inlineStr">
        <is>
          <t>أرقام كلية</t>
        </is>
      </c>
    </row>
    <row r="6">
      <c r="A6" s="24" t="inlineStr">
        <is>
          <t>عدد الطلبات</t>
        </is>
      </c>
      <c r="B6" s="28">
        <f>COUNTIFS('الطلبات'!H5:H504,"&gt;0",'الطلبات'!M5:M504,"&lt;&gt;ملغي")</f>
        <v/>
      </c>
    </row>
    <row r="7">
      <c r="A7" s="24" t="inlineStr">
        <is>
          <t>إجمالي المبيعات</t>
        </is>
      </c>
      <c r="B7" s="29">
        <f>SUMIFS('الطلبات'!I5:I504,'الطلبات'!M5:M504,"&lt;&gt;ملغي")</f>
        <v/>
      </c>
    </row>
    <row r="8">
      <c r="A8" s="24" t="inlineStr">
        <is>
          <t>متوسط قيمة الطلب</t>
        </is>
      </c>
      <c r="B8" s="14">
        <f>IFERROR(B7/B6,0)</f>
        <v/>
      </c>
    </row>
    <row r="9">
      <c r="A9" s="24" t="inlineStr">
        <is>
          <t>إجمالي المصاريف</t>
        </is>
      </c>
      <c r="B9" s="29">
        <f>'المصاريف'!G14</f>
        <v/>
      </c>
    </row>
    <row r="10">
      <c r="A10" s="24" t="inlineStr">
        <is>
          <t>صافي الربح (نقدي)</t>
        </is>
      </c>
      <c r="B10" s="14">
        <f>SUM(G23:G34)</f>
        <v/>
      </c>
    </row>
    <row r="11">
      <c r="A11" s="24" t="inlineStr">
        <is>
          <t>المتبقي بالمخزون</t>
        </is>
      </c>
      <c r="B11" s="28">
        <f>'المخزون'!B6</f>
        <v/>
      </c>
    </row>
    <row r="14">
      <c r="A14" s="8" t="inlineStr">
        <is>
          <t>صافي الربح = المبيعات + رسوم التوصيل المحصلة − تكلفة التوصيل − كل المصاريف (بضاعة، شحن، إعلانات...). يعني الفلوس اللي فعلاً ضلت معك.</t>
        </is>
      </c>
    </row>
    <row r="21">
      <c r="A21" s="2" t="inlineStr">
        <is>
          <t>حسب الشهر</t>
        </is>
      </c>
    </row>
    <row r="22" ht="32" customHeight="1">
      <c r="A22" s="15" t="inlineStr">
        <is>
          <t>الشهر</t>
        </is>
      </c>
      <c r="B22" s="15" t="inlineStr">
        <is>
          <t>عدد الطلبات</t>
        </is>
      </c>
      <c r="C22" s="15" t="inlineStr">
        <is>
          <t>المبيعات</t>
        </is>
      </c>
      <c r="D22" s="15" t="inlineStr">
        <is>
          <t>رسوم التوصيل المحصلة</t>
        </is>
      </c>
      <c r="E22" s="15" t="inlineStr">
        <is>
          <t>تكلفة التوصيل</t>
        </is>
      </c>
      <c r="F22" s="15" t="inlineStr">
        <is>
          <t>المصاريف</t>
        </is>
      </c>
      <c r="G22" s="15" t="inlineStr">
        <is>
          <t>صافي الربح</t>
        </is>
      </c>
    </row>
    <row r="23">
      <c r="A23" s="30">
        <f>B3</f>
        <v/>
      </c>
      <c r="B23" s="21">
        <f>COUNTIFS('الطلبات'!$B$5:$B$504,"&gt;="&amp;A23,'الطلبات'!$B$5:$B$504,"&lt;"&amp;EDATE(A23,1),'الطلبات'!$M$5:$M$504,"&lt;&gt;ملغي",'الطلبات'!$H$5:$H$504,"&gt;0")</f>
        <v/>
      </c>
      <c r="C23" s="13">
        <f>SUMIFS('الطلبات'!$I$5:$I$504,'الطلبات'!$B$5:$B$504,"&gt;="&amp;A23,'الطلبات'!$B$5:$B$504,"&lt;"&amp;EDATE(A23,1),'الطلبات'!$M$5:$M$504,"&lt;&gt;ملغي")</f>
        <v/>
      </c>
      <c r="D23" s="13">
        <f>SUMIFS('الطلبات'!$J$5:$J$504,'الطلبات'!$B$5:$B$504,"&gt;="&amp;A23,'الطلبات'!$B$5:$B$504,"&lt;"&amp;EDATE(A23,1),'الطلبات'!$M$5:$M$504,"&lt;&gt;ملغي")</f>
        <v/>
      </c>
      <c r="E23" s="13">
        <f>SUMIFS('الطلبات'!$K$5:$K$504,'الطلبات'!$B$5:$B$504,"&gt;="&amp;A23,'الطلبات'!$B$5:$B$504,"&lt;"&amp;EDATE(A23,1),'الطلبات'!$M$5:$M$504,"&lt;&gt;ملغي")</f>
        <v/>
      </c>
      <c r="F23" s="13">
        <f>SUMIFS('المصاريف'!$D$5:$D$504,'المصاريف'!$A$5:$A$504,"&gt;="&amp;A23,'المصاريف'!$A$5:$A$504,"&lt;"&amp;EDATE(A23,1))</f>
        <v/>
      </c>
      <c r="G23" s="17">
        <f>C23+D23-E23-F23</f>
        <v/>
      </c>
    </row>
    <row r="24">
      <c r="A24" s="30">
        <f>EDATE(A23,1)</f>
        <v/>
      </c>
      <c r="B24" s="21">
        <f>COUNTIFS('الطلبات'!$B$5:$B$504,"&gt;="&amp;A24,'الطلبات'!$B$5:$B$504,"&lt;"&amp;EDATE(A24,1),'الطلبات'!$M$5:$M$504,"&lt;&gt;ملغي",'الطلبات'!$H$5:$H$504,"&gt;0")</f>
        <v/>
      </c>
      <c r="C24" s="13">
        <f>SUMIFS('الطلبات'!$I$5:$I$504,'الطلبات'!$B$5:$B$504,"&gt;="&amp;A24,'الطلبات'!$B$5:$B$504,"&lt;"&amp;EDATE(A24,1),'الطلبات'!$M$5:$M$504,"&lt;&gt;ملغي")</f>
        <v/>
      </c>
      <c r="D24" s="13">
        <f>SUMIFS('الطلبات'!$J$5:$J$504,'الطلبات'!$B$5:$B$504,"&gt;="&amp;A24,'الطلبات'!$B$5:$B$504,"&lt;"&amp;EDATE(A24,1),'الطلبات'!$M$5:$M$504,"&lt;&gt;ملغي")</f>
        <v/>
      </c>
      <c r="E24" s="13">
        <f>SUMIFS('الطلبات'!$K$5:$K$504,'الطلبات'!$B$5:$B$504,"&gt;="&amp;A24,'الطلبات'!$B$5:$B$504,"&lt;"&amp;EDATE(A24,1),'الطلبات'!$M$5:$M$504,"&lt;&gt;ملغي")</f>
        <v/>
      </c>
      <c r="F24" s="13">
        <f>SUMIFS('المصاريف'!$D$5:$D$504,'المصاريف'!$A$5:$A$504,"&gt;="&amp;A24,'المصاريف'!$A$5:$A$504,"&lt;"&amp;EDATE(A24,1))</f>
        <v/>
      </c>
      <c r="G24" s="17">
        <f>C24+D24-E24-F24</f>
        <v/>
      </c>
    </row>
    <row r="25">
      <c r="A25" s="30">
        <f>EDATE(A24,1)</f>
        <v/>
      </c>
      <c r="B25" s="21">
        <f>COUNTIFS('الطلبات'!$B$5:$B$504,"&gt;="&amp;A25,'الطلبات'!$B$5:$B$504,"&lt;"&amp;EDATE(A25,1),'الطلبات'!$M$5:$M$504,"&lt;&gt;ملغي",'الطلبات'!$H$5:$H$504,"&gt;0")</f>
        <v/>
      </c>
      <c r="C25" s="13">
        <f>SUMIFS('الطلبات'!$I$5:$I$504,'الطلبات'!$B$5:$B$504,"&gt;="&amp;A25,'الطلبات'!$B$5:$B$504,"&lt;"&amp;EDATE(A25,1),'الطلبات'!$M$5:$M$504,"&lt;&gt;ملغي")</f>
        <v/>
      </c>
      <c r="D25" s="13">
        <f>SUMIFS('الطلبات'!$J$5:$J$504,'الطلبات'!$B$5:$B$504,"&gt;="&amp;A25,'الطلبات'!$B$5:$B$504,"&lt;"&amp;EDATE(A25,1),'الطلبات'!$M$5:$M$504,"&lt;&gt;ملغي")</f>
        <v/>
      </c>
      <c r="E25" s="13">
        <f>SUMIFS('الطلبات'!$K$5:$K$504,'الطلبات'!$B$5:$B$504,"&gt;="&amp;A25,'الطلبات'!$B$5:$B$504,"&lt;"&amp;EDATE(A25,1),'الطلبات'!$M$5:$M$504,"&lt;&gt;ملغي")</f>
        <v/>
      </c>
      <c r="F25" s="13">
        <f>SUMIFS('المصاريف'!$D$5:$D$504,'المصاريف'!$A$5:$A$504,"&gt;="&amp;A25,'المصاريف'!$A$5:$A$504,"&lt;"&amp;EDATE(A25,1))</f>
        <v/>
      </c>
      <c r="G25" s="17">
        <f>C25+D25-E25-F25</f>
        <v/>
      </c>
    </row>
    <row r="26">
      <c r="A26" s="30">
        <f>EDATE(A25,1)</f>
        <v/>
      </c>
      <c r="B26" s="21">
        <f>COUNTIFS('الطلبات'!$B$5:$B$504,"&gt;="&amp;A26,'الطلبات'!$B$5:$B$504,"&lt;"&amp;EDATE(A26,1),'الطلبات'!$M$5:$M$504,"&lt;&gt;ملغي",'الطلبات'!$H$5:$H$504,"&gt;0")</f>
        <v/>
      </c>
      <c r="C26" s="13">
        <f>SUMIFS('الطلبات'!$I$5:$I$504,'الطلبات'!$B$5:$B$504,"&gt;="&amp;A26,'الطلبات'!$B$5:$B$504,"&lt;"&amp;EDATE(A26,1),'الطلبات'!$M$5:$M$504,"&lt;&gt;ملغي")</f>
        <v/>
      </c>
      <c r="D26" s="13">
        <f>SUMIFS('الطلبات'!$J$5:$J$504,'الطلبات'!$B$5:$B$504,"&gt;="&amp;A26,'الطلبات'!$B$5:$B$504,"&lt;"&amp;EDATE(A26,1),'الطلبات'!$M$5:$M$504,"&lt;&gt;ملغي")</f>
        <v/>
      </c>
      <c r="E26" s="13">
        <f>SUMIFS('الطلبات'!$K$5:$K$504,'الطلبات'!$B$5:$B$504,"&gt;="&amp;A26,'الطلبات'!$B$5:$B$504,"&lt;"&amp;EDATE(A26,1),'الطلبات'!$M$5:$M$504,"&lt;&gt;ملغي")</f>
        <v/>
      </c>
      <c r="F26" s="13">
        <f>SUMIFS('المصاريف'!$D$5:$D$504,'المصاريف'!$A$5:$A$504,"&gt;="&amp;A26,'المصاريف'!$A$5:$A$504,"&lt;"&amp;EDATE(A26,1))</f>
        <v/>
      </c>
      <c r="G26" s="17">
        <f>C26+D26-E26-F26</f>
        <v/>
      </c>
    </row>
    <row r="27">
      <c r="A27" s="30">
        <f>EDATE(A26,1)</f>
        <v/>
      </c>
      <c r="B27" s="21">
        <f>COUNTIFS('الطلبات'!$B$5:$B$504,"&gt;="&amp;A27,'الطلبات'!$B$5:$B$504,"&lt;"&amp;EDATE(A27,1),'الطلبات'!$M$5:$M$504,"&lt;&gt;ملغي",'الطلبات'!$H$5:$H$504,"&gt;0")</f>
        <v/>
      </c>
      <c r="C27" s="13">
        <f>SUMIFS('الطلبات'!$I$5:$I$504,'الطلبات'!$B$5:$B$504,"&gt;="&amp;A27,'الطلبات'!$B$5:$B$504,"&lt;"&amp;EDATE(A27,1),'الطلبات'!$M$5:$M$504,"&lt;&gt;ملغي")</f>
        <v/>
      </c>
      <c r="D27" s="13">
        <f>SUMIFS('الطلبات'!$J$5:$J$504,'الطلبات'!$B$5:$B$504,"&gt;="&amp;A27,'الطلبات'!$B$5:$B$504,"&lt;"&amp;EDATE(A27,1),'الطلبات'!$M$5:$M$504,"&lt;&gt;ملغي")</f>
        <v/>
      </c>
      <c r="E27" s="13">
        <f>SUMIFS('الطلبات'!$K$5:$K$504,'الطلبات'!$B$5:$B$504,"&gt;="&amp;A27,'الطلبات'!$B$5:$B$504,"&lt;"&amp;EDATE(A27,1),'الطلبات'!$M$5:$M$504,"&lt;&gt;ملغي")</f>
        <v/>
      </c>
      <c r="F27" s="13">
        <f>SUMIFS('المصاريف'!$D$5:$D$504,'المصاريف'!$A$5:$A$504,"&gt;="&amp;A27,'المصاريف'!$A$5:$A$504,"&lt;"&amp;EDATE(A27,1))</f>
        <v/>
      </c>
      <c r="G27" s="17">
        <f>C27+D27-E27-F27</f>
        <v/>
      </c>
    </row>
    <row r="28">
      <c r="A28" s="30">
        <f>EDATE(A27,1)</f>
        <v/>
      </c>
      <c r="B28" s="21">
        <f>COUNTIFS('الطلبات'!$B$5:$B$504,"&gt;="&amp;A28,'الطلبات'!$B$5:$B$504,"&lt;"&amp;EDATE(A28,1),'الطلبات'!$M$5:$M$504,"&lt;&gt;ملغي",'الطلبات'!$H$5:$H$504,"&gt;0")</f>
        <v/>
      </c>
      <c r="C28" s="13">
        <f>SUMIFS('الطلبات'!$I$5:$I$504,'الطلبات'!$B$5:$B$504,"&gt;="&amp;A28,'الطلبات'!$B$5:$B$504,"&lt;"&amp;EDATE(A28,1),'الطلبات'!$M$5:$M$504,"&lt;&gt;ملغي")</f>
        <v/>
      </c>
      <c r="D28" s="13">
        <f>SUMIFS('الطلبات'!$J$5:$J$504,'الطلبات'!$B$5:$B$504,"&gt;="&amp;A28,'الطلبات'!$B$5:$B$504,"&lt;"&amp;EDATE(A28,1),'الطلبات'!$M$5:$M$504,"&lt;&gt;ملغي")</f>
        <v/>
      </c>
      <c r="E28" s="13">
        <f>SUMIFS('الطلبات'!$K$5:$K$504,'الطلبات'!$B$5:$B$504,"&gt;="&amp;A28,'الطلبات'!$B$5:$B$504,"&lt;"&amp;EDATE(A28,1),'الطلبات'!$M$5:$M$504,"&lt;&gt;ملغي")</f>
        <v/>
      </c>
      <c r="F28" s="13">
        <f>SUMIFS('المصاريف'!$D$5:$D$504,'المصاريف'!$A$5:$A$504,"&gt;="&amp;A28,'المصاريف'!$A$5:$A$504,"&lt;"&amp;EDATE(A28,1))</f>
        <v/>
      </c>
      <c r="G28" s="17">
        <f>C28+D28-E28-F28</f>
        <v/>
      </c>
    </row>
    <row r="29">
      <c r="A29" s="30">
        <f>EDATE(A28,1)</f>
        <v/>
      </c>
      <c r="B29" s="21">
        <f>COUNTIFS('الطلبات'!$B$5:$B$504,"&gt;="&amp;A29,'الطلبات'!$B$5:$B$504,"&lt;"&amp;EDATE(A29,1),'الطلبات'!$M$5:$M$504,"&lt;&gt;ملغي",'الطلبات'!$H$5:$H$504,"&gt;0")</f>
        <v/>
      </c>
      <c r="C29" s="13">
        <f>SUMIFS('الطلبات'!$I$5:$I$504,'الطلبات'!$B$5:$B$504,"&gt;="&amp;A29,'الطلبات'!$B$5:$B$504,"&lt;"&amp;EDATE(A29,1),'الطلبات'!$M$5:$M$504,"&lt;&gt;ملغي")</f>
        <v/>
      </c>
      <c r="D29" s="13">
        <f>SUMIFS('الطلبات'!$J$5:$J$504,'الطلبات'!$B$5:$B$504,"&gt;="&amp;A29,'الطلبات'!$B$5:$B$504,"&lt;"&amp;EDATE(A29,1),'الطلبات'!$M$5:$M$504,"&lt;&gt;ملغي")</f>
        <v/>
      </c>
      <c r="E29" s="13">
        <f>SUMIFS('الطلبات'!$K$5:$K$504,'الطلبات'!$B$5:$B$504,"&gt;="&amp;A29,'الطلبات'!$B$5:$B$504,"&lt;"&amp;EDATE(A29,1),'الطلبات'!$M$5:$M$504,"&lt;&gt;ملغي")</f>
        <v/>
      </c>
      <c r="F29" s="13">
        <f>SUMIFS('المصاريف'!$D$5:$D$504,'المصاريف'!$A$5:$A$504,"&gt;="&amp;A29,'المصاريف'!$A$5:$A$504,"&lt;"&amp;EDATE(A29,1))</f>
        <v/>
      </c>
      <c r="G29" s="17">
        <f>C29+D29-E29-F29</f>
        <v/>
      </c>
    </row>
    <row r="30">
      <c r="A30" s="30">
        <f>EDATE(A29,1)</f>
        <v/>
      </c>
      <c r="B30" s="21">
        <f>COUNTIFS('الطلبات'!$B$5:$B$504,"&gt;="&amp;A30,'الطلبات'!$B$5:$B$504,"&lt;"&amp;EDATE(A30,1),'الطلبات'!$M$5:$M$504,"&lt;&gt;ملغي",'الطلبات'!$H$5:$H$504,"&gt;0")</f>
        <v/>
      </c>
      <c r="C30" s="13">
        <f>SUMIFS('الطلبات'!$I$5:$I$504,'الطلبات'!$B$5:$B$504,"&gt;="&amp;A30,'الطلبات'!$B$5:$B$504,"&lt;"&amp;EDATE(A30,1),'الطلبات'!$M$5:$M$504,"&lt;&gt;ملغي")</f>
        <v/>
      </c>
      <c r="D30" s="13">
        <f>SUMIFS('الطلبات'!$J$5:$J$504,'الطلبات'!$B$5:$B$504,"&gt;="&amp;A30,'الطلبات'!$B$5:$B$504,"&lt;"&amp;EDATE(A30,1),'الطلبات'!$M$5:$M$504,"&lt;&gt;ملغي")</f>
        <v/>
      </c>
      <c r="E30" s="13">
        <f>SUMIFS('الطلبات'!$K$5:$K$504,'الطلبات'!$B$5:$B$504,"&gt;="&amp;A30,'الطلبات'!$B$5:$B$504,"&lt;"&amp;EDATE(A30,1),'الطلبات'!$M$5:$M$504,"&lt;&gt;ملغي")</f>
        <v/>
      </c>
      <c r="F30" s="13">
        <f>SUMIFS('المصاريف'!$D$5:$D$504,'المصاريف'!$A$5:$A$504,"&gt;="&amp;A30,'المصاريف'!$A$5:$A$504,"&lt;"&amp;EDATE(A30,1))</f>
        <v/>
      </c>
      <c r="G30" s="17">
        <f>C30+D30-E30-F30</f>
        <v/>
      </c>
    </row>
    <row r="31">
      <c r="A31" s="30">
        <f>EDATE(A30,1)</f>
        <v/>
      </c>
      <c r="B31" s="21">
        <f>COUNTIFS('الطلبات'!$B$5:$B$504,"&gt;="&amp;A31,'الطلبات'!$B$5:$B$504,"&lt;"&amp;EDATE(A31,1),'الطلبات'!$M$5:$M$504,"&lt;&gt;ملغي",'الطلبات'!$H$5:$H$504,"&gt;0")</f>
        <v/>
      </c>
      <c r="C31" s="13">
        <f>SUMIFS('الطلبات'!$I$5:$I$504,'الطلبات'!$B$5:$B$504,"&gt;="&amp;A31,'الطلبات'!$B$5:$B$504,"&lt;"&amp;EDATE(A31,1),'الطلبات'!$M$5:$M$504,"&lt;&gt;ملغي")</f>
        <v/>
      </c>
      <c r="D31" s="13">
        <f>SUMIFS('الطلبات'!$J$5:$J$504,'الطلبات'!$B$5:$B$504,"&gt;="&amp;A31,'الطلبات'!$B$5:$B$504,"&lt;"&amp;EDATE(A31,1),'الطلبات'!$M$5:$M$504,"&lt;&gt;ملغي")</f>
        <v/>
      </c>
      <c r="E31" s="13">
        <f>SUMIFS('الطلبات'!$K$5:$K$504,'الطلبات'!$B$5:$B$504,"&gt;="&amp;A31,'الطلبات'!$B$5:$B$504,"&lt;"&amp;EDATE(A31,1),'الطلبات'!$M$5:$M$504,"&lt;&gt;ملغي")</f>
        <v/>
      </c>
      <c r="F31" s="13">
        <f>SUMIFS('المصاريف'!$D$5:$D$504,'المصاريف'!$A$5:$A$504,"&gt;="&amp;A31,'المصاريف'!$A$5:$A$504,"&lt;"&amp;EDATE(A31,1))</f>
        <v/>
      </c>
      <c r="G31" s="17">
        <f>C31+D31-E31-F31</f>
        <v/>
      </c>
    </row>
    <row r="32">
      <c r="A32" s="30">
        <f>EDATE(A31,1)</f>
        <v/>
      </c>
      <c r="B32" s="21">
        <f>COUNTIFS('الطلبات'!$B$5:$B$504,"&gt;="&amp;A32,'الطلبات'!$B$5:$B$504,"&lt;"&amp;EDATE(A32,1),'الطلبات'!$M$5:$M$504,"&lt;&gt;ملغي",'الطلبات'!$H$5:$H$504,"&gt;0")</f>
        <v/>
      </c>
      <c r="C32" s="13">
        <f>SUMIFS('الطلبات'!$I$5:$I$504,'الطلبات'!$B$5:$B$504,"&gt;="&amp;A32,'الطلبات'!$B$5:$B$504,"&lt;"&amp;EDATE(A32,1),'الطلبات'!$M$5:$M$504,"&lt;&gt;ملغي")</f>
        <v/>
      </c>
      <c r="D32" s="13">
        <f>SUMIFS('الطلبات'!$J$5:$J$504,'الطلبات'!$B$5:$B$504,"&gt;="&amp;A32,'الطلبات'!$B$5:$B$504,"&lt;"&amp;EDATE(A32,1),'الطلبات'!$M$5:$M$504,"&lt;&gt;ملغي")</f>
        <v/>
      </c>
      <c r="E32" s="13">
        <f>SUMIFS('الطلبات'!$K$5:$K$504,'الطلبات'!$B$5:$B$504,"&gt;="&amp;A32,'الطلبات'!$B$5:$B$504,"&lt;"&amp;EDATE(A32,1),'الطلبات'!$M$5:$M$504,"&lt;&gt;ملغي")</f>
        <v/>
      </c>
      <c r="F32" s="13">
        <f>SUMIFS('المصاريف'!$D$5:$D$504,'المصاريف'!$A$5:$A$504,"&gt;="&amp;A32,'المصاريف'!$A$5:$A$504,"&lt;"&amp;EDATE(A32,1))</f>
        <v/>
      </c>
      <c r="G32" s="17">
        <f>C32+D32-E32-F32</f>
        <v/>
      </c>
    </row>
    <row r="33">
      <c r="A33" s="30">
        <f>EDATE(A32,1)</f>
        <v/>
      </c>
      <c r="B33" s="21">
        <f>COUNTIFS('الطلبات'!$B$5:$B$504,"&gt;="&amp;A33,'الطلبات'!$B$5:$B$504,"&lt;"&amp;EDATE(A33,1),'الطلبات'!$M$5:$M$504,"&lt;&gt;ملغي",'الطلبات'!$H$5:$H$504,"&gt;0")</f>
        <v/>
      </c>
      <c r="C33" s="13">
        <f>SUMIFS('الطلبات'!$I$5:$I$504,'الطلبات'!$B$5:$B$504,"&gt;="&amp;A33,'الطلبات'!$B$5:$B$504,"&lt;"&amp;EDATE(A33,1),'الطلبات'!$M$5:$M$504,"&lt;&gt;ملغي")</f>
        <v/>
      </c>
      <c r="D33" s="13">
        <f>SUMIFS('الطلبات'!$J$5:$J$504,'الطلبات'!$B$5:$B$504,"&gt;="&amp;A33,'الطلبات'!$B$5:$B$504,"&lt;"&amp;EDATE(A33,1),'الطلبات'!$M$5:$M$504,"&lt;&gt;ملغي")</f>
        <v/>
      </c>
      <c r="E33" s="13">
        <f>SUMIFS('الطلبات'!$K$5:$K$504,'الطلبات'!$B$5:$B$504,"&gt;="&amp;A33,'الطلبات'!$B$5:$B$504,"&lt;"&amp;EDATE(A33,1),'الطلبات'!$M$5:$M$504,"&lt;&gt;ملغي")</f>
        <v/>
      </c>
      <c r="F33" s="13">
        <f>SUMIFS('المصاريف'!$D$5:$D$504,'المصاريف'!$A$5:$A$504,"&gt;="&amp;A33,'المصاريف'!$A$5:$A$504,"&lt;"&amp;EDATE(A33,1))</f>
        <v/>
      </c>
      <c r="G33" s="17">
        <f>C33+D33-E33-F33</f>
        <v/>
      </c>
    </row>
    <row r="34">
      <c r="A34" s="30">
        <f>EDATE(A33,1)</f>
        <v/>
      </c>
      <c r="B34" s="21">
        <f>COUNTIFS('الطلبات'!$B$5:$B$504,"&gt;="&amp;A34,'الطلبات'!$B$5:$B$504,"&lt;"&amp;EDATE(A34,1),'الطلبات'!$M$5:$M$504,"&lt;&gt;ملغي",'الطلبات'!$H$5:$H$504,"&gt;0")</f>
        <v/>
      </c>
      <c r="C34" s="13">
        <f>SUMIFS('الطلبات'!$I$5:$I$504,'الطلبات'!$B$5:$B$504,"&gt;="&amp;A34,'الطلبات'!$B$5:$B$504,"&lt;"&amp;EDATE(A34,1),'الطلبات'!$M$5:$M$504,"&lt;&gt;ملغي")</f>
        <v/>
      </c>
      <c r="D34" s="13">
        <f>SUMIFS('الطلبات'!$J$5:$J$504,'الطلبات'!$B$5:$B$504,"&gt;="&amp;A34,'الطلبات'!$B$5:$B$504,"&lt;"&amp;EDATE(A34,1),'الطلبات'!$M$5:$M$504,"&lt;&gt;ملغي")</f>
        <v/>
      </c>
      <c r="E34" s="13">
        <f>SUMIFS('الطلبات'!$K$5:$K$504,'الطلبات'!$B$5:$B$504,"&gt;="&amp;A34,'الطلبات'!$B$5:$B$504,"&lt;"&amp;EDATE(A34,1),'الطلبات'!$M$5:$M$504,"&lt;&gt;ملغي")</f>
        <v/>
      </c>
      <c r="F34" s="13">
        <f>SUMIFS('المصاريف'!$D$5:$D$504,'المصاريف'!$A$5:$A$504,"&gt;="&amp;A34,'المصاريف'!$A$5:$A$504,"&lt;"&amp;EDATE(A34,1))</f>
        <v/>
      </c>
      <c r="G34" s="17">
        <f>C34+D34-E34-F34</f>
        <v/>
      </c>
    </row>
    <row r="35">
      <c r="A35" s="24" t="inlineStr">
        <is>
          <t>المجموع</t>
        </is>
      </c>
      <c r="B35" s="19">
        <f>SUM(B23:B34)</f>
        <v/>
      </c>
      <c r="C35" s="17">
        <f>SUM(C23:C34)</f>
        <v/>
      </c>
      <c r="D35" s="17">
        <f>SUM(D23:D34)</f>
        <v/>
      </c>
      <c r="E35" s="17">
        <f>SUM(E23:E34)</f>
        <v/>
      </c>
      <c r="F35" s="17">
        <f>SUM(F23:F34)</f>
        <v/>
      </c>
      <c r="G35" s="17">
        <f>SUM(G23:G34)</f>
        <v/>
      </c>
    </row>
  </sheetData>
  <conditionalFormatting sqref="G23:G35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2026-09-26T17:36:01Z</dcterms:created>
  <dcterms:modified xsi:type="dcterms:W3CDTF">2026-09-26T17:36:01Z</dcterms:modified>
</cp:coreProperties>
</file>