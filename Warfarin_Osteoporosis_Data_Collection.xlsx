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atient_Data" sheetId="2" state="visible" r:id="rId4"/>
    <sheet name="Screening_Log" sheetId="3" state="visible" r:id="rId5"/>
    <sheet name="Data_Dictionary" sheetId="4" state="visible" r:id="rId6"/>
    <sheet name="Summary" sheetId="5" state="visible" r:id="rId7"/>
    <sheet name="Protocol_Decisions" sheetId="6" state="visible" r:id="rId8"/>
    <sheet name="Lists" sheetId="7" state="hidden" r:id="rId9"/>
  </sheets>
  <definedNames>
    <definedName function="false" hidden="true" localSheetId="3" name="_xlnm._FilterDatabase" vbProcedure="false">Data_Dictionary!$A$1:$H$84</definedName>
    <definedName function="false" hidden="true" localSheetId="1" name="_xlnm._FilterDatabase" vbProcedure="false">Patient_Data!$A$2:$CE$1003</definedName>
    <definedName function="false" hidden="true" localSheetId="2" name="_xlnm._FilterDatabase" vbProcedure="false">Screening_Log!$A$1:$J$2001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Anonymous study code; no patient name or national ID in the analysis sheet.</t>
        </r>
      </text>
    </comment>
    <comment ref="A3" authorId="0">
      <text>
        <r>
          <rPr>
            <sz val="10"/>
            <rFont val="Arial"/>
            <family val="2"/>
          </rPr>
          <t xml:space="preserve">Row 3 is an EXAMPLE showing the expected format. It is excluded from the Summary. Delete or overwrite it before analysis.</t>
        </r>
      </text>
    </comment>
    <comment ref="B2" authorId="0">
      <text>
        <r>
          <rPr>
            <sz val="10"/>
            <rFont val="Arial"/>
            <family val="2"/>
          </rPr>
          <t xml:space="preserve">Jordan University Hospital (JUH) / King Hussein Cancer Center (KHCC).</t>
        </r>
      </text>
    </comment>
    <comment ref="C2" authorId="0">
      <text>
        <r>
          <rPr>
            <sz val="10"/>
            <rFont val="Arial"/>
            <family val="2"/>
          </rPr>
          <t xml:space="preserve">Yes / No.</t>
        </r>
      </text>
    </comment>
    <comment ref="D2" authorId="0">
      <text>
        <r>
          <rPr>
            <sz val="10"/>
            <rFont val="Arial"/>
            <family val="2"/>
          </rPr>
          <t xml:space="preserve">Record the protocol-defined reason if excluded.</t>
        </r>
      </text>
    </comment>
    <comment ref="E2" authorId="0">
      <text>
        <r>
          <rPr>
            <sz val="10"/>
            <rFont val="Arial"/>
            <family val="2"/>
          </rPr>
          <t xml:space="preserve">Years; proposal specifies adults aged &gt;=18 years.</t>
        </r>
      </text>
    </comment>
    <comment ref="F2" authorId="0">
      <text>
        <r>
          <rPr>
            <sz val="10"/>
            <rFont val="Arial"/>
            <family val="2"/>
          </rPr>
          <t xml:space="preserve">Male / Female, as recorded.</t>
        </r>
      </text>
    </comment>
    <comment ref="G2" authorId="0">
      <text>
        <r>
          <rPr>
            <sz val="10"/>
            <rFont val="Arial"/>
            <family val="2"/>
          </rPr>
          <t xml:space="preserve">As documented, if available; listed in proposal Section 15.</t>
        </r>
      </text>
    </comment>
    <comment ref="H2" authorId="0">
      <text>
        <r>
          <rPr>
            <sz val="10"/>
            <rFont val="Arial"/>
            <family val="2"/>
          </rPr>
          <t xml:space="preserve">Height in cm, if available.</t>
        </r>
      </text>
    </comment>
    <comment ref="I2" authorId="0">
      <text>
        <r>
          <rPr>
            <sz val="10"/>
            <rFont val="Arial"/>
            <family val="2"/>
          </rPr>
          <t xml:space="preserve">Weight in kg, if available.</t>
        </r>
      </text>
    </comment>
    <comment ref="J2" authorId="0">
      <text>
        <r>
          <rPr>
            <sz val="10"/>
            <rFont val="Arial"/>
            <family val="2"/>
          </rPr>
          <t xml:space="preserve">AUTO-CALCULATED - do not type here.
Auto-calculated: weight (kg) / height (m)^2.</t>
        </r>
      </text>
    </comment>
    <comment ref="K2" authorId="0">
      <text>
        <r>
          <rPr>
            <sz val="10"/>
            <rFont val="Arial"/>
            <family val="2"/>
          </rPr>
          <t xml:space="preserve">Current / Former / Never / Unknown.</t>
        </r>
      </text>
    </comment>
    <comment ref="L2" authorId="0">
      <text>
        <r>
          <rPr>
            <sz val="10"/>
            <rFont val="Arial"/>
            <family val="2"/>
          </rPr>
          <t xml:space="preserve">Yes / No / Unknown, where documented.</t>
        </r>
      </text>
    </comment>
    <comment ref="M2" authorId="0">
      <text>
        <r>
          <rPr>
            <sz val="10"/>
            <rFont val="Arial"/>
            <family val="2"/>
          </rPr>
          <t xml:space="preserve">Yes / No / Unknown.</t>
        </r>
      </text>
    </comment>
    <comment ref="N2" authorId="0">
      <text>
        <r>
          <rPr>
            <sz val="10"/>
            <rFont val="Arial"/>
            <family val="2"/>
          </rPr>
          <t xml:space="preserve">Yes / No / Unknown; specify type if available (e.g. 'Yes - mechanical mitral valve').</t>
        </r>
      </text>
    </comment>
    <comment ref="O2" authorId="0">
      <text>
        <r>
          <rPr>
            <sz val="10"/>
            <rFont val="Arial"/>
            <family val="2"/>
          </rPr>
          <t xml:space="preserve">Atrial fibrillation, valvular disease, VTE, or other documented indication.</t>
        </r>
      </text>
    </comment>
    <comment ref="P2" authorId="0">
      <text>
        <r>
          <rPr>
            <sz val="10"/>
            <rFont val="Arial"/>
            <family val="2"/>
          </rPr>
          <t xml:space="preserve">Warfarin / alternative anticoagulant / no anticoagulant; finalize comparator with supervisor.</t>
        </r>
      </text>
    </comment>
    <comment ref="Q2" authorId="0">
      <text>
        <r>
          <rPr>
            <sz val="10"/>
            <rFont val="Arial"/>
            <family val="2"/>
          </rPr>
          <t xml:space="preserve">Warfarin, apixaban, rivaroxaban, dabigatran, edoxaban, heparin, none, or other.</t>
        </r>
      </text>
    </comment>
    <comment ref="R2" authorId="0">
      <text>
        <r>
          <rPr>
            <sz val="10"/>
            <rFont val="Arial"/>
            <family val="2"/>
          </rPr>
          <t xml:space="preserve">Date of warfarin or comparator exposure; define consistently across groups.</t>
        </r>
      </text>
    </comment>
    <comment ref="S2" authorId="0">
      <text>
        <r>
          <rPr>
            <sz val="10"/>
            <rFont val="Arial"/>
            <family val="2"/>
          </rPr>
          <t xml:space="preserve">Date treatment stopped or changed, if applicable.</t>
        </r>
      </text>
    </comment>
    <comment ref="T2" authorId="0">
      <text>
        <r>
          <rPr>
            <sz val="10"/>
            <rFont val="Arial"/>
            <family val="2"/>
          </rPr>
          <t xml:space="preserve">Cumulative duration in months (continuous or intermittent), based on prescription/administration/clinical records.</t>
        </r>
      </text>
    </comment>
    <comment ref="U2" authorId="0">
      <text>
        <r>
          <rPr>
            <sz val="10"/>
            <rFont val="Arial"/>
            <family val="2"/>
          </rPr>
          <t xml:space="preserve">AUTO-CALCULATED - do not type here.
Auto: 12-35 / 36-59 / ≥60 months (Under 12 flagged: does not meet inclusion).</t>
        </r>
      </text>
    </comment>
    <comment ref="V2" authorId="0">
      <text>
        <r>
          <rPr>
            <sz val="10"/>
            <rFont val="Arial"/>
            <family val="2"/>
          </rPr>
          <t xml:space="preserve">Where available; record units and time period (e.g. '18,500 mg over 74 months').</t>
        </r>
      </text>
    </comment>
    <comment ref="W2" authorId="0">
      <text>
        <r>
          <rPr>
            <sz val="10"/>
            <rFont val="Arial"/>
            <family val="2"/>
          </rPr>
          <t xml:space="preserve">Where available; define how mean INR is calculated.</t>
        </r>
      </text>
    </comment>
    <comment ref="X2" authorId="0">
      <text>
        <r>
          <rPr>
            <sz val="10"/>
            <rFont val="Arial"/>
            <family val="2"/>
          </rPr>
          <t xml:space="preserve">Yes / No.</t>
        </r>
      </text>
    </comment>
    <comment ref="Y2" authorId="0">
      <text>
        <r>
          <rPr>
            <sz val="10"/>
            <rFont val="Arial"/>
            <family val="2"/>
          </rPr>
          <t xml:space="preserve">Yes / No / Unknown; specify drug and dates if available.</t>
        </r>
      </text>
    </comment>
    <comment ref="Z2" authorId="0">
      <text>
        <r>
          <rPr>
            <sz val="10"/>
            <rFont val="Arial"/>
            <family val="2"/>
          </rPr>
          <t xml:space="preserve">Date and reason, if documented.</t>
        </r>
      </text>
    </comment>
    <comment ref="AA2" authorId="0">
      <text>
        <r>
          <rPr>
            <sz val="10"/>
            <rFont val="Arial"/>
            <family val="2"/>
          </rPr>
          <t xml:space="preserve">Yes / No / Unknown before index date.</t>
        </r>
      </text>
    </comment>
    <comment ref="AB2" authorId="0">
      <text>
        <r>
          <rPr>
            <sz val="10"/>
            <rFont val="Arial"/>
            <family val="2"/>
          </rPr>
          <t xml:space="preserve">Yes / No / Unknown before index date; record site/date.</t>
        </r>
      </text>
    </comment>
    <comment ref="AC2" authorId="0">
      <text>
        <r>
          <rPr>
            <sz val="10"/>
            <rFont val="Arial"/>
            <family val="2"/>
          </rPr>
          <t xml:space="preserve">Yes / No / Unknown.</t>
        </r>
      </text>
    </comment>
    <comment ref="AD2" authorId="0">
      <text>
        <r>
          <rPr>
            <sz val="10"/>
            <rFont val="Arial"/>
            <family val="2"/>
          </rPr>
          <t xml:space="preserve">Yes / No / Unknown.</t>
        </r>
      </text>
    </comment>
    <comment ref="AE2" authorId="0">
      <text>
        <r>
          <rPr>
            <sz val="10"/>
            <rFont val="Arial"/>
            <family val="2"/>
          </rPr>
          <t xml:space="preserve">Yes / No / Unknown.</t>
        </r>
      </text>
    </comment>
    <comment ref="AF2" authorId="0">
      <text>
        <r>
          <rPr>
            <sz val="10"/>
            <rFont val="Arial"/>
            <family val="2"/>
          </rPr>
          <t xml:space="preserve">Yes / No / Unknown.</t>
        </r>
      </text>
    </comment>
    <comment ref="AG2" authorId="0">
      <text>
        <r>
          <rPr>
            <sz val="10"/>
            <rFont val="Arial"/>
            <family val="2"/>
          </rPr>
          <t xml:space="preserve">Yes / No / Unknown.</t>
        </r>
      </text>
    </comment>
    <comment ref="AH2" authorId="0">
      <text>
        <r>
          <rPr>
            <sz val="10"/>
            <rFont val="Arial"/>
            <family val="2"/>
          </rPr>
          <t xml:space="preserve">Yes / No / Unknown.</t>
        </r>
      </text>
    </comment>
    <comment ref="AI2" authorId="0">
      <text>
        <r>
          <rPr>
            <sz val="10"/>
            <rFont val="Arial"/>
            <family val="2"/>
          </rPr>
          <t xml:space="preserve">Yes / No / Unknown; dose/duration if available.</t>
        </r>
      </text>
    </comment>
    <comment ref="AJ2" authorId="0">
      <text>
        <r>
          <rPr>
            <sz val="10"/>
            <rFont val="Arial"/>
            <family val="2"/>
          </rPr>
          <t xml:space="preserve">Yes / No / Unknown; drug and duration if available.</t>
        </r>
      </text>
    </comment>
    <comment ref="AK2" authorId="0">
      <text>
        <r>
          <rPr>
            <sz val="10"/>
            <rFont val="Arial"/>
            <family val="2"/>
          </rPr>
          <t xml:space="preserve">Yes / No / Unknown.</t>
        </r>
      </text>
    </comment>
    <comment ref="AL2" authorId="0">
      <text>
        <r>
          <rPr>
            <sz val="10"/>
            <rFont val="Arial"/>
            <family val="2"/>
          </rPr>
          <t xml:space="preserve">Yes / No / Unknown; specify type.</t>
        </r>
      </text>
    </comment>
    <comment ref="AM2" authorId="0">
      <text>
        <r>
          <rPr>
            <sz val="10"/>
            <rFont val="Arial"/>
            <family val="2"/>
          </rPr>
          <t xml:space="preserve">Yes / No / Unknown; relevant to exclusion criteria.</t>
        </r>
      </text>
    </comment>
    <comment ref="AN2" authorId="0">
      <text>
        <r>
          <rPr>
            <sz val="10"/>
            <rFont val="Arial"/>
            <family val="2"/>
          </rPr>
          <t xml:space="preserve">Yes / No / Unknown; relevant to exclusion criteria.</t>
        </r>
      </text>
    </comment>
    <comment ref="AO2" authorId="0">
      <text>
        <r>
          <rPr>
            <sz val="10"/>
            <rFont val="Arial"/>
            <family val="2"/>
          </rPr>
          <t xml:space="preserve">Specify other relevant conditions documented in the record.</t>
        </r>
      </text>
    </comment>
    <comment ref="AP2" authorId="0">
      <text>
        <r>
          <rPr>
            <sz val="10"/>
            <rFont val="Arial"/>
            <family val="2"/>
          </rPr>
          <t xml:space="preserve">Yes / No / Unknown; specify drug and dates.</t>
        </r>
      </text>
    </comment>
    <comment ref="AQ2" authorId="0">
      <text>
        <r>
          <rPr>
            <sz val="10"/>
            <rFont val="Arial"/>
            <family val="2"/>
          </rPr>
          <t xml:space="preserve">Yes / No / Unknown, where available.</t>
        </r>
      </text>
    </comment>
    <comment ref="AR2" authorId="0">
      <text>
        <r>
          <rPr>
            <sz val="10"/>
            <rFont val="Arial"/>
            <family val="2"/>
          </rPr>
          <t xml:space="preserve">Yes / No.</t>
        </r>
      </text>
    </comment>
    <comment ref="AS2" authorId="0">
      <text>
        <r>
          <rPr>
            <sz val="10"/>
            <rFont val="Arial"/>
            <family val="2"/>
          </rPr>
          <t xml:space="preserve">Date of scan, if available.</t>
        </r>
      </text>
    </comment>
    <comment ref="AT2" authorId="0">
      <text>
        <r>
          <rPr>
            <sz val="10"/>
            <rFont val="Arial"/>
            <family val="2"/>
          </rPr>
          <t xml:space="preserve">Value, if available.</t>
        </r>
      </text>
    </comment>
    <comment ref="AU2" authorId="0">
      <text>
        <r>
          <rPr>
            <sz val="10"/>
            <rFont val="Arial"/>
            <family val="2"/>
          </rPr>
          <t xml:space="preserve">Value, if available.</t>
        </r>
      </text>
    </comment>
    <comment ref="AV2" authorId="0">
      <text>
        <r>
          <rPr>
            <sz val="10"/>
            <rFont val="Arial"/>
            <family val="2"/>
          </rPr>
          <t xml:space="preserve">Value, if available.</t>
        </r>
      </text>
    </comment>
    <comment ref="AW2" authorId="0">
      <text>
        <r>
          <rPr>
            <sz val="10"/>
            <rFont val="Arial"/>
            <family val="2"/>
          </rPr>
          <t xml:space="preserve">Record values, units, and site if available.</t>
        </r>
      </text>
    </comment>
    <comment ref="AX2" authorId="0">
      <text>
        <r>
          <rPr>
            <sz val="10"/>
            <rFont val="Arial"/>
            <family val="2"/>
          </rPr>
          <t xml:space="preserve">Yes / No / Unknown during follow-up.</t>
        </r>
      </text>
    </comment>
    <comment ref="AY2" authorId="0">
      <text>
        <r>
          <rPr>
            <sz val="10"/>
            <rFont val="Arial"/>
            <family val="2"/>
          </rPr>
          <t xml:space="preserve">First date meeting the protocol outcome definition.</t>
        </r>
      </text>
    </comment>
    <comment ref="AZ2" authorId="0">
      <text>
        <r>
          <rPr>
            <sz val="10"/>
            <rFont val="Arial"/>
            <family val="2"/>
          </rPr>
          <t xml:space="preserve">DEXA / clinical diagnosis / both / unclear.</t>
        </r>
      </text>
    </comment>
    <comment ref="BA2" authorId="0">
      <text>
        <r>
          <rPr>
            <sz val="10"/>
            <rFont val="Arial"/>
            <family val="2"/>
          </rPr>
          <t xml:space="preserve">M81.x or equivalent, if documented.</t>
        </r>
      </text>
    </comment>
    <comment ref="BB2" authorId="0">
      <text>
        <r>
          <rPr>
            <sz val="10"/>
            <rFont val="Arial"/>
            <family val="2"/>
          </rPr>
          <t xml:space="preserve">Date of scan, if available.</t>
        </r>
      </text>
    </comment>
    <comment ref="BC2" authorId="0">
      <text>
        <r>
          <rPr>
            <sz val="10"/>
            <rFont val="Arial"/>
            <family val="2"/>
          </rPr>
          <t xml:space="preserve">Value, if available.</t>
        </r>
      </text>
    </comment>
    <comment ref="BD2" authorId="0">
      <text>
        <r>
          <rPr>
            <sz val="10"/>
            <rFont val="Arial"/>
            <family val="2"/>
          </rPr>
          <t xml:space="preserve">Value, if available.</t>
        </r>
      </text>
    </comment>
    <comment ref="BE2" authorId="0">
      <text>
        <r>
          <rPr>
            <sz val="10"/>
            <rFont val="Arial"/>
            <family val="2"/>
          </rPr>
          <t xml:space="preserve">Value, if available.</t>
        </r>
      </text>
    </comment>
    <comment ref="BF2" authorId="0">
      <text>
        <r>
          <rPr>
            <sz val="10"/>
            <rFont val="Arial"/>
            <family val="2"/>
          </rPr>
          <t xml:space="preserve">Record values, units, and site if available.</t>
        </r>
      </text>
    </comment>
    <comment ref="BG2" authorId="0">
      <text>
        <r>
          <rPr>
            <sz val="10"/>
            <rFont val="Arial"/>
            <family val="2"/>
          </rPr>
          <t xml:space="preserve">Calculate only if comparable scans/sites and measurements are available.</t>
        </r>
      </text>
    </comment>
    <comment ref="BH2" authorId="0">
      <text>
        <r>
          <rPr>
            <sz val="10"/>
            <rFont val="Arial"/>
            <family val="2"/>
          </rPr>
          <t xml:space="preserve">AUTO-CALCULATED - do not type here.
Helper (auto): any follow-up T-score &lt;= -2.5 at lumbar spine, femoral neck or total hip (WHO criteria). Use to cross-check Incident_Osteoporosis.</t>
        </r>
      </text>
    </comment>
    <comment ref="BI2" authorId="0">
      <text>
        <r>
          <rPr>
            <sz val="10"/>
            <rFont val="Arial"/>
            <family val="2"/>
          </rPr>
          <t xml:space="preserve">Yes / No / Unknown after index date.</t>
        </r>
      </text>
    </comment>
    <comment ref="BJ2" authorId="0">
      <text>
        <r>
          <rPr>
            <sz val="10"/>
            <rFont val="Arial"/>
            <family val="2"/>
          </rPr>
          <t xml:space="preserve">Date of first incident fracture, if available.</t>
        </r>
      </text>
    </comment>
    <comment ref="BK2" authorId="0">
      <text>
        <r>
          <rPr>
            <sz val="10"/>
            <rFont val="Arial"/>
            <family val="2"/>
          </rPr>
          <t xml:space="preserve">Hip / vertebral / distal radius / other; specify in notes.</t>
        </r>
      </text>
    </comment>
    <comment ref="BL2" authorId="0">
      <text>
        <r>
          <rPr>
            <sz val="10"/>
            <rFont val="Arial"/>
            <family val="2"/>
          </rPr>
          <t xml:space="preserve">Fragility/osteoporotic / traumatic / unclear.</t>
        </r>
      </text>
    </comment>
    <comment ref="BM2" authorId="0">
      <text>
        <r>
          <rPr>
            <sz val="10"/>
            <rFont val="Arial"/>
            <family val="2"/>
          </rPr>
          <t xml:space="preserve">Medical record / radiology report / diagnostic code / other.</t>
        </r>
      </text>
    </comment>
    <comment ref="BN2" authorId="0">
      <text>
        <r>
          <rPr>
            <sz val="10"/>
            <rFont val="Arial"/>
            <family val="2"/>
          </rPr>
          <t xml:space="preserve">AUTO-CALCULATED - do not type here.
Auto: Yes if either qualifying incident outcome occurs.</t>
        </r>
      </text>
    </comment>
    <comment ref="BO2" authorId="0">
      <text>
        <r>
          <rPr>
            <sz val="10"/>
            <rFont val="Arial"/>
            <family val="2"/>
          </rPr>
          <t xml:space="preserve">AUTO-CALCULATED - do not type here.
Auto: date of first qualifying event (earliest of osteoporosis / fracture date).</t>
        </r>
      </text>
    </comment>
    <comment ref="BP2" authorId="0">
      <text>
        <r>
          <rPr>
            <sz val="10"/>
            <rFont val="Arial"/>
            <family val="2"/>
          </rPr>
          <t xml:space="preserve">Prespecified start of follow-up.</t>
        </r>
      </text>
    </comment>
    <comment ref="BQ2" authorId="0">
      <text>
        <r>
          <rPr>
            <sz val="10"/>
            <rFont val="Arial"/>
            <family val="2"/>
          </rPr>
          <t xml:space="preserve">Last date with adequate information for outcome ascertainment.</t>
        </r>
      </text>
    </comment>
    <comment ref="BR2" authorId="0">
      <text>
        <r>
          <rPr>
            <sz val="10"/>
            <rFont val="Arial"/>
            <family val="2"/>
          </rPr>
          <t xml:space="preserve">Date follow-up ends under the approved protocol (event, death, last contact, switch, or study end).</t>
        </r>
      </text>
    </comment>
    <comment ref="BS2" authorId="0">
      <text>
        <r>
          <rPr>
            <sz val="10"/>
            <rFont val="Arial"/>
            <family val="2"/>
          </rPr>
          <t xml:space="preserve">AUTO-CALCULATED - do not type here.
Auto: Followup_End_Date - Index_Date.</t>
        </r>
      </text>
    </comment>
    <comment ref="BT2" authorId="0">
      <text>
        <r>
          <rPr>
            <sz val="10"/>
            <rFont val="Arial"/>
            <family val="2"/>
          </rPr>
          <t xml:space="preserve">AUTO-CALCULATED - do not type here.
Auto: follow-up days / 365.25.</t>
        </r>
      </text>
    </comment>
    <comment ref="BU2" authorId="0">
      <text>
        <r>
          <rPr>
            <sz val="10"/>
            <rFont val="Arial"/>
            <family val="2"/>
          </rPr>
          <t xml:space="preserve">AUTO-CALCULATED - do not type here.
Helper (auto) for sensitivity analysis excluding &lt;24 months follow-up.</t>
        </r>
      </text>
    </comment>
    <comment ref="BV2" authorId="0">
      <text>
        <r>
          <rPr>
            <sz val="10"/>
            <rFont val="Arial"/>
            <family val="2"/>
          </rPr>
          <t xml:space="preserve">Yes / No / Unknown.</t>
        </r>
      </text>
    </comment>
    <comment ref="BW2" authorId="0">
      <text>
        <r>
          <rPr>
            <sz val="10"/>
            <rFont val="Arial"/>
            <family val="2"/>
          </rPr>
          <t xml:space="preserve">If applicable.</t>
        </r>
      </text>
    </comment>
    <comment ref="BX2" authorId="0">
      <text>
        <r>
          <rPr>
            <sz val="10"/>
            <rFont val="Arial"/>
            <family val="2"/>
          </rPr>
          <t xml:space="preserve">Yes / No / Unknown, using a defined rule.</t>
        </r>
      </text>
    </comment>
    <comment ref="BY2" authorId="0">
      <text>
        <r>
          <rPr>
            <sz val="10"/>
            <rFont val="Arial"/>
            <family val="2"/>
          </rPr>
          <t xml:space="preserve">Study end / death / last contact / treatment switch or stop / other protocol-defined reason. Leave blank if follow-up ended with an event.</t>
        </r>
      </text>
    </comment>
    <comment ref="BZ2" authorId="0">
      <text>
        <r>
          <rPr>
            <sz val="10"/>
            <rFont val="Arial"/>
            <family val="2"/>
          </rPr>
          <t xml:space="preserve">AUTO-CALCULATED - do not type here.
Auto: Under 65 / ≥65 years.</t>
        </r>
      </text>
    </comment>
    <comment ref="CA2" authorId="0">
      <text>
        <r>
          <rPr>
            <sz val="10"/>
            <rFont val="Arial"/>
            <family val="2"/>
          </rPr>
          <t xml:space="preserve">AUTO-CALCULATED - do not type here.
Auto from Chronic_Kidney_Disease.</t>
        </r>
      </text>
    </comment>
    <comment ref="CB2" authorId="0">
      <text>
        <r>
          <rPr>
            <sz val="10"/>
            <rFont val="Arial"/>
            <family val="2"/>
          </rPr>
          <t xml:space="preserve">AUTO-CALCULATED - do not type here.
Auto from Diabetes_Mellitus.</t>
        </r>
      </text>
    </comment>
    <comment ref="CC2" authorId="0">
      <text>
        <r>
          <rPr>
            <sz val="10"/>
            <rFont val="Arial"/>
            <family val="2"/>
          </rPr>
          <t xml:space="preserve">AUTO-CALCULATED - do not type here.
Auto from Sex.</t>
        </r>
      </text>
    </comment>
    <comment ref="CD2" authorId="0">
      <text>
        <r>
          <rPr>
            <sz val="10"/>
            <rFont val="Arial"/>
            <family val="2"/>
          </rPr>
          <t xml:space="preserve">Initials of reviewer who extracted this row (two independent reviewers per protocol).</t>
        </r>
      </text>
    </comment>
    <comment ref="CE2" authorId="0">
      <text>
        <r>
          <rPr>
            <sz val="10"/>
            <rFont val="Arial"/>
            <family val="2"/>
          </rPr>
          <t xml:space="preserve">Free-text remarks, discrepancies, source pages.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Yes = patient meets ANY exclusion criterion (pre-existing osteoporosis/fragility fracture, bone-metabolism condition or drug, incomplete records).</t>
        </r>
      </text>
    </comment>
    <comment ref="H1" authorId="0">
      <text>
        <r>
          <rPr>
            <sz val="10"/>
            <rFont val="Arial"/>
            <family val="2"/>
          </rPr>
          <t xml:space="preserve">AUTO: Yes when record reviewed, age &gt;=18, exposure criteria met, baseline data adequate and NO exclusion criterion.</t>
        </r>
      </text>
    </comment>
  </commentList>
</comments>
</file>

<file path=xl/sharedStrings.xml><?xml version="1.0" encoding="utf-8"?>
<sst xmlns="http://schemas.openxmlformats.org/spreadsheetml/2006/main" count="1027" uniqueCount="389">
  <si>
    <t xml:space="preserve">Warfarin and Osteoporosis / Fragility Fractures - Data Collection Workbook</t>
  </si>
  <si>
    <t xml:space="preserve">Retrospective cohort study - Jordan University Hospital (JUH) &amp; King Hussein Cancer Center (KHCC)</t>
  </si>
  <si>
    <t xml:space="preserve">SHEETS</t>
  </si>
  <si>
    <t xml:space="preserve">Patient_Data</t>
  </si>
  <si>
    <t xml:space="preserve">Main extraction sheet - ONE ROW PER PATIENT. 83 variables in sections A-F (colour-coded header). 1,000 rows prepared.</t>
  </si>
  <si>
    <t xml:space="preserve">Screening_Log</t>
  </si>
  <si>
    <t xml:space="preserve">Every record reviewed (eligible or not). 'Eligible' is calculated automatically. Keep de-identified.</t>
  </si>
  <si>
    <t xml:space="preserve">Data_Dictionary</t>
  </si>
  <si>
    <t xml:space="preserve">Definition, type, allowed values, source and missing-value code for every variable.</t>
  </si>
  <si>
    <t xml:space="preserve">Summary</t>
  </si>
  <si>
    <t xml:space="preserve">Live tables: recruitment vs target (151 / 302), baseline characteristics, incidence per 1,000 person-years, duration categories, missing data.</t>
  </si>
  <si>
    <t xml:space="preserve">Protocol_Decisions</t>
  </si>
  <si>
    <t xml:space="preserve">Open protocol questions to settle with the supervisor BEFORE extraction (yellow cells = record decision).</t>
  </si>
  <si>
    <t xml:space="preserve">Lists</t>
  </si>
  <si>
    <t xml:space="preserve">Drop-down values. Edit here if the supervisor changes a category.</t>
  </si>
  <si>
    <t xml:space="preserve">HOW TO FILL</t>
  </si>
  <si>
    <t xml:space="preserve">White cells</t>
  </si>
  <si>
    <t xml:space="preserve">Type or pick from the drop-down list.</t>
  </si>
  <si>
    <t xml:space="preserve">Grey cells</t>
  </si>
  <si>
    <t xml:space="preserve">Formulas - DO NOT type: BMI, duration category, composite outcome &amp; date, follow-up days / person-years, age group, subgroups, T-score helper.</t>
  </si>
  <si>
    <t xml:space="preserve">Yellow row 3</t>
  </si>
  <si>
    <t xml:space="preserve">Example patient showing the expected format. Excluded from Summary. Delete before export to SPSS.</t>
  </si>
  <si>
    <t xml:space="preserve">Dates</t>
  </si>
  <si>
    <t xml:space="preserve">dd/mm/yyyy. Hover over any header to see its definition.</t>
  </si>
  <si>
    <t xml:space="preserve">Missing data</t>
  </si>
  <si>
    <t xml:space="preserve">Distinguish 'No' from 'Unknown'. Leave numeric/date cells blank if not recorded.</t>
  </si>
  <si>
    <t xml:space="preserve">Two reviewers</t>
  </si>
  <si>
    <t xml:space="preserve">Proposal requires two independent extractors - record initials in Data_Extractor; resolve discrepancies by consensus / third reviewer.</t>
  </si>
  <si>
    <t xml:space="preserve">Confidentiality</t>
  </si>
  <si>
    <t xml:space="preserve">No names or national ID numbers in this file. Keep the Study_ID-to-MRN linkage in a separate secured file.</t>
  </si>
  <si>
    <t xml:space="preserve">Export to SPSS</t>
  </si>
  <si>
    <t xml:space="preserve">Delete the example row, delete row 1 (section band), then File &gt; Save As CSV or open .xlsx directly in SPSS v28.</t>
  </si>
  <si>
    <t xml:space="preserve">تعليمات مختصرة</t>
  </si>
  <si>
    <t xml:space="preserve">الخلايا البيضاء</t>
  </si>
  <si>
    <t xml:space="preserve">اكتب أو اختر من القائمة المنسدلة.</t>
  </si>
  <si>
    <t xml:space="preserve">الخلايا الرمادية</t>
  </si>
  <si>
    <t xml:space="preserve">معادلات تُحسب تلقائياً - لا تكتب فيها.</t>
  </si>
  <si>
    <t xml:space="preserve">الصف الأصفر (3)</t>
  </si>
  <si>
    <t xml:space="preserve">مثال توضيحي فقط - احذفه قبل التحليل.</t>
  </si>
  <si>
    <t xml:space="preserve">قبل البدء</t>
  </si>
  <si>
    <t xml:space="preserve">راجع ورقة Protocol_Decisions مع المشرف (مجموعة المقارنة، شرط DEXA، الكسور السابقة).</t>
  </si>
  <si>
    <t xml:space="preserve">A. Screening, ID &amp; demographics</t>
  </si>
  <si>
    <t xml:space="preserve">B. Cardiac indication &amp; anticoagulant exposure</t>
  </si>
  <si>
    <t xml:space="preserve">C. Baseline eligibility &amp; medical history</t>
  </si>
  <si>
    <t xml:space="preserve">D. Osteoporosis &amp; DEXA outcomes</t>
  </si>
  <si>
    <t xml:space="preserve">E. Fragility fractures &amp; composite outcome</t>
  </si>
  <si>
    <t xml:space="preserve">F. Follow-up &amp; analysis variables</t>
  </si>
  <si>
    <t xml:space="preserve">Study_ID</t>
  </si>
  <si>
    <t xml:space="preserve">Hospital_Source</t>
  </si>
  <si>
    <t xml:space="preserve">Eligible</t>
  </si>
  <si>
    <t xml:space="preserve">Exclusion_Reason</t>
  </si>
  <si>
    <t xml:space="preserve">Age_at_Index</t>
  </si>
  <si>
    <t xml:space="preserve">Sex</t>
  </si>
  <si>
    <t xml:space="preserve">Nationality</t>
  </si>
  <si>
    <t xml:space="preserve">Height_cm</t>
  </si>
  <si>
    <t xml:space="preserve">Weight_kg</t>
  </si>
  <si>
    <t xml:space="preserve">BMI</t>
  </si>
  <si>
    <t xml:space="preserve">Smoking_Status</t>
  </si>
  <si>
    <t xml:space="preserve">Alcohol_Use</t>
  </si>
  <si>
    <t xml:space="preserve">Atrial_Fibrillation</t>
  </si>
  <si>
    <t xml:space="preserve">Valvular_Heart_Disease</t>
  </si>
  <si>
    <t xml:space="preserve">Anticoagulation_Indication</t>
  </si>
  <si>
    <t xml:space="preserve">Anticoagulant_Group</t>
  </si>
  <si>
    <t xml:space="preserve">Specific_Anticoagulant</t>
  </si>
  <si>
    <t xml:space="preserve">Exposure_Start_Date</t>
  </si>
  <si>
    <t xml:space="preserve">Exposure_End_Date</t>
  </si>
  <si>
    <t xml:space="preserve">Warfarin_Duration_Months</t>
  </si>
  <si>
    <t xml:space="preserve">Warfarin_Duration_Category</t>
  </si>
  <si>
    <t xml:space="preserve">Warfarin_Cumulative_Dose</t>
  </si>
  <si>
    <t xml:space="preserve">Mean_INR</t>
  </si>
  <si>
    <t xml:space="preserve">INR_Monitoring_Available</t>
  </si>
  <si>
    <t xml:space="preserve">Previous_Anticoagulant_Use</t>
  </si>
  <si>
    <t xml:space="preserve">Drug_Switch_or_Discontinuation_Date</t>
  </si>
  <si>
    <t xml:space="preserve">Preexisting_Osteoporosis</t>
  </si>
  <si>
    <t xml:space="preserve">Preexisting_Fragility_Fracture</t>
  </si>
  <si>
    <t xml:space="preserve">Chronic_Kidney_Disease</t>
  </si>
  <si>
    <t xml:space="preserve">Diabetes_Mellitus</t>
  </si>
  <si>
    <t xml:space="preserve">Hypertension</t>
  </si>
  <si>
    <t xml:space="preserve">Rheumatoid_Arthritis</t>
  </si>
  <si>
    <t xml:space="preserve">Inflammatory_Bowel_Disease</t>
  </si>
  <si>
    <t xml:space="preserve">Chronic_Liver_Disease</t>
  </si>
  <si>
    <t xml:space="preserve">Systemic_Corticosteroid_Use</t>
  </si>
  <si>
    <t xml:space="preserve">PPI_Use</t>
  </si>
  <si>
    <t xml:space="preserve">History_of_Falls</t>
  </si>
  <si>
    <t xml:space="preserve">Cancer_History</t>
  </si>
  <si>
    <t xml:space="preserve">Bone_Metastases</t>
  </si>
  <si>
    <t xml:space="preserve">Hyperparathyroidism_or_Pagets_Disease</t>
  </si>
  <si>
    <t xml:space="preserve">Other_Comorbidities</t>
  </si>
  <si>
    <t xml:space="preserve">Anti_Osteoporosis_Medication</t>
  </si>
  <si>
    <t xml:space="preserve">Calcium_or_Vitamin_D</t>
  </si>
  <si>
    <t xml:space="preserve">Baseline_DEXA_Available</t>
  </si>
  <si>
    <t xml:space="preserve">Baseline_DEXA_Date</t>
  </si>
  <si>
    <t xml:space="preserve">Baseline_Lumbar_Spine_Tscore</t>
  </si>
  <si>
    <t xml:space="preserve">Baseline_Femoral_Neck_Tscore</t>
  </si>
  <si>
    <t xml:space="preserve">Baseline_Total_Hip_Tscore</t>
  </si>
  <si>
    <t xml:space="preserve">Baseline_BMD_Values_and_Sites</t>
  </si>
  <si>
    <t xml:space="preserve">Incident_Osteoporosis</t>
  </si>
  <si>
    <t xml:space="preserve">Osteoporosis_Diagnosis_Date</t>
  </si>
  <si>
    <t xml:space="preserve">Osteoporosis_Diagnostic_Method</t>
  </si>
  <si>
    <t xml:space="preserve">Osteoporosis_ICD10_Code</t>
  </si>
  <si>
    <t xml:space="preserve">Followup_DEXA_Date</t>
  </si>
  <si>
    <t xml:space="preserve">Followup_Lumbar_Spine_Tscore</t>
  </si>
  <si>
    <t xml:space="preserve">Followup_Femoral_Neck_Tscore</t>
  </si>
  <si>
    <t xml:space="preserve">Followup_Total_Hip_Tscore</t>
  </si>
  <si>
    <t xml:space="preserve">Followup_BMD_Values_and_Sites</t>
  </si>
  <si>
    <t xml:space="preserve">BMD_Change</t>
  </si>
  <si>
    <t xml:space="preserve">Followup_Tscore_le_-2.5</t>
  </si>
  <si>
    <t xml:space="preserve">Incident_Fracture</t>
  </si>
  <si>
    <t xml:space="preserve">Incident_Fracture_Date</t>
  </si>
  <si>
    <t xml:space="preserve">Fracture_Site</t>
  </si>
  <si>
    <t xml:space="preserve">Fracture_Type</t>
  </si>
  <si>
    <t xml:space="preserve">Fracture_Evidence_Source</t>
  </si>
  <si>
    <t xml:space="preserve">Composite_Osteoporosis_or_Fracture</t>
  </si>
  <si>
    <t xml:space="preserve">Composite_Event_Date</t>
  </si>
  <si>
    <t xml:space="preserve">Index_Date</t>
  </si>
  <si>
    <t xml:space="preserve">Last_Clinical_Contact_Date</t>
  </si>
  <si>
    <t xml:space="preserve">Followup_End_Date</t>
  </si>
  <si>
    <t xml:space="preserve">Followup_Duration_Days</t>
  </si>
  <si>
    <t xml:space="preserve">Followup_Person_Years</t>
  </si>
  <si>
    <t xml:space="preserve">Followup_&gt;=24_Months</t>
  </si>
  <si>
    <t xml:space="preserve">Death_During_Followup</t>
  </si>
  <si>
    <t xml:space="preserve">Date_of_Death</t>
  </si>
  <si>
    <t xml:space="preserve">Lost_to_Followup</t>
  </si>
  <si>
    <t xml:space="preserve">Censoring_Reason</t>
  </si>
  <si>
    <t xml:space="preserve">Age_Group</t>
  </si>
  <si>
    <t xml:space="preserve">CKD_Subgroup</t>
  </si>
  <si>
    <t xml:space="preserve">Diabetes_Subgroup</t>
  </si>
  <si>
    <t xml:space="preserve">Sex_Subgroup</t>
  </si>
  <si>
    <t xml:space="preserve">Data_Extractor</t>
  </si>
  <si>
    <t xml:space="preserve">Notes</t>
  </si>
  <si>
    <t xml:space="preserve">EXAMPLE-001</t>
  </si>
  <si>
    <t xml:space="preserve">JUH</t>
  </si>
  <si>
    <t xml:space="preserve">Yes</t>
  </si>
  <si>
    <t xml:space="preserve">Female</t>
  </si>
  <si>
    <t xml:space="preserve">Jordanian</t>
  </si>
  <si>
    <t xml:space="preserve">Never</t>
  </si>
  <si>
    <t xml:space="preserve">No</t>
  </si>
  <si>
    <t xml:space="preserve">Atrial fibrillation</t>
  </si>
  <si>
    <t xml:space="preserve">Warfarin</t>
  </si>
  <si>
    <t xml:space="preserve">Yes - omeprazole 20 mg, 3 yrs</t>
  </si>
  <si>
    <t xml:space="preserve">Heart failure</t>
  </si>
  <si>
    <t xml:space="preserve">Unknown</t>
  </si>
  <si>
    <t xml:space="preserve">L1-L4 0.95 g/cm2; FN 0.71 g/cm2</t>
  </si>
  <si>
    <t xml:space="preserve">DEXA</t>
  </si>
  <si>
    <t xml:space="preserve">M81.0</t>
  </si>
  <si>
    <t xml:space="preserve">L1-L4 0.82 g/cm2; FN 0.62 g/cm2</t>
  </si>
  <si>
    <t xml:space="preserve">L1-L4 -13.7%</t>
  </si>
  <si>
    <t xml:space="preserve">TA</t>
  </si>
  <si>
    <t xml:space="preserve">Example row - delete before analysis</t>
  </si>
  <si>
    <t xml:space="preserve">Screening_ID</t>
  </si>
  <si>
    <t xml:space="preserve">Record_Reviewed</t>
  </si>
  <si>
    <t xml:space="preserve">Age_&gt;=18</t>
  </si>
  <si>
    <t xml:space="preserve">Exposure_Criteria_Met</t>
  </si>
  <si>
    <t xml:space="preserve">Baseline_Data_Adequate</t>
  </si>
  <si>
    <t xml:space="preserve">Exclusion_Criterion</t>
  </si>
  <si>
    <t xml:space="preserve">Study_ID_Assigned</t>
  </si>
  <si>
    <t xml:space="preserve">SCR-EX-001</t>
  </si>
  <si>
    <t xml:space="preserve">Variable_Name</t>
  </si>
  <si>
    <t xml:space="preserve">Section</t>
  </si>
  <si>
    <t xml:space="preserve">Full_Definition</t>
  </si>
  <si>
    <t xml:space="preserve">Data_Type</t>
  </si>
  <si>
    <t xml:space="preserve">Allowed_Values_or_Units</t>
  </si>
  <si>
    <t xml:space="preserve">Data_Source</t>
  </si>
  <si>
    <t xml:space="preserve">Missing_Value_Code</t>
  </si>
  <si>
    <t xml:space="preserve">Anonymous study code; no patient name or national ID in the analysis sheet.</t>
  </si>
  <si>
    <t xml:space="preserve">Text</t>
  </si>
  <si>
    <t xml:space="preserve">Free text</t>
  </si>
  <si>
    <t xml:space="preserve">Medical record (demographics)</t>
  </si>
  <si>
    <t xml:space="preserve">Leave blank = not recorded</t>
  </si>
  <si>
    <t xml:space="preserve">Jordan University Hospital (JUH) / King Hussein Cancer Center (KHCC).</t>
  </si>
  <si>
    <t xml:space="preserve">Categorical</t>
  </si>
  <si>
    <t xml:space="preserve">JUH / KHCC</t>
  </si>
  <si>
    <t xml:space="preserve">Yes / No.</t>
  </si>
  <si>
    <t xml:space="preserve">Yes / No</t>
  </si>
  <si>
    <t xml:space="preserve">Record the protocol-defined reason if excluded.</t>
  </si>
  <si>
    <t xml:space="preserve">Years; proposal specifies adults aged &gt;=18 years.</t>
  </si>
  <si>
    <t xml:space="preserve">Numeric</t>
  </si>
  <si>
    <t xml:space="preserve">Years (&gt;=18)</t>
  </si>
  <si>
    <t xml:space="preserve">Male / Female, as recorded.</t>
  </si>
  <si>
    <t xml:space="preserve">Male / Female</t>
  </si>
  <si>
    <t xml:space="preserve">As documented, if available; listed in proposal Section 15.</t>
  </si>
  <si>
    <t xml:space="preserve">Height in cm, if available.</t>
  </si>
  <si>
    <t xml:space="preserve">cm</t>
  </si>
  <si>
    <t xml:space="preserve">Weight in kg, if available.</t>
  </si>
  <si>
    <t xml:space="preserve">kg</t>
  </si>
  <si>
    <t xml:space="preserve">Auto-calculated: weight (kg) / height (m)^2.</t>
  </si>
  <si>
    <t xml:space="preserve">Derived (formula)</t>
  </si>
  <si>
    <t xml:space="preserve">kg/m2</t>
  </si>
  <si>
    <t xml:space="preserve">Derived</t>
  </si>
  <si>
    <t xml:space="preserve">Blank if inputs missing</t>
  </si>
  <si>
    <t xml:space="preserve">Auto-calculated in Patient_Data - do not enter manually</t>
  </si>
  <si>
    <t xml:space="preserve">Current / Former / Never / Unknown.</t>
  </si>
  <si>
    <t xml:space="preserve">Current / Former / Never / Unknown</t>
  </si>
  <si>
    <t xml:space="preserve">Yes / No / Unknown, where documented.</t>
  </si>
  <si>
    <t xml:space="preserve">Yes / No / Unknown</t>
  </si>
  <si>
    <t xml:space="preserve">Yes / No / Unknown.</t>
  </si>
  <si>
    <t xml:space="preserve">Prescription / medication administration / pharmacy records, clinical notes</t>
  </si>
  <si>
    <t xml:space="preserve">Yes / No / Unknown; specify type if available (e.g. 'Yes - mechanical mitral valve').</t>
  </si>
  <si>
    <t xml:space="preserve">Atrial fibrillation, valvular disease, VTE, or other documented indication.</t>
  </si>
  <si>
    <t xml:space="preserve">Atrial fibrillation / Valvular heart disease / VTE / Other / Unknown</t>
  </si>
  <si>
    <t xml:space="preserve">Warfarin / alternative anticoagulant / no anticoagulant; finalize comparator with supervisor.</t>
  </si>
  <si>
    <t xml:space="preserve">Warfarin / Alternative anticoagulant / No anticoagulant</t>
  </si>
  <si>
    <t xml:space="preserve">Comparator definition to be confirmed with supervisor (non-users vs DOAC users vs both).</t>
  </si>
  <si>
    <t xml:space="preserve">Warfarin, apixaban, rivaroxaban, dabigatran, edoxaban, heparin, none, or other.</t>
  </si>
  <si>
    <t xml:space="preserve">Warfarin / Apixaban / Rivaroxaban / Dabigatran / Edoxaban / Heparin / None / Other</t>
  </si>
  <si>
    <t xml:space="preserve">Date of warfarin or comparator exposure; define consistently across groups.</t>
  </si>
  <si>
    <t xml:space="preserve">Date (dd/mm/yyyy)</t>
  </si>
  <si>
    <t xml:space="preserve">dd/mm/yyyy</t>
  </si>
  <si>
    <t xml:space="preserve">Date treatment stopped or changed, if applicable.</t>
  </si>
  <si>
    <t xml:space="preserve">Cumulative duration in months (continuous or intermittent), based on prescription/administration/clinical records.</t>
  </si>
  <si>
    <t xml:space="preserve">Months (&gt;=12 for inclusion)</t>
  </si>
  <si>
    <t xml:space="preserve">Auto: 12-35 / 36-59 / ≥60 months (Under 12 flagged: does not meet inclusion).</t>
  </si>
  <si>
    <t xml:space="preserve">Where available; record units and time period (e.g. '18,500 mg over 74 months').</t>
  </si>
  <si>
    <t xml:space="preserve">Where available; define how mean INR is calculated.</t>
  </si>
  <si>
    <t xml:space="preserve">INR units</t>
  </si>
  <si>
    <t xml:space="preserve">Yes / No / Unknown; specify drug and dates if available.</t>
  </si>
  <si>
    <t xml:space="preserve">Date and reason, if documented.</t>
  </si>
  <si>
    <t xml:space="preserve">Yes / No / Unknown before index date.</t>
  </si>
  <si>
    <t xml:space="preserve">Medical record (problem list, notes, medications)</t>
  </si>
  <si>
    <t xml:space="preserve">Yes / No / Unknown before index date; record site/date.</t>
  </si>
  <si>
    <t xml:space="preserve">Exclusion criterion AND listed confounder in proposal - clarify rule with supervisor.</t>
  </si>
  <si>
    <t xml:space="preserve">Yes / No / Unknown; dose/duration if available.</t>
  </si>
  <si>
    <t xml:space="preserve">Yes / No / Unknown; drug and duration if available.</t>
  </si>
  <si>
    <t xml:space="preserve">Yes / No / Unknown; specify type.</t>
  </si>
  <si>
    <t xml:space="preserve">Yes / No / Unknown; relevant to exclusion criteria.</t>
  </si>
  <si>
    <t xml:space="preserve">Specify other relevant conditions documented in the record.</t>
  </si>
  <si>
    <t xml:space="preserve">Yes / No / Unknown; specify drug and dates.</t>
  </si>
  <si>
    <t xml:space="preserve">Yes / No / Unknown, where available.</t>
  </si>
  <si>
    <t xml:space="preserve">DEXA / nuclear medicine reports; diagnosis codes</t>
  </si>
  <si>
    <t xml:space="preserve">Date of scan, if available.</t>
  </si>
  <si>
    <t xml:space="preserve">Value, if available.</t>
  </si>
  <si>
    <t xml:space="preserve">SD units, -7 to +5</t>
  </si>
  <si>
    <t xml:space="preserve">Record values, units, and site if available.</t>
  </si>
  <si>
    <t xml:space="preserve">Yes / No / Unknown during follow-up.</t>
  </si>
  <si>
    <t xml:space="preserve">First date meeting the protocol outcome definition.</t>
  </si>
  <si>
    <t xml:space="preserve">DEXA / clinical diagnosis / both / unclear.</t>
  </si>
  <si>
    <t xml:space="preserve">DEXA / Clinical diagnosis / Both / Unclear</t>
  </si>
  <si>
    <t xml:space="preserve">M81.x or equivalent, if documented.</t>
  </si>
  <si>
    <t xml:space="preserve">Calculate only if comparable scans/sites and measurements are available.</t>
  </si>
  <si>
    <t xml:space="preserve">Helper (auto): any follow-up T-score &lt;= -2.5 at lumbar spine, femoral neck or total hip (WHO criteria). Use to cross-check Incident_Osteoporosis.</t>
  </si>
  <si>
    <t xml:space="preserve">Yes / No / Unknown after index date.</t>
  </si>
  <si>
    <t xml:space="preserve">Medical record, radiology reports, diagnostic codes</t>
  </si>
  <si>
    <t xml:space="preserve">Date of first incident fracture, if available.</t>
  </si>
  <si>
    <t xml:space="preserve">Hip / vertebral / distal radius / other; specify in notes.</t>
  </si>
  <si>
    <t xml:space="preserve">Hip / Vertebral / Distal radius / Other</t>
  </si>
  <si>
    <t xml:space="preserve">Fragility/osteoporotic / traumatic / unclear.</t>
  </si>
  <si>
    <t xml:space="preserve">Fragility/osteoporotic / Traumatic / Unclear</t>
  </si>
  <si>
    <t xml:space="preserve">Medical record / radiology report / diagnostic code / other.</t>
  </si>
  <si>
    <t xml:space="preserve">Medical record / Radiology report / Diagnostic code / Other</t>
  </si>
  <si>
    <t xml:space="preserve">Auto: Yes if either qualifying incident outcome occurs.</t>
  </si>
  <si>
    <t xml:space="preserve">Auto: date of first qualifying event (earliest of osteoporosis / fracture date).</t>
  </si>
  <si>
    <t xml:space="preserve">Prespecified start of follow-up.</t>
  </si>
  <si>
    <t xml:space="preserve">Medical record; derived</t>
  </si>
  <si>
    <t xml:space="preserve">Last date with adequate information for outcome ascertainment.</t>
  </si>
  <si>
    <t xml:space="preserve">Date follow-up ends under the approved protocol (event, death, last contact, switch, or study end).</t>
  </si>
  <si>
    <t xml:space="preserve">Auto: Followup_End_Date - Index_Date.</t>
  </si>
  <si>
    <t xml:space="preserve">Days</t>
  </si>
  <si>
    <t xml:space="preserve">Auto: follow-up days / 365.25.</t>
  </si>
  <si>
    <t xml:space="preserve">Years</t>
  </si>
  <si>
    <t xml:space="preserve">Helper (auto) for sensitivity analysis excluding &lt;24 months follow-up.</t>
  </si>
  <si>
    <t xml:space="preserve">If applicable.</t>
  </si>
  <si>
    <t xml:space="preserve">Yes / No / Unknown, using a defined rule.</t>
  </si>
  <si>
    <t xml:space="preserve">Study end / death / last contact / treatment switch or stop / other protocol-defined reason. Leave blank if follow-up ended with an event.</t>
  </si>
  <si>
    <t xml:space="preserve">Study end / Death / Last contact / Treatment switch/stop / Other</t>
  </si>
  <si>
    <t xml:space="preserve">Auto: Under 65 / ≥65 years.</t>
  </si>
  <si>
    <t xml:space="preserve">Auto from Chronic_Kidney_Disease.</t>
  </si>
  <si>
    <t xml:space="preserve">Auto from Diabetes_Mellitus.</t>
  </si>
  <si>
    <t xml:space="preserve">Auto from Sex.</t>
  </si>
  <si>
    <t xml:space="preserve">Initials of reviewer who extracted this row (two independent reviewers per protocol).</t>
  </si>
  <si>
    <t xml:space="preserve">Free-text remarks, discrepancies, source pages.</t>
  </si>
  <si>
    <t xml:space="preserve">Warfarin &amp; Osteoporosis / Fragility Fractures - Live Summary</t>
  </si>
  <si>
    <t xml:space="preserve">All figures update automatically from Patient_Data rows 4-1003 (example row 3 excluded). Counts restricted to Eligible = Yes.</t>
  </si>
  <si>
    <t xml:space="preserve">1. Recruitment progress vs. target sample size</t>
  </si>
  <si>
    <t xml:space="preserve">Group</t>
  </si>
  <si>
    <t xml:space="preserve">Target (proposal)</t>
  </si>
  <si>
    <t xml:space="preserve">Eligible enrolled</t>
  </si>
  <si>
    <t xml:space="preserve">% of target</t>
  </si>
  <si>
    <t xml:space="preserve">Warfarin users</t>
  </si>
  <si>
    <t xml:space="preserve">Non-users / comparator (all non-warfarin groups)</t>
  </si>
  <si>
    <t xml:space="preserve">Total</t>
  </si>
  <si>
    <t xml:space="preserve">Targets from proposal 'Study Size' (453 = 385 + 15% missing; 1:2 ratio). Blue = hard-coded input.</t>
  </si>
  <si>
    <t xml:space="preserve">Records screened (Screening_Log)</t>
  </si>
  <si>
    <t xml:space="preserve">Screened eligible (Screening_Log)</t>
  </si>
  <si>
    <t xml:space="preserve">Screened not eligible (Screening_Log)</t>
  </si>
  <si>
    <t xml:space="preserve">2. Baseline characteristics by group (Eligible = Yes)</t>
  </si>
  <si>
    <t xml:space="preserve">Characteristic</t>
  </si>
  <si>
    <t xml:space="preserve">Alternative anticoagulant</t>
  </si>
  <si>
    <t xml:space="preserve">No anticoagulant</t>
  </si>
  <si>
    <t xml:space="preserve">All eligible</t>
  </si>
  <si>
    <t xml:space="preserve">N</t>
  </si>
  <si>
    <t xml:space="preserve">Age, mean (years)</t>
  </si>
  <si>
    <t xml:space="preserve">Age ≥65, n</t>
  </si>
  <si>
    <t xml:space="preserve">Female, n</t>
  </si>
  <si>
    <t xml:space="preserve">BMI, mean (kg/m2)</t>
  </si>
  <si>
    <t xml:space="preserve">Current smoker, n</t>
  </si>
  <si>
    <t xml:space="preserve">Alcohol use, n</t>
  </si>
  <si>
    <t xml:space="preserve">Atrial fibrillation, n</t>
  </si>
  <si>
    <t xml:space="preserve">Chronic kidney disease, n</t>
  </si>
  <si>
    <t xml:space="preserve">Diabetes mellitus, n</t>
  </si>
  <si>
    <t xml:space="preserve">Hypertension, n</t>
  </si>
  <si>
    <t xml:space="preserve">History of falls, n</t>
  </si>
  <si>
    <t xml:space="preserve">Calcium / vitamin D, n</t>
  </si>
  <si>
    <t xml:space="preserve">Baseline DEXA available, n</t>
  </si>
  <si>
    <t xml:space="preserve">INR monitoring available, n</t>
  </si>
  <si>
    <t xml:space="preserve">Free-text Yes/No fields (corticosteroids, PPI, prior fracture) are not counted here - summarise in SPSS after coding.</t>
  </si>
  <si>
    <t xml:space="preserve">3. Outcomes &amp; incidence per 1,000 person-years (Eligible = Yes)</t>
  </si>
  <si>
    <t xml:space="preserve">Measure</t>
  </si>
  <si>
    <t xml:space="preserve">Person-years of follow-up</t>
  </si>
  <si>
    <t xml:space="preserve">Incident osteoporosis - events, n</t>
  </si>
  <si>
    <t xml:space="preserve">Incident osteoporosis - incidence / 1,000 PY</t>
  </si>
  <si>
    <t xml:space="preserve">Incident fracture - events, n</t>
  </si>
  <si>
    <t xml:space="preserve">Incident fracture - incidence / 1,000 PY</t>
  </si>
  <si>
    <t xml:space="preserve">Composite osteoporosis or fracture - events, n</t>
  </si>
  <si>
    <t xml:space="preserve">Composite osteoporosis or fracture - incidence / 1,000 PY</t>
  </si>
  <si>
    <t xml:space="preserve">Follow-up T-score &lt;= -2.5 (DEXA-confirmed), n</t>
  </si>
  <si>
    <t xml:space="preserve">Follow-up &gt;= 24 months, n</t>
  </si>
  <si>
    <t xml:space="preserve">Crude rates only. Hazard ratios (Cox regression), adjustment and subgroup tests are done in SPSS v28 per the proposal.</t>
  </si>
  <si>
    <t xml:space="preserve">4. Warfarin duration categories (dose-response, Warfarin group, Eligible = Yes)</t>
  </si>
  <si>
    <t xml:space="preserve">Duration category</t>
  </si>
  <si>
    <t xml:space="preserve">Osteoporosis events</t>
  </si>
  <si>
    <t xml:space="preserve">Person-years</t>
  </si>
  <si>
    <t xml:space="preserve">Incidence / 1,000 PY</t>
  </si>
  <si>
    <t xml:space="preserve">12-35 months</t>
  </si>
  <si>
    <t xml:space="preserve">36-59 months</t>
  </si>
  <si>
    <t xml:space="preserve">≥60 months</t>
  </si>
  <si>
    <t xml:space="preserve">Under 12 months (check: below inclusion)</t>
  </si>
  <si>
    <t xml:space="preserve">5. Missing / Unknown data among eligible patients (key variables)</t>
  </si>
  <si>
    <t xml:space="preserve">Variable</t>
  </si>
  <si>
    <t xml:space="preserve">Missing or Unknown, n</t>
  </si>
  <si>
    <t xml:space="preserve">% of eligible</t>
  </si>
  <si>
    <t xml:space="preserve">Action (proposal rule)</t>
  </si>
  <si>
    <t xml:space="preserve">#</t>
  </si>
  <si>
    <t xml:space="preserve">Issue</t>
  </si>
  <si>
    <t xml:space="preserve">Detail (from data collection form)</t>
  </si>
  <si>
    <t xml:space="preserve">Supervisor decision</t>
  </si>
  <si>
    <t xml:space="preserve">Date decided</t>
  </si>
  <si>
    <t xml:space="preserve">Comparator group</t>
  </si>
  <si>
    <t xml:space="preserve">Proposal says 'non-users' in sample-size/analysis sections but discusses DOAC comparisons in the literature review. Confirm whether the control group is non-anticoagulant users, DOAC users, or both.</t>
  </si>
  <si>
    <t xml:space="preserve">DEXA-based eligibility</t>
  </si>
  <si>
    <t xml:space="preserve">Requiring a DEXA scan or osteoporosis diagnosis during follow-up may select patients based on testing or outcome. Ask whether eligibility should instead require adequate records and baseline outcome-free status.</t>
  </si>
  <si>
    <t xml:space="preserve">Prior fracture rule</t>
  </si>
  <si>
    <t xml:space="preserve">Proposal excludes prior fragility fracture but also lists it as a potential confounder. Clarify whether all prior fragility fractures are exclusionary.</t>
  </si>
  <si>
    <t xml:space="preserve">Comparator exposure definitions</t>
  </si>
  <si>
    <t xml:space="preserve">Warfarin duration categories are specified, but matching duration definitions for comparator groups and rules for treatment switching/censoring need to be prespecified.</t>
  </si>
  <si>
    <t xml:space="preserve">Confounder vs exclusion balance</t>
  </si>
  <si>
    <t xml:space="preserve">Several conditions are listed as exclusions and also as adjustment variables. Finalize which variables are exclusion criteria versus adjustment variables.</t>
  </si>
  <si>
    <t xml:space="preserve">Index date definition</t>
  </si>
  <si>
    <t xml:space="preserve">Define Index_Date consistently for warfarin users and comparators (e.g. exposure start, or 12 months after start).</t>
  </si>
  <si>
    <t xml:space="preserve">Study period</t>
  </si>
  <si>
    <t xml:space="preserve">Proposal leaves the record period blank ('from ----- to -----'). Fill in once approved.</t>
  </si>
  <si>
    <t xml:space="preserve">YN</t>
  </si>
  <si>
    <t xml:space="preserve">YNU</t>
  </si>
  <si>
    <t xml:space="preserve">Hospital</t>
  </si>
  <si>
    <t xml:space="preserve">Smoking</t>
  </si>
  <si>
    <t xml:space="preserve">Indication</t>
  </si>
  <si>
    <t xml:space="preserve">Drug</t>
  </si>
  <si>
    <t xml:space="preserve">Method</t>
  </si>
  <si>
    <t xml:space="preserve">FxSite</t>
  </si>
  <si>
    <t xml:space="preserve">FxType</t>
  </si>
  <si>
    <t xml:space="preserve">FxSource</t>
  </si>
  <si>
    <t xml:space="preserve">Censor</t>
  </si>
  <si>
    <t xml:space="preserve">Male</t>
  </si>
  <si>
    <t xml:space="preserve">Current</t>
  </si>
  <si>
    <t xml:space="preserve">Hip</t>
  </si>
  <si>
    <t xml:space="preserve">Fragility/osteoporotic</t>
  </si>
  <si>
    <t xml:space="preserve">Medical record</t>
  </si>
  <si>
    <t xml:space="preserve">Study end</t>
  </si>
  <si>
    <t xml:space="preserve">KHCC</t>
  </si>
  <si>
    <t xml:space="preserve">Former</t>
  </si>
  <si>
    <t xml:space="preserve">Valvular heart disease</t>
  </si>
  <si>
    <t xml:space="preserve">Apixaban</t>
  </si>
  <si>
    <t xml:space="preserve">Clinical diagnosis</t>
  </si>
  <si>
    <t xml:space="preserve">Vertebral</t>
  </si>
  <si>
    <t xml:space="preserve">Traumatic</t>
  </si>
  <si>
    <t xml:space="preserve">Radiology report</t>
  </si>
  <si>
    <t xml:space="preserve">Death</t>
  </si>
  <si>
    <t xml:space="preserve">VTE</t>
  </si>
  <si>
    <t xml:space="preserve">Rivaroxaban</t>
  </si>
  <si>
    <t xml:space="preserve">Both</t>
  </si>
  <si>
    <t xml:space="preserve">Distal radius</t>
  </si>
  <si>
    <t xml:space="preserve">Unclear</t>
  </si>
  <si>
    <t xml:space="preserve">Diagnostic code</t>
  </si>
  <si>
    <t xml:space="preserve">Last contact</t>
  </si>
  <si>
    <t xml:space="preserve">Other</t>
  </si>
  <si>
    <t xml:space="preserve">Dabigatran</t>
  </si>
  <si>
    <t xml:space="preserve">Treatment switch/stop</t>
  </si>
  <si>
    <t xml:space="preserve">Edoxaban</t>
  </si>
  <si>
    <t xml:space="preserve">Heparin</t>
  </si>
  <si>
    <t xml:space="preserve">None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</si>
</sst>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.0"/>
    <numFmt numFmtId="167" formatCode="0.0%"/>
    <numFmt numFmtId="168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9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2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2F5597"/>
      </patternFill>
    </fill>
    <fill>
      <patternFill patternType="solid">
        <fgColor rgb="FFEDEDED"/>
        <bgColor rgb="FFFFF2CC"/>
      </patternFill>
    </fill>
    <fill>
      <patternFill patternType="solid">
        <fgColor rgb="FFFFF2CC"/>
        <bgColor rgb="FFEDEDED"/>
      </patternFill>
    </fill>
    <fill>
      <patternFill patternType="solid">
        <fgColor rgb="FF833C0B"/>
        <bgColor rgb="FF993366"/>
      </patternFill>
    </fill>
    <fill>
      <patternFill patternType="solid">
        <fgColor rgb="FF385723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2F5597"/>
        <bgColor rgb="FF1F4E79"/>
      </patternFill>
    </fill>
    <fill>
      <patternFill patternType="solid">
        <fgColor rgb="FFBFBFBF"/>
        <bgColor rgb="FFCCCCFF"/>
      </patternFill>
    </fill>
    <fill>
      <patternFill patternType="solid">
        <fgColor rgb="FFFFFFFF"/>
        <bgColor rgb="FFEDEDED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33C0B"/>
          <bgColor rgb="FF000000"/>
        </patternFill>
      </fill>
    </dxf>
    <dxf>
      <fill>
        <patternFill patternType="solid">
          <fgColor rgb="FF385723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2F5597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DEDED"/>
      <rgbColor rgb="FF660066"/>
      <rgbColor rgb="FFFF8080"/>
      <rgbColor rgb="FF2F559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33C0B"/>
      <rgbColor rgb="FF993366"/>
      <rgbColor rgb="FF1F4E79"/>
      <rgbColor rgb="FF385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6" t="s">
        <v>6</v>
      </c>
    </row>
    <row r="7" customFormat="false" ht="15" hidden="false" customHeight="false" outlineLevel="0" collapsed="false">
      <c r="A7" s="5" t="s">
        <v>7</v>
      </c>
      <c r="B7" s="6" t="s">
        <v>8</v>
      </c>
    </row>
    <row r="8" customFormat="false" ht="23.8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5" t="s">
        <v>13</v>
      </c>
      <c r="B10" s="6" t="s">
        <v>14</v>
      </c>
    </row>
    <row r="11" customFormat="false" ht="15" hidden="false" customHeight="false" outlineLevel="0" collapsed="false">
      <c r="A11" s="3" t="s">
        <v>15</v>
      </c>
      <c r="B11" s="4"/>
    </row>
    <row r="12" customFormat="false" ht="15" hidden="false" customHeight="false" outlineLevel="0" collapsed="false">
      <c r="A12" s="5" t="s">
        <v>16</v>
      </c>
      <c r="B12" s="6" t="s">
        <v>17</v>
      </c>
    </row>
    <row r="13" customFormat="false" ht="23.85" hidden="false" customHeight="false" outlineLevel="0" collapsed="false">
      <c r="A13" s="7" t="s">
        <v>18</v>
      </c>
      <c r="B13" s="6" t="s">
        <v>19</v>
      </c>
    </row>
    <row r="14" customFormat="false" ht="15" hidden="false" customHeight="false" outlineLevel="0" collapsed="false">
      <c r="A14" s="8" t="s">
        <v>20</v>
      </c>
      <c r="B14" s="6" t="s">
        <v>21</v>
      </c>
    </row>
    <row r="15" customFormat="false" ht="15" hidden="false" customHeight="false" outlineLevel="0" collapsed="false">
      <c r="A15" s="5" t="s">
        <v>22</v>
      </c>
      <c r="B15" s="6" t="s">
        <v>23</v>
      </c>
    </row>
    <row r="16" customFormat="false" ht="15" hidden="false" customHeight="false" outlineLevel="0" collapsed="false">
      <c r="A16" s="5" t="s">
        <v>24</v>
      </c>
      <c r="B16" s="6" t="s">
        <v>25</v>
      </c>
    </row>
    <row r="17" customFormat="false" ht="15" hidden="false" customHeight="false" outlineLevel="0" collapsed="false">
      <c r="A17" s="5" t="s">
        <v>26</v>
      </c>
      <c r="B17" s="6" t="s">
        <v>27</v>
      </c>
    </row>
    <row r="18" customFormat="false" ht="15" hidden="false" customHeight="false" outlineLevel="0" collapsed="false">
      <c r="A18" s="5" t="s">
        <v>28</v>
      </c>
      <c r="B18" s="6" t="s">
        <v>29</v>
      </c>
    </row>
    <row r="19" customFormat="false" ht="15" hidden="false" customHeight="false" outlineLevel="0" collapsed="false">
      <c r="A19" s="5" t="s">
        <v>30</v>
      </c>
      <c r="B19" s="6" t="s">
        <v>31</v>
      </c>
    </row>
    <row r="20" customFormat="false" ht="15" hidden="false" customHeight="false" outlineLevel="0" collapsed="false">
      <c r="A20" s="3" t="s">
        <v>32</v>
      </c>
      <c r="B20" s="4"/>
    </row>
    <row r="21" customFormat="false" ht="15" hidden="false" customHeight="false" outlineLevel="0" collapsed="false">
      <c r="A21" s="9" t="s">
        <v>33</v>
      </c>
      <c r="B21" s="10" t="s">
        <v>34</v>
      </c>
    </row>
    <row r="22" customFormat="false" ht="15" hidden="false" customHeight="false" outlineLevel="0" collapsed="false">
      <c r="A22" s="9" t="s">
        <v>35</v>
      </c>
      <c r="B22" s="10" t="s">
        <v>36</v>
      </c>
    </row>
    <row r="23" customFormat="false" ht="15" hidden="false" customHeight="false" outlineLevel="0" collapsed="false">
      <c r="A23" s="9" t="s">
        <v>37</v>
      </c>
      <c r="B23" s="10" t="s">
        <v>38</v>
      </c>
    </row>
    <row r="24" customFormat="false" ht="15" hidden="false" customHeight="false" outlineLevel="0" collapsed="false">
      <c r="A24" s="9" t="s">
        <v>39</v>
      </c>
      <c r="B24" s="1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.51"/>
    <col collapsed="false" customWidth="true" hidden="false" outlineLevel="0" max="3" min="3" style="0" width="13"/>
    <col collapsed="false" customWidth="true" hidden="false" outlineLevel="0" max="4" min="4" style="0" width="16.39"/>
    <col collapsed="false" customWidth="true" hidden="false" outlineLevel="0" max="10" min="5" style="0" width="13"/>
    <col collapsed="false" customWidth="true" hidden="false" outlineLevel="0" max="11" min="11" style="0" width="14.6"/>
    <col collapsed="false" customWidth="true" hidden="false" outlineLevel="0" max="12" min="12" style="0" width="13"/>
    <col collapsed="false" customWidth="true" hidden="false" outlineLevel="0" max="13" min="13" style="0" width="19.1"/>
    <col collapsed="false" customWidth="true" hidden="false" outlineLevel="0" max="14" min="14" style="0" width="21.8"/>
    <col collapsed="false" customWidth="true" hidden="false" outlineLevel="0" max="15" min="15" style="0" width="25.39"/>
    <col collapsed="false" customWidth="true" hidden="false" outlineLevel="0" max="16" min="16" style="0" width="19.1"/>
    <col collapsed="false" customWidth="true" hidden="false" outlineLevel="0" max="17" min="17" style="0" width="21.8"/>
    <col collapsed="false" customWidth="true" hidden="false" outlineLevel="0" max="18" min="18" style="0" width="19.1"/>
    <col collapsed="false" customWidth="true" hidden="false" outlineLevel="0" max="19" min="19" style="0" width="17.3"/>
    <col collapsed="false" customWidth="true" hidden="false" outlineLevel="0" max="20" min="20" style="0" width="23.6"/>
    <col collapsed="false" customWidth="true" hidden="false" outlineLevel="0" max="21" min="21" style="0" width="25.39"/>
    <col collapsed="false" customWidth="true" hidden="false" outlineLevel="0" max="22" min="22" style="0" width="23.6"/>
    <col collapsed="false" customWidth="true" hidden="false" outlineLevel="0" max="23" min="23" style="0" width="13"/>
    <col collapsed="false" customWidth="true" hidden="false" outlineLevel="0" max="24" min="24" style="0" width="23.6"/>
    <col collapsed="false" customWidth="true" hidden="false" outlineLevel="0" max="25" min="25" style="0" width="25.39"/>
    <col collapsed="false" customWidth="true" hidden="false" outlineLevel="0" max="26" min="26" style="0" width="30"/>
    <col collapsed="false" customWidth="true" hidden="false" outlineLevel="0" max="27" min="27" style="0" width="23.6"/>
    <col collapsed="false" customWidth="true" hidden="false" outlineLevel="0" max="28" min="28" style="0" width="29"/>
    <col collapsed="false" customWidth="true" hidden="false" outlineLevel="0" max="29" min="29" style="0" width="21.8"/>
    <col collapsed="false" customWidth="true" hidden="false" outlineLevel="0" max="30" min="30" style="0" width="17.3"/>
    <col collapsed="false" customWidth="true" hidden="false" outlineLevel="0" max="31" min="31" style="0" width="13"/>
    <col collapsed="false" customWidth="true" hidden="false" outlineLevel="0" max="32" min="32" style="0" width="20"/>
    <col collapsed="false" customWidth="true" hidden="false" outlineLevel="0" max="33" min="33" style="0" width="25.39"/>
    <col collapsed="false" customWidth="true" hidden="false" outlineLevel="0" max="34" min="34" style="0" width="20.9"/>
    <col collapsed="false" customWidth="true" hidden="false" outlineLevel="0" max="35" min="35" style="0" width="26.3"/>
    <col collapsed="false" customWidth="true" hidden="false" outlineLevel="0" max="36" min="36" style="0" width="13"/>
    <col collapsed="false" customWidth="true" hidden="false" outlineLevel="0" max="37" min="37" style="0" width="16.39"/>
    <col collapsed="false" customWidth="true" hidden="false" outlineLevel="0" max="38" min="38" style="0" width="14.6"/>
    <col collapsed="false" customWidth="true" hidden="false" outlineLevel="0" max="39" min="39" style="0" width="15.51"/>
    <col collapsed="false" customWidth="true" hidden="false" outlineLevel="0" max="40" min="40" style="0" width="30"/>
    <col collapsed="false" customWidth="true" hidden="false" outlineLevel="0" max="41" min="41" style="0" width="19.1"/>
    <col collapsed="false" customWidth="true" hidden="false" outlineLevel="0" max="42" min="42" style="0" width="27.2"/>
    <col collapsed="false" customWidth="true" hidden="false" outlineLevel="0" max="43" min="43" style="0" width="20"/>
    <col collapsed="false" customWidth="true" hidden="false" outlineLevel="0" max="44" min="44" style="0" width="22.7"/>
    <col collapsed="false" customWidth="true" hidden="false" outlineLevel="0" max="45" min="45" style="0" width="18.2"/>
    <col collapsed="false" customWidth="true" hidden="false" outlineLevel="0" max="47" min="46" style="0" width="27.2"/>
    <col collapsed="false" customWidth="true" hidden="false" outlineLevel="0" max="48" min="48" style="0" width="24.51"/>
    <col collapsed="false" customWidth="true" hidden="false" outlineLevel="0" max="49" min="49" style="0" width="28.1"/>
    <col collapsed="false" customWidth="true" hidden="false" outlineLevel="0" max="50" min="50" style="0" width="20.9"/>
    <col collapsed="false" customWidth="true" hidden="false" outlineLevel="0" max="51" min="51" style="0" width="26.3"/>
    <col collapsed="false" customWidth="true" hidden="false" outlineLevel="0" max="52" min="52" style="0" width="29"/>
    <col collapsed="false" customWidth="true" hidden="false" outlineLevel="0" max="53" min="53" style="0" width="22.7"/>
    <col collapsed="false" customWidth="true" hidden="false" outlineLevel="0" max="54" min="54" style="0" width="18.2"/>
    <col collapsed="false" customWidth="true" hidden="false" outlineLevel="0" max="56" min="55" style="0" width="27.2"/>
    <col collapsed="false" customWidth="true" hidden="false" outlineLevel="0" max="57" min="57" style="0" width="24.51"/>
    <col collapsed="false" customWidth="true" hidden="false" outlineLevel="0" max="58" min="58" style="0" width="28.1"/>
    <col collapsed="false" customWidth="true" hidden="false" outlineLevel="0" max="59" min="59" style="0" width="13"/>
    <col collapsed="false" customWidth="true" hidden="false" outlineLevel="0" max="60" min="60" style="0" width="22.7"/>
    <col collapsed="false" customWidth="true" hidden="false" outlineLevel="0" max="61" min="61" style="0" width="17.3"/>
    <col collapsed="false" customWidth="true" hidden="false" outlineLevel="0" max="62" min="62" style="0" width="21.8"/>
    <col collapsed="false" customWidth="true" hidden="false" outlineLevel="0" max="64" min="63" style="0" width="13.7"/>
    <col collapsed="false" customWidth="true" hidden="false" outlineLevel="0" max="65" min="65" style="0" width="23.6"/>
    <col collapsed="false" customWidth="true" hidden="false" outlineLevel="0" max="66" min="66" style="0" width="30"/>
    <col collapsed="false" customWidth="true" hidden="false" outlineLevel="0" max="67" min="67" style="0" width="20"/>
    <col collapsed="false" customWidth="true" hidden="false" outlineLevel="0" max="68" min="68" style="0" width="13"/>
    <col collapsed="false" customWidth="true" hidden="false" outlineLevel="0" max="69" min="69" style="0" width="25.39"/>
    <col collapsed="false" customWidth="true" hidden="false" outlineLevel="0" max="70" min="70" style="0" width="17.3"/>
    <col collapsed="false" customWidth="true" hidden="false" outlineLevel="0" max="71" min="71" style="0" width="21.8"/>
    <col collapsed="false" customWidth="true" hidden="false" outlineLevel="0" max="72" min="72" style="0" width="20.9"/>
    <col collapsed="false" customWidth="true" hidden="false" outlineLevel="0" max="73" min="73" style="0" width="20"/>
    <col collapsed="false" customWidth="true" hidden="false" outlineLevel="0" max="74" min="74" style="0" width="20.9"/>
    <col collapsed="false" customWidth="true" hidden="false" outlineLevel="0" max="75" min="75" style="0" width="13.7"/>
    <col collapsed="false" customWidth="true" hidden="false" outlineLevel="0" max="77" min="76" style="0" width="16.39"/>
    <col collapsed="false" customWidth="true" hidden="false" outlineLevel="0" max="79" min="78" style="0" width="13"/>
    <col collapsed="false" customWidth="true" hidden="false" outlineLevel="0" max="80" min="80" style="0" width="17.3"/>
    <col collapsed="false" customWidth="true" hidden="false" outlineLevel="0" max="81" min="81" style="0" width="13"/>
    <col collapsed="false" customWidth="true" hidden="false" outlineLevel="0" max="82" min="82" style="0" width="14.6"/>
    <col collapsed="false" customWidth="true" hidden="false" outlineLevel="0" max="83" min="83" style="0" width="13"/>
  </cols>
  <sheetData>
    <row r="1" customFormat="false" ht="15" hidden="false" customHeight="false" outlineLevel="0" collapsed="false">
      <c r="A1" s="11" t="s">
        <v>41</v>
      </c>
      <c r="B1" s="11" t="s">
        <v>41</v>
      </c>
      <c r="C1" s="11" t="s">
        <v>41</v>
      </c>
      <c r="D1" s="11" t="s">
        <v>41</v>
      </c>
      <c r="E1" s="11" t="s">
        <v>41</v>
      </c>
      <c r="F1" s="11" t="s">
        <v>41</v>
      </c>
      <c r="G1" s="11" t="s">
        <v>41</v>
      </c>
      <c r="H1" s="11" t="s">
        <v>41</v>
      </c>
      <c r="I1" s="11" t="s">
        <v>41</v>
      </c>
      <c r="J1" s="11" t="s">
        <v>41</v>
      </c>
      <c r="K1" s="11" t="s">
        <v>41</v>
      </c>
      <c r="L1" s="11" t="s">
        <v>41</v>
      </c>
      <c r="M1" s="12" t="s">
        <v>42</v>
      </c>
      <c r="N1" s="12" t="s">
        <v>42</v>
      </c>
      <c r="O1" s="12" t="s">
        <v>42</v>
      </c>
      <c r="P1" s="12" t="s">
        <v>42</v>
      </c>
      <c r="Q1" s="12" t="s">
        <v>42</v>
      </c>
      <c r="R1" s="12" t="s">
        <v>42</v>
      </c>
      <c r="S1" s="12" t="s">
        <v>42</v>
      </c>
      <c r="T1" s="12" t="s">
        <v>42</v>
      </c>
      <c r="U1" s="12" t="s">
        <v>42</v>
      </c>
      <c r="V1" s="12" t="s">
        <v>42</v>
      </c>
      <c r="W1" s="12" t="s">
        <v>42</v>
      </c>
      <c r="X1" s="12" t="s">
        <v>42</v>
      </c>
      <c r="Y1" s="12" t="s">
        <v>42</v>
      </c>
      <c r="Z1" s="12" t="s">
        <v>42</v>
      </c>
      <c r="AA1" s="13" t="s">
        <v>43</v>
      </c>
      <c r="AB1" s="13" t="s">
        <v>43</v>
      </c>
      <c r="AC1" s="13" t="s">
        <v>43</v>
      </c>
      <c r="AD1" s="13" t="s">
        <v>43</v>
      </c>
      <c r="AE1" s="13" t="s">
        <v>43</v>
      </c>
      <c r="AF1" s="13" t="s">
        <v>43</v>
      </c>
      <c r="AG1" s="13" t="s">
        <v>43</v>
      </c>
      <c r="AH1" s="13" t="s">
        <v>43</v>
      </c>
      <c r="AI1" s="13" t="s">
        <v>43</v>
      </c>
      <c r="AJ1" s="13" t="s">
        <v>43</v>
      </c>
      <c r="AK1" s="13" t="s">
        <v>43</v>
      </c>
      <c r="AL1" s="13" t="s">
        <v>43</v>
      </c>
      <c r="AM1" s="13" t="s">
        <v>43</v>
      </c>
      <c r="AN1" s="13" t="s">
        <v>43</v>
      </c>
      <c r="AO1" s="13" t="s">
        <v>43</v>
      </c>
      <c r="AP1" s="13" t="s">
        <v>43</v>
      </c>
      <c r="AQ1" s="13" t="s">
        <v>43</v>
      </c>
      <c r="AR1" s="14" t="s">
        <v>44</v>
      </c>
      <c r="AS1" s="14" t="s">
        <v>44</v>
      </c>
      <c r="AT1" s="14" t="s">
        <v>44</v>
      </c>
      <c r="AU1" s="14" t="s">
        <v>44</v>
      </c>
      <c r="AV1" s="14" t="s">
        <v>44</v>
      </c>
      <c r="AW1" s="14" t="s">
        <v>44</v>
      </c>
      <c r="AX1" s="14" t="s">
        <v>44</v>
      </c>
      <c r="AY1" s="14" t="s">
        <v>44</v>
      </c>
      <c r="AZ1" s="14" t="s">
        <v>44</v>
      </c>
      <c r="BA1" s="14" t="s">
        <v>44</v>
      </c>
      <c r="BB1" s="14" t="s">
        <v>44</v>
      </c>
      <c r="BC1" s="14" t="s">
        <v>44</v>
      </c>
      <c r="BD1" s="14" t="s">
        <v>44</v>
      </c>
      <c r="BE1" s="14" t="s">
        <v>44</v>
      </c>
      <c r="BF1" s="14" t="s">
        <v>44</v>
      </c>
      <c r="BG1" s="14" t="s">
        <v>44</v>
      </c>
      <c r="BH1" s="14" t="s">
        <v>44</v>
      </c>
      <c r="BI1" s="15" t="s">
        <v>45</v>
      </c>
      <c r="BJ1" s="15" t="s">
        <v>45</v>
      </c>
      <c r="BK1" s="15" t="s">
        <v>45</v>
      </c>
      <c r="BL1" s="15" t="s">
        <v>45</v>
      </c>
      <c r="BM1" s="15" t="s">
        <v>45</v>
      </c>
      <c r="BN1" s="15" t="s">
        <v>45</v>
      </c>
      <c r="BO1" s="15" t="s">
        <v>45</v>
      </c>
      <c r="BP1" s="16" t="s">
        <v>46</v>
      </c>
      <c r="BQ1" s="16" t="s">
        <v>46</v>
      </c>
      <c r="BR1" s="16" t="s">
        <v>46</v>
      </c>
      <c r="BS1" s="16" t="s">
        <v>46</v>
      </c>
      <c r="BT1" s="16" t="s">
        <v>46</v>
      </c>
      <c r="BU1" s="16" t="s">
        <v>46</v>
      </c>
      <c r="BV1" s="16" t="s">
        <v>46</v>
      </c>
      <c r="BW1" s="16" t="s">
        <v>46</v>
      </c>
      <c r="BX1" s="16" t="s">
        <v>46</v>
      </c>
      <c r="BY1" s="16" t="s">
        <v>46</v>
      </c>
      <c r="BZ1" s="16" t="s">
        <v>46</v>
      </c>
      <c r="CA1" s="16" t="s">
        <v>46</v>
      </c>
      <c r="CB1" s="16" t="s">
        <v>46</v>
      </c>
      <c r="CC1" s="16" t="s">
        <v>46</v>
      </c>
      <c r="CD1" s="16" t="s">
        <v>46</v>
      </c>
      <c r="CE1" s="16" t="s">
        <v>46</v>
      </c>
    </row>
    <row r="2" customFormat="false" ht="48" hidden="false" customHeight="true" outlineLevel="0" collapsed="false">
      <c r="A2" s="17" t="s">
        <v>47</v>
      </c>
      <c r="B2" s="17" t="s">
        <v>48</v>
      </c>
      <c r="C2" s="17" t="s">
        <v>49</v>
      </c>
      <c r="D2" s="17" t="s">
        <v>50</v>
      </c>
      <c r="E2" s="17" t="s">
        <v>51</v>
      </c>
      <c r="F2" s="17" t="s">
        <v>52</v>
      </c>
      <c r="G2" s="17" t="s">
        <v>53</v>
      </c>
      <c r="H2" s="17" t="s">
        <v>54</v>
      </c>
      <c r="I2" s="17" t="s">
        <v>55</v>
      </c>
      <c r="J2" s="18" t="s">
        <v>56</v>
      </c>
      <c r="K2" s="17" t="s">
        <v>57</v>
      </c>
      <c r="L2" s="17" t="s">
        <v>58</v>
      </c>
      <c r="M2" s="19" t="s">
        <v>59</v>
      </c>
      <c r="N2" s="19" t="s">
        <v>60</v>
      </c>
      <c r="O2" s="19" t="s">
        <v>61</v>
      </c>
      <c r="P2" s="19" t="s">
        <v>62</v>
      </c>
      <c r="Q2" s="19" t="s">
        <v>63</v>
      </c>
      <c r="R2" s="19" t="s">
        <v>64</v>
      </c>
      <c r="S2" s="19" t="s">
        <v>65</v>
      </c>
      <c r="T2" s="19" t="s">
        <v>66</v>
      </c>
      <c r="U2" s="18" t="s">
        <v>67</v>
      </c>
      <c r="V2" s="19" t="s">
        <v>68</v>
      </c>
      <c r="W2" s="19" t="s">
        <v>69</v>
      </c>
      <c r="X2" s="19" t="s">
        <v>70</v>
      </c>
      <c r="Y2" s="19" t="s">
        <v>71</v>
      </c>
      <c r="Z2" s="19" t="s">
        <v>72</v>
      </c>
      <c r="AA2" s="20" t="s">
        <v>73</v>
      </c>
      <c r="AB2" s="20" t="s">
        <v>74</v>
      </c>
      <c r="AC2" s="20" t="s">
        <v>75</v>
      </c>
      <c r="AD2" s="20" t="s">
        <v>76</v>
      </c>
      <c r="AE2" s="20" t="s">
        <v>77</v>
      </c>
      <c r="AF2" s="20" t="s">
        <v>78</v>
      </c>
      <c r="AG2" s="20" t="s">
        <v>79</v>
      </c>
      <c r="AH2" s="20" t="s">
        <v>80</v>
      </c>
      <c r="AI2" s="20" t="s">
        <v>81</v>
      </c>
      <c r="AJ2" s="20" t="s">
        <v>82</v>
      </c>
      <c r="AK2" s="20" t="s">
        <v>83</v>
      </c>
      <c r="AL2" s="20" t="s">
        <v>84</v>
      </c>
      <c r="AM2" s="20" t="s">
        <v>85</v>
      </c>
      <c r="AN2" s="20" t="s">
        <v>86</v>
      </c>
      <c r="AO2" s="20" t="s">
        <v>87</v>
      </c>
      <c r="AP2" s="20" t="s">
        <v>88</v>
      </c>
      <c r="AQ2" s="20" t="s">
        <v>89</v>
      </c>
      <c r="AR2" s="21" t="s">
        <v>90</v>
      </c>
      <c r="AS2" s="21" t="s">
        <v>91</v>
      </c>
      <c r="AT2" s="21" t="s">
        <v>92</v>
      </c>
      <c r="AU2" s="21" t="s">
        <v>93</v>
      </c>
      <c r="AV2" s="21" t="s">
        <v>94</v>
      </c>
      <c r="AW2" s="21" t="s">
        <v>95</v>
      </c>
      <c r="AX2" s="21" t="s">
        <v>96</v>
      </c>
      <c r="AY2" s="21" t="s">
        <v>97</v>
      </c>
      <c r="AZ2" s="21" t="s">
        <v>98</v>
      </c>
      <c r="BA2" s="21" t="s">
        <v>99</v>
      </c>
      <c r="BB2" s="21" t="s">
        <v>100</v>
      </c>
      <c r="BC2" s="21" t="s">
        <v>101</v>
      </c>
      <c r="BD2" s="21" t="s">
        <v>102</v>
      </c>
      <c r="BE2" s="21" t="s">
        <v>103</v>
      </c>
      <c r="BF2" s="21" t="s">
        <v>104</v>
      </c>
      <c r="BG2" s="21" t="s">
        <v>105</v>
      </c>
      <c r="BH2" s="18" t="s">
        <v>106</v>
      </c>
      <c r="BI2" s="22" t="s">
        <v>107</v>
      </c>
      <c r="BJ2" s="22" t="s">
        <v>108</v>
      </c>
      <c r="BK2" s="22" t="s">
        <v>109</v>
      </c>
      <c r="BL2" s="22" t="s">
        <v>110</v>
      </c>
      <c r="BM2" s="22" t="s">
        <v>111</v>
      </c>
      <c r="BN2" s="18" t="s">
        <v>112</v>
      </c>
      <c r="BO2" s="18" t="s">
        <v>113</v>
      </c>
      <c r="BP2" s="23" t="s">
        <v>114</v>
      </c>
      <c r="BQ2" s="23" t="s">
        <v>115</v>
      </c>
      <c r="BR2" s="23" t="s">
        <v>116</v>
      </c>
      <c r="BS2" s="18" t="s">
        <v>117</v>
      </c>
      <c r="BT2" s="18" t="s">
        <v>118</v>
      </c>
      <c r="BU2" s="18" t="s">
        <v>119</v>
      </c>
      <c r="BV2" s="23" t="s">
        <v>120</v>
      </c>
      <c r="BW2" s="23" t="s">
        <v>121</v>
      </c>
      <c r="BX2" s="23" t="s">
        <v>122</v>
      </c>
      <c r="BY2" s="23" t="s">
        <v>123</v>
      </c>
      <c r="BZ2" s="18" t="s">
        <v>124</v>
      </c>
      <c r="CA2" s="18" t="s">
        <v>125</v>
      </c>
      <c r="CB2" s="18" t="s">
        <v>126</v>
      </c>
      <c r="CC2" s="18" t="s">
        <v>127</v>
      </c>
      <c r="CD2" s="23" t="s">
        <v>128</v>
      </c>
      <c r="CE2" s="23" t="s">
        <v>129</v>
      </c>
    </row>
    <row r="3" customFormat="false" ht="15" hidden="false" customHeight="false" outlineLevel="0" collapsed="false">
      <c r="A3" s="24" t="s">
        <v>130</v>
      </c>
      <c r="B3" s="24" t="s">
        <v>131</v>
      </c>
      <c r="C3" s="24" t="s">
        <v>132</v>
      </c>
      <c r="D3" s="24"/>
      <c r="E3" s="24" t="n">
        <v>68</v>
      </c>
      <c r="F3" s="24" t="s">
        <v>133</v>
      </c>
      <c r="G3" s="24" t="s">
        <v>134</v>
      </c>
      <c r="H3" s="24" t="n">
        <v>160</v>
      </c>
      <c r="I3" s="24" t="n">
        <v>72</v>
      </c>
      <c r="J3" s="24" t="n">
        <f aca="false">IF(AND(N(H3)&gt;0,N(I3)&gt;0),ROUND(I3/(H3/100)^2,1),"")</f>
        <v>28.1</v>
      </c>
      <c r="K3" s="24" t="s">
        <v>135</v>
      </c>
      <c r="L3" s="24" t="s">
        <v>136</v>
      </c>
      <c r="M3" s="24" t="s">
        <v>132</v>
      </c>
      <c r="N3" s="24" t="s">
        <v>136</v>
      </c>
      <c r="O3" s="24" t="s">
        <v>137</v>
      </c>
      <c r="P3" s="24" t="s">
        <v>138</v>
      </c>
      <c r="Q3" s="24" t="s">
        <v>138</v>
      </c>
      <c r="R3" s="25" t="n">
        <v>42809</v>
      </c>
      <c r="S3" s="25"/>
      <c r="T3" s="24" t="n">
        <v>74</v>
      </c>
      <c r="U3" s="24" t="str">
        <f aca="false">IF(N(T3)=0,"",IF(T3&lt;12,"Under 12 months",IF(T3&lt;36,"12-35 months",IF(T3&lt;60,"36-59 months","≥60 months"))))</f>
        <v>≥60 months</v>
      </c>
      <c r="V3" s="24"/>
      <c r="W3" s="26" t="n">
        <v>2.6</v>
      </c>
      <c r="X3" s="24" t="s">
        <v>132</v>
      </c>
      <c r="Y3" s="24" t="s">
        <v>136</v>
      </c>
      <c r="Z3" s="24"/>
      <c r="AA3" s="24" t="s">
        <v>136</v>
      </c>
      <c r="AB3" s="24" t="s">
        <v>136</v>
      </c>
      <c r="AC3" s="24" t="s">
        <v>136</v>
      </c>
      <c r="AD3" s="24" t="s">
        <v>132</v>
      </c>
      <c r="AE3" s="24" t="s">
        <v>132</v>
      </c>
      <c r="AF3" s="24" t="s">
        <v>136</v>
      </c>
      <c r="AG3" s="24" t="s">
        <v>136</v>
      </c>
      <c r="AH3" s="24" t="s">
        <v>136</v>
      </c>
      <c r="AI3" s="24" t="s">
        <v>136</v>
      </c>
      <c r="AJ3" s="24" t="s">
        <v>139</v>
      </c>
      <c r="AK3" s="24" t="s">
        <v>136</v>
      </c>
      <c r="AL3" s="24" t="s">
        <v>136</v>
      </c>
      <c r="AM3" s="24" t="s">
        <v>136</v>
      </c>
      <c r="AN3" s="24" t="s">
        <v>136</v>
      </c>
      <c r="AO3" s="24" t="s">
        <v>140</v>
      </c>
      <c r="AP3" s="24" t="s">
        <v>136</v>
      </c>
      <c r="AQ3" s="24" t="s">
        <v>141</v>
      </c>
      <c r="AR3" s="24" t="s">
        <v>132</v>
      </c>
      <c r="AS3" s="25" t="n">
        <v>42857</v>
      </c>
      <c r="AT3" s="26" t="n">
        <v>-1.2</v>
      </c>
      <c r="AU3" s="26" t="n">
        <v>-1.4</v>
      </c>
      <c r="AV3" s="26" t="n">
        <v>-1.1</v>
      </c>
      <c r="AW3" s="24" t="s">
        <v>142</v>
      </c>
      <c r="AX3" s="24" t="s">
        <v>132</v>
      </c>
      <c r="AY3" s="25" t="n">
        <v>44732</v>
      </c>
      <c r="AZ3" s="24" t="s">
        <v>143</v>
      </c>
      <c r="BA3" s="24" t="s">
        <v>144</v>
      </c>
      <c r="BB3" s="25" t="n">
        <v>44732</v>
      </c>
      <c r="BC3" s="26" t="n">
        <v>-2.6</v>
      </c>
      <c r="BD3" s="26" t="n">
        <v>-2.2</v>
      </c>
      <c r="BE3" s="26" t="n">
        <v>-1.9</v>
      </c>
      <c r="BF3" s="24" t="s">
        <v>145</v>
      </c>
      <c r="BG3" s="24" t="s">
        <v>146</v>
      </c>
      <c r="BH3" s="24" t="str">
        <f aca="false">IF(COUNT(BC3:BE3)=0,"",IF(MIN(BC3:BE3)&lt;=-2.5,"Yes","No"))</f>
        <v>Yes</v>
      </c>
      <c r="BI3" s="24" t="s">
        <v>136</v>
      </c>
      <c r="BJ3" s="25"/>
      <c r="BK3" s="24"/>
      <c r="BL3" s="24"/>
      <c r="BM3" s="24"/>
      <c r="BN3" s="24" t="str">
        <f aca="false">IF(OR(AX3="Yes",BI3="Yes"),"Yes",IF(AND(AX3="No",BI3="No"),"No",IF(AND(AX3="",BI3=""),"","Unknown")))</f>
        <v>Yes</v>
      </c>
      <c r="BO3" s="25" t="n">
        <f aca="false">IF(COUNT(AY3,BJ3)=0,"",MIN(AY3,BJ3))</f>
        <v>44732</v>
      </c>
      <c r="BP3" s="25" t="n">
        <v>42809</v>
      </c>
      <c r="BQ3" s="25" t="n">
        <v>45301</v>
      </c>
      <c r="BR3" s="25" t="n">
        <v>44732</v>
      </c>
      <c r="BS3" s="24" t="n">
        <f aca="false">IF(AND(N(BP3)&gt;0,N(BR3)&gt;0),BR3-BP3,"")</f>
        <v>1923</v>
      </c>
      <c r="BT3" s="24" t="n">
        <f aca="false">IF(BS3="","",ROUND(BS3/365.25,2))</f>
        <v>5.26</v>
      </c>
      <c r="BU3" s="24" t="str">
        <f aca="false">IF(BS3="","",IF(BS3&gt;=730.5,"Yes","No"))</f>
        <v>Yes</v>
      </c>
      <c r="BV3" s="24" t="s">
        <v>136</v>
      </c>
      <c r="BW3" s="25"/>
      <c r="BX3" s="24" t="s">
        <v>136</v>
      </c>
      <c r="BY3" s="24"/>
      <c r="BZ3" s="24" t="str">
        <f aca="false">IF(N(E3)=0,"",IF(E3&lt;65,"Under 65","≥65"))</f>
        <v>≥65</v>
      </c>
      <c r="CA3" s="24" t="str">
        <f aca="false">IF(OR(AC3="Yes",AC3="No"),AC3,"")</f>
        <v>No</v>
      </c>
      <c r="CB3" s="24" t="str">
        <f aca="false">IF(OR(AD3="Yes",AD3="No"),AD3,"")</f>
        <v>Yes</v>
      </c>
      <c r="CC3" s="24" t="str">
        <f aca="false">IF(F3="","",F3)</f>
        <v>Female</v>
      </c>
      <c r="CD3" s="24" t="s">
        <v>147</v>
      </c>
      <c r="CE3" s="24" t="s">
        <v>148</v>
      </c>
    </row>
    <row r="4" customFormat="false" ht="15" hidden="false" customHeight="false" outlineLevel="0" collapsed="false">
      <c r="A4" s="27"/>
      <c r="B4" s="27"/>
      <c r="C4" s="27"/>
      <c r="D4" s="27"/>
      <c r="E4" s="27"/>
      <c r="F4" s="27"/>
      <c r="G4" s="27"/>
      <c r="H4" s="27"/>
      <c r="I4" s="27"/>
      <c r="J4" s="28" t="str">
        <f aca="false">IF(AND(N(H4)&gt;0,N(I4)&gt;0),ROUND(I4/(H4/100)^2,1),"")</f>
        <v/>
      </c>
      <c r="K4" s="27"/>
      <c r="L4" s="27"/>
      <c r="M4" s="27"/>
      <c r="N4" s="27"/>
      <c r="O4" s="27"/>
      <c r="P4" s="27"/>
      <c r="Q4" s="27"/>
      <c r="R4" s="29"/>
      <c r="S4" s="29"/>
      <c r="T4" s="27"/>
      <c r="U4" s="28" t="str">
        <f aca="false">IF(N(T4)=0,"",IF(T4&lt;12,"Under 12 months",IF(T4&lt;36,"12-35 months",IF(T4&lt;60,"36-59 months","≥60 months"))))</f>
        <v/>
      </c>
      <c r="V4" s="27"/>
      <c r="W4" s="30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9"/>
      <c r="AT4" s="30"/>
      <c r="AU4" s="30"/>
      <c r="AV4" s="30"/>
      <c r="AW4" s="27"/>
      <c r="AX4" s="27"/>
      <c r="AY4" s="29"/>
      <c r="AZ4" s="27"/>
      <c r="BA4" s="27"/>
      <c r="BB4" s="29"/>
      <c r="BC4" s="30"/>
      <c r="BD4" s="30"/>
      <c r="BE4" s="30"/>
      <c r="BF4" s="27"/>
      <c r="BG4" s="27"/>
      <c r="BH4" s="28" t="str">
        <f aca="false">IF(COUNT(BC4:BE4)=0,"",IF(MIN(BC4:BE4)&lt;=-2.5,"Yes","No"))</f>
        <v/>
      </c>
      <c r="BI4" s="27"/>
      <c r="BJ4" s="29"/>
      <c r="BK4" s="27"/>
      <c r="BL4" s="27"/>
      <c r="BM4" s="27"/>
      <c r="BN4" s="28" t="str">
        <f aca="false">IF(OR(AX4="Yes",BI4="Yes"),"Yes",IF(AND(AX4="No",BI4="No"),"No",IF(AND(AX4="",BI4=""),"","Unknown")))</f>
        <v/>
      </c>
      <c r="BO4" s="31" t="str">
        <f aca="false">IF(COUNT(AY4,BJ4)=0,"",MIN(AY4,BJ4))</f>
        <v/>
      </c>
      <c r="BP4" s="29"/>
      <c r="BQ4" s="29"/>
      <c r="BR4" s="29"/>
      <c r="BS4" s="28" t="str">
        <f aca="false">IF(AND(N(BP4)&gt;0,N(BR4)&gt;0),BR4-BP4,"")</f>
        <v/>
      </c>
      <c r="BT4" s="28" t="str">
        <f aca="false">IF(BS4="","",ROUND(BS4/365.25,2))</f>
        <v/>
      </c>
      <c r="BU4" s="28" t="str">
        <f aca="false">IF(BS4="","",IF(BS4&gt;=730.5,"Yes","No"))</f>
        <v/>
      </c>
      <c r="BV4" s="27"/>
      <c r="BW4" s="29"/>
      <c r="BX4" s="27"/>
      <c r="BY4" s="27"/>
      <c r="BZ4" s="28" t="str">
        <f aca="false">IF(N(E4)=0,"",IF(E4&lt;65,"Under 65","≥65"))</f>
        <v/>
      </c>
      <c r="CA4" s="28" t="str">
        <f aca="false">IF(OR(AC4="Yes",AC4="No"),AC4,"")</f>
        <v/>
      </c>
      <c r="CB4" s="28" t="str">
        <f aca="false">IF(OR(AD4="Yes",AD4="No"),AD4,"")</f>
        <v/>
      </c>
      <c r="CC4" s="28" t="str">
        <f aca="false">IF(F4="","",F4)</f>
        <v/>
      </c>
      <c r="CD4" s="27"/>
      <c r="CE4" s="27"/>
    </row>
    <row r="5" customFormat="false" ht="15" hidden="false" customHeight="false" outlineLevel="0" collapsed="false">
      <c r="A5" s="27"/>
      <c r="B5" s="27"/>
      <c r="C5" s="27"/>
      <c r="D5" s="27"/>
      <c r="E5" s="27"/>
      <c r="F5" s="27"/>
      <c r="G5" s="27"/>
      <c r="H5" s="27"/>
      <c r="I5" s="27"/>
      <c r="J5" s="28" t="str">
        <f aca="false">IF(AND(N(H5)&gt;0,N(I5)&gt;0),ROUND(I5/(H5/100)^2,1),"")</f>
        <v/>
      </c>
      <c r="K5" s="27"/>
      <c r="L5" s="27"/>
      <c r="M5" s="27"/>
      <c r="N5" s="27"/>
      <c r="O5" s="27"/>
      <c r="P5" s="27"/>
      <c r="Q5" s="27"/>
      <c r="R5" s="29"/>
      <c r="S5" s="29"/>
      <c r="T5" s="27"/>
      <c r="U5" s="28" t="str">
        <f aca="false">IF(N(T5)=0,"",IF(T5&lt;12,"Under 12 months",IF(T5&lt;36,"12-35 months",IF(T5&lt;60,"36-59 months","≥60 months"))))</f>
        <v/>
      </c>
      <c r="V5" s="27"/>
      <c r="W5" s="30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9"/>
      <c r="AT5" s="30"/>
      <c r="AU5" s="30"/>
      <c r="AV5" s="30"/>
      <c r="AW5" s="27"/>
      <c r="AX5" s="27"/>
      <c r="AY5" s="29"/>
      <c r="AZ5" s="27"/>
      <c r="BA5" s="27"/>
      <c r="BB5" s="29"/>
      <c r="BC5" s="30"/>
      <c r="BD5" s="30"/>
      <c r="BE5" s="30"/>
      <c r="BF5" s="27"/>
      <c r="BG5" s="27"/>
      <c r="BH5" s="28" t="str">
        <f aca="false">IF(COUNT(BC5:BE5)=0,"",IF(MIN(BC5:BE5)&lt;=-2.5,"Yes","No"))</f>
        <v/>
      </c>
      <c r="BI5" s="27"/>
      <c r="BJ5" s="29"/>
      <c r="BK5" s="27"/>
      <c r="BL5" s="27"/>
      <c r="BM5" s="27"/>
      <c r="BN5" s="28" t="str">
        <f aca="false">IF(OR(AX5="Yes",BI5="Yes"),"Yes",IF(AND(AX5="No",BI5="No"),"No",IF(AND(AX5="",BI5=""),"","Unknown")))</f>
        <v/>
      </c>
      <c r="BO5" s="31" t="str">
        <f aca="false">IF(COUNT(AY5,BJ5)=0,"",MIN(AY5,BJ5))</f>
        <v/>
      </c>
      <c r="BP5" s="29"/>
      <c r="BQ5" s="29"/>
      <c r="BR5" s="29"/>
      <c r="BS5" s="28" t="str">
        <f aca="false">IF(AND(N(BP5)&gt;0,N(BR5)&gt;0),BR5-BP5,"")</f>
        <v/>
      </c>
      <c r="BT5" s="28" t="str">
        <f aca="false">IF(BS5="","",ROUND(BS5/365.25,2))</f>
        <v/>
      </c>
      <c r="BU5" s="28" t="str">
        <f aca="false">IF(BS5="","",IF(BS5&gt;=730.5,"Yes","No"))</f>
        <v/>
      </c>
      <c r="BV5" s="27"/>
      <c r="BW5" s="29"/>
      <c r="BX5" s="27"/>
      <c r="BY5" s="27"/>
      <c r="BZ5" s="28" t="str">
        <f aca="false">IF(N(E5)=0,"",IF(E5&lt;65,"Under 65","≥65"))</f>
        <v/>
      </c>
      <c r="CA5" s="28" t="str">
        <f aca="false">IF(OR(AC5="Yes",AC5="No"),AC5,"")</f>
        <v/>
      </c>
      <c r="CB5" s="28" t="str">
        <f aca="false">IF(OR(AD5="Yes",AD5="No"),AD5,"")</f>
        <v/>
      </c>
      <c r="CC5" s="28" t="str">
        <f aca="false">IF(F5="","",F5)</f>
        <v/>
      </c>
      <c r="CD5" s="27"/>
      <c r="CE5" s="27"/>
    </row>
    <row r="6" customFormat="false" ht="15" hidden="false" customHeight="false" outlineLevel="0" collapsed="false">
      <c r="A6" s="27"/>
      <c r="B6" s="27"/>
      <c r="C6" s="27"/>
      <c r="D6" s="27"/>
      <c r="E6" s="27"/>
      <c r="F6" s="27"/>
      <c r="G6" s="27"/>
      <c r="H6" s="27"/>
      <c r="I6" s="27"/>
      <c r="J6" s="28" t="str">
        <f aca="false">IF(AND(N(H6)&gt;0,N(I6)&gt;0),ROUND(I6/(H6/100)^2,1),"")</f>
        <v/>
      </c>
      <c r="K6" s="27"/>
      <c r="L6" s="27"/>
      <c r="M6" s="27"/>
      <c r="N6" s="27"/>
      <c r="O6" s="27"/>
      <c r="P6" s="27"/>
      <c r="Q6" s="27"/>
      <c r="R6" s="29"/>
      <c r="S6" s="29"/>
      <c r="T6" s="27"/>
      <c r="U6" s="28" t="str">
        <f aca="false">IF(N(T6)=0,"",IF(T6&lt;12,"Under 12 months",IF(T6&lt;36,"12-35 months",IF(T6&lt;60,"36-59 months","≥60 months"))))</f>
        <v/>
      </c>
      <c r="V6" s="27"/>
      <c r="W6" s="30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9"/>
      <c r="AT6" s="30"/>
      <c r="AU6" s="30"/>
      <c r="AV6" s="30"/>
      <c r="AW6" s="27"/>
      <c r="AX6" s="27"/>
      <c r="AY6" s="29"/>
      <c r="AZ6" s="27"/>
      <c r="BA6" s="27"/>
      <c r="BB6" s="29"/>
      <c r="BC6" s="30"/>
      <c r="BD6" s="30"/>
      <c r="BE6" s="30"/>
      <c r="BF6" s="27"/>
      <c r="BG6" s="27"/>
      <c r="BH6" s="28" t="str">
        <f aca="false">IF(COUNT(BC6:BE6)=0,"",IF(MIN(BC6:BE6)&lt;=-2.5,"Yes","No"))</f>
        <v/>
      </c>
      <c r="BI6" s="27"/>
      <c r="BJ6" s="29"/>
      <c r="BK6" s="27"/>
      <c r="BL6" s="27"/>
      <c r="BM6" s="27"/>
      <c r="BN6" s="28" t="str">
        <f aca="false">IF(OR(AX6="Yes",BI6="Yes"),"Yes",IF(AND(AX6="No",BI6="No"),"No",IF(AND(AX6="",BI6=""),"","Unknown")))</f>
        <v/>
      </c>
      <c r="BO6" s="31" t="str">
        <f aca="false">IF(COUNT(AY6,BJ6)=0,"",MIN(AY6,BJ6))</f>
        <v/>
      </c>
      <c r="BP6" s="29"/>
      <c r="BQ6" s="29"/>
      <c r="BR6" s="29"/>
      <c r="BS6" s="28" t="str">
        <f aca="false">IF(AND(N(BP6)&gt;0,N(BR6)&gt;0),BR6-BP6,"")</f>
        <v/>
      </c>
      <c r="BT6" s="28" t="str">
        <f aca="false">IF(BS6="","",ROUND(BS6/365.25,2))</f>
        <v/>
      </c>
      <c r="BU6" s="28" t="str">
        <f aca="false">IF(BS6="","",IF(BS6&gt;=730.5,"Yes","No"))</f>
        <v/>
      </c>
      <c r="BV6" s="27"/>
      <c r="BW6" s="29"/>
      <c r="BX6" s="27"/>
      <c r="BY6" s="27"/>
      <c r="BZ6" s="28" t="str">
        <f aca="false">IF(N(E6)=0,"",IF(E6&lt;65,"Under 65","≥65"))</f>
        <v/>
      </c>
      <c r="CA6" s="28" t="str">
        <f aca="false">IF(OR(AC6="Yes",AC6="No"),AC6,"")</f>
        <v/>
      </c>
      <c r="CB6" s="28" t="str">
        <f aca="false">IF(OR(AD6="Yes",AD6="No"),AD6,"")</f>
        <v/>
      </c>
      <c r="CC6" s="28" t="str">
        <f aca="false">IF(F6="","",F6)</f>
        <v/>
      </c>
      <c r="CD6" s="27"/>
      <c r="CE6" s="27"/>
    </row>
    <row r="7" customFormat="false" ht="15" hidden="false" customHeight="false" outlineLevel="0" collapsed="false">
      <c r="A7" s="27"/>
      <c r="B7" s="27"/>
      <c r="C7" s="27"/>
      <c r="D7" s="27"/>
      <c r="E7" s="27"/>
      <c r="F7" s="27"/>
      <c r="G7" s="27"/>
      <c r="H7" s="27"/>
      <c r="I7" s="27"/>
      <c r="J7" s="28" t="str">
        <f aca="false">IF(AND(N(H7)&gt;0,N(I7)&gt;0),ROUND(I7/(H7/100)^2,1),"")</f>
        <v/>
      </c>
      <c r="K7" s="27"/>
      <c r="L7" s="27"/>
      <c r="M7" s="27"/>
      <c r="N7" s="27"/>
      <c r="O7" s="27"/>
      <c r="P7" s="27"/>
      <c r="Q7" s="27"/>
      <c r="R7" s="29"/>
      <c r="S7" s="29"/>
      <c r="T7" s="27"/>
      <c r="U7" s="28" t="str">
        <f aca="false">IF(N(T7)=0,"",IF(T7&lt;12,"Under 12 months",IF(T7&lt;36,"12-35 months",IF(T7&lt;60,"36-59 months","≥60 months"))))</f>
        <v/>
      </c>
      <c r="V7" s="27"/>
      <c r="W7" s="30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9"/>
      <c r="AT7" s="30"/>
      <c r="AU7" s="30"/>
      <c r="AV7" s="30"/>
      <c r="AW7" s="27"/>
      <c r="AX7" s="27"/>
      <c r="AY7" s="29"/>
      <c r="AZ7" s="27"/>
      <c r="BA7" s="27"/>
      <c r="BB7" s="29"/>
      <c r="BC7" s="30"/>
      <c r="BD7" s="30"/>
      <c r="BE7" s="30"/>
      <c r="BF7" s="27"/>
      <c r="BG7" s="27"/>
      <c r="BH7" s="28" t="str">
        <f aca="false">IF(COUNT(BC7:BE7)=0,"",IF(MIN(BC7:BE7)&lt;=-2.5,"Yes","No"))</f>
        <v/>
      </c>
      <c r="BI7" s="27"/>
      <c r="BJ7" s="29"/>
      <c r="BK7" s="27"/>
      <c r="BL7" s="27"/>
      <c r="BM7" s="27"/>
      <c r="BN7" s="28" t="str">
        <f aca="false">IF(OR(AX7="Yes",BI7="Yes"),"Yes",IF(AND(AX7="No",BI7="No"),"No",IF(AND(AX7="",BI7=""),"","Unknown")))</f>
        <v/>
      </c>
      <c r="BO7" s="31" t="str">
        <f aca="false">IF(COUNT(AY7,BJ7)=0,"",MIN(AY7,BJ7))</f>
        <v/>
      </c>
      <c r="BP7" s="29"/>
      <c r="BQ7" s="29"/>
      <c r="BR7" s="29"/>
      <c r="BS7" s="28" t="str">
        <f aca="false">IF(AND(N(BP7)&gt;0,N(BR7)&gt;0),BR7-BP7,"")</f>
        <v/>
      </c>
      <c r="BT7" s="28" t="str">
        <f aca="false">IF(BS7="","",ROUND(BS7/365.25,2))</f>
        <v/>
      </c>
      <c r="BU7" s="28" t="str">
        <f aca="false">IF(BS7="","",IF(BS7&gt;=730.5,"Yes","No"))</f>
        <v/>
      </c>
      <c r="BV7" s="27"/>
      <c r="BW7" s="29"/>
      <c r="BX7" s="27"/>
      <c r="BY7" s="27"/>
      <c r="BZ7" s="28" t="str">
        <f aca="false">IF(N(E7)=0,"",IF(E7&lt;65,"Under 65","≥65"))</f>
        <v/>
      </c>
      <c r="CA7" s="28" t="str">
        <f aca="false">IF(OR(AC7="Yes",AC7="No"),AC7,"")</f>
        <v/>
      </c>
      <c r="CB7" s="28" t="str">
        <f aca="false">IF(OR(AD7="Yes",AD7="No"),AD7,"")</f>
        <v/>
      </c>
      <c r="CC7" s="28" t="str">
        <f aca="false">IF(F7="","",F7)</f>
        <v/>
      </c>
      <c r="CD7" s="27"/>
      <c r="CE7" s="27"/>
    </row>
    <row r="8" customFormat="false" ht="15" hidden="false" customHeight="false" outlineLevel="0" collapsed="false">
      <c r="A8" s="27"/>
      <c r="B8" s="27"/>
      <c r="C8" s="27"/>
      <c r="D8" s="27"/>
      <c r="E8" s="27"/>
      <c r="F8" s="27"/>
      <c r="G8" s="27"/>
      <c r="H8" s="27"/>
      <c r="I8" s="27"/>
      <c r="J8" s="28" t="str">
        <f aca="false">IF(AND(N(H8)&gt;0,N(I8)&gt;0),ROUND(I8/(H8/100)^2,1),"")</f>
        <v/>
      </c>
      <c r="K8" s="27"/>
      <c r="L8" s="27"/>
      <c r="M8" s="27"/>
      <c r="N8" s="27"/>
      <c r="O8" s="27"/>
      <c r="P8" s="27"/>
      <c r="Q8" s="27"/>
      <c r="R8" s="29"/>
      <c r="S8" s="29"/>
      <c r="T8" s="27"/>
      <c r="U8" s="28" t="str">
        <f aca="false">IF(N(T8)=0,"",IF(T8&lt;12,"Under 12 months",IF(T8&lt;36,"12-35 months",IF(T8&lt;60,"36-59 months","≥60 months"))))</f>
        <v/>
      </c>
      <c r="V8" s="27"/>
      <c r="W8" s="30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9"/>
      <c r="AT8" s="30"/>
      <c r="AU8" s="30"/>
      <c r="AV8" s="30"/>
      <c r="AW8" s="27"/>
      <c r="AX8" s="27"/>
      <c r="AY8" s="29"/>
      <c r="AZ8" s="27"/>
      <c r="BA8" s="27"/>
      <c r="BB8" s="29"/>
      <c r="BC8" s="30"/>
      <c r="BD8" s="30"/>
      <c r="BE8" s="30"/>
      <c r="BF8" s="27"/>
      <c r="BG8" s="27"/>
      <c r="BH8" s="28" t="str">
        <f aca="false">IF(COUNT(BC8:BE8)=0,"",IF(MIN(BC8:BE8)&lt;=-2.5,"Yes","No"))</f>
        <v/>
      </c>
      <c r="BI8" s="27"/>
      <c r="BJ8" s="29"/>
      <c r="BK8" s="27"/>
      <c r="BL8" s="27"/>
      <c r="BM8" s="27"/>
      <c r="BN8" s="28" t="str">
        <f aca="false">IF(OR(AX8="Yes",BI8="Yes"),"Yes",IF(AND(AX8="No",BI8="No"),"No",IF(AND(AX8="",BI8=""),"","Unknown")))</f>
        <v/>
      </c>
      <c r="BO8" s="31" t="str">
        <f aca="false">IF(COUNT(AY8,BJ8)=0,"",MIN(AY8,BJ8))</f>
        <v/>
      </c>
      <c r="BP8" s="29"/>
      <c r="BQ8" s="29"/>
      <c r="BR8" s="29"/>
      <c r="BS8" s="28" t="str">
        <f aca="false">IF(AND(N(BP8)&gt;0,N(BR8)&gt;0),BR8-BP8,"")</f>
        <v/>
      </c>
      <c r="BT8" s="28" t="str">
        <f aca="false">IF(BS8="","",ROUND(BS8/365.25,2))</f>
        <v/>
      </c>
      <c r="BU8" s="28" t="str">
        <f aca="false">IF(BS8="","",IF(BS8&gt;=730.5,"Yes","No"))</f>
        <v/>
      </c>
      <c r="BV8" s="27"/>
      <c r="BW8" s="29"/>
      <c r="BX8" s="27"/>
      <c r="BY8" s="27"/>
      <c r="BZ8" s="28" t="str">
        <f aca="false">IF(N(E8)=0,"",IF(E8&lt;65,"Under 65","≥65"))</f>
        <v/>
      </c>
      <c r="CA8" s="28" t="str">
        <f aca="false">IF(OR(AC8="Yes",AC8="No"),AC8,"")</f>
        <v/>
      </c>
      <c r="CB8" s="28" t="str">
        <f aca="false">IF(OR(AD8="Yes",AD8="No"),AD8,"")</f>
        <v/>
      </c>
      <c r="CC8" s="28" t="str">
        <f aca="false">IF(F8="","",F8)</f>
        <v/>
      </c>
      <c r="CD8" s="27"/>
      <c r="CE8" s="27"/>
    </row>
    <row r="9" customFormat="false" ht="15" hidden="false" customHeight="false" outlineLevel="0" collapsed="false">
      <c r="A9" s="27"/>
      <c r="B9" s="27"/>
      <c r="C9" s="27"/>
      <c r="D9" s="27"/>
      <c r="E9" s="27"/>
      <c r="F9" s="27"/>
      <c r="G9" s="27"/>
      <c r="H9" s="27"/>
      <c r="I9" s="27"/>
      <c r="J9" s="28" t="str">
        <f aca="false">IF(AND(N(H9)&gt;0,N(I9)&gt;0),ROUND(I9/(H9/100)^2,1),"")</f>
        <v/>
      </c>
      <c r="K9" s="27"/>
      <c r="L9" s="27"/>
      <c r="M9" s="27"/>
      <c r="N9" s="27"/>
      <c r="O9" s="27"/>
      <c r="P9" s="27"/>
      <c r="Q9" s="27"/>
      <c r="R9" s="29"/>
      <c r="S9" s="29"/>
      <c r="T9" s="27"/>
      <c r="U9" s="28" t="str">
        <f aca="false">IF(N(T9)=0,"",IF(T9&lt;12,"Under 12 months",IF(T9&lt;36,"12-35 months",IF(T9&lt;60,"36-59 months","≥60 months"))))</f>
        <v/>
      </c>
      <c r="V9" s="27"/>
      <c r="W9" s="30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9"/>
      <c r="AT9" s="30"/>
      <c r="AU9" s="30"/>
      <c r="AV9" s="30"/>
      <c r="AW9" s="27"/>
      <c r="AX9" s="27"/>
      <c r="AY9" s="29"/>
      <c r="AZ9" s="27"/>
      <c r="BA9" s="27"/>
      <c r="BB9" s="29"/>
      <c r="BC9" s="30"/>
      <c r="BD9" s="30"/>
      <c r="BE9" s="30"/>
      <c r="BF9" s="27"/>
      <c r="BG9" s="27"/>
      <c r="BH9" s="28" t="str">
        <f aca="false">IF(COUNT(BC9:BE9)=0,"",IF(MIN(BC9:BE9)&lt;=-2.5,"Yes","No"))</f>
        <v/>
      </c>
      <c r="BI9" s="27"/>
      <c r="BJ9" s="29"/>
      <c r="BK9" s="27"/>
      <c r="BL9" s="27"/>
      <c r="BM9" s="27"/>
      <c r="BN9" s="28" t="str">
        <f aca="false">IF(OR(AX9="Yes",BI9="Yes"),"Yes",IF(AND(AX9="No",BI9="No"),"No",IF(AND(AX9="",BI9=""),"","Unknown")))</f>
        <v/>
      </c>
      <c r="BO9" s="31" t="str">
        <f aca="false">IF(COUNT(AY9,BJ9)=0,"",MIN(AY9,BJ9))</f>
        <v/>
      </c>
      <c r="BP9" s="29"/>
      <c r="BQ9" s="29"/>
      <c r="BR9" s="29"/>
      <c r="BS9" s="28" t="str">
        <f aca="false">IF(AND(N(BP9)&gt;0,N(BR9)&gt;0),BR9-BP9,"")</f>
        <v/>
      </c>
      <c r="BT9" s="28" t="str">
        <f aca="false">IF(BS9="","",ROUND(BS9/365.25,2))</f>
        <v/>
      </c>
      <c r="BU9" s="28" t="str">
        <f aca="false">IF(BS9="","",IF(BS9&gt;=730.5,"Yes","No"))</f>
        <v/>
      </c>
      <c r="BV9" s="27"/>
      <c r="BW9" s="29"/>
      <c r="BX9" s="27"/>
      <c r="BY9" s="27"/>
      <c r="BZ9" s="28" t="str">
        <f aca="false">IF(N(E9)=0,"",IF(E9&lt;65,"Under 65","≥65"))</f>
        <v/>
      </c>
      <c r="CA9" s="28" t="str">
        <f aca="false">IF(OR(AC9="Yes",AC9="No"),AC9,"")</f>
        <v/>
      </c>
      <c r="CB9" s="28" t="str">
        <f aca="false">IF(OR(AD9="Yes",AD9="No"),AD9,"")</f>
        <v/>
      </c>
      <c r="CC9" s="28" t="str">
        <f aca="false">IF(F9="","",F9)</f>
        <v/>
      </c>
      <c r="CD9" s="27"/>
      <c r="CE9" s="27"/>
    </row>
    <row r="10" customFormat="false" ht="15" hidden="false" customHeight="false" outlineLevel="0" collapsed="false">
      <c r="A10" s="27"/>
      <c r="B10" s="27"/>
      <c r="C10" s="27"/>
      <c r="D10" s="27"/>
      <c r="E10" s="27"/>
      <c r="F10" s="27"/>
      <c r="G10" s="27"/>
      <c r="H10" s="27"/>
      <c r="I10" s="27"/>
      <c r="J10" s="28" t="str">
        <f aca="false">IF(AND(N(H10)&gt;0,N(I10)&gt;0),ROUND(I10/(H10/100)^2,1),"")</f>
        <v/>
      </c>
      <c r="K10" s="27"/>
      <c r="L10" s="27"/>
      <c r="M10" s="27"/>
      <c r="N10" s="27"/>
      <c r="O10" s="27"/>
      <c r="P10" s="27"/>
      <c r="Q10" s="27"/>
      <c r="R10" s="29"/>
      <c r="S10" s="29"/>
      <c r="T10" s="27"/>
      <c r="U10" s="28" t="str">
        <f aca="false">IF(N(T10)=0,"",IF(T10&lt;12,"Under 12 months",IF(T10&lt;36,"12-35 months",IF(T10&lt;60,"36-59 months","≥60 months"))))</f>
        <v/>
      </c>
      <c r="V10" s="27"/>
      <c r="W10" s="30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9"/>
      <c r="AT10" s="30"/>
      <c r="AU10" s="30"/>
      <c r="AV10" s="30"/>
      <c r="AW10" s="27"/>
      <c r="AX10" s="27"/>
      <c r="AY10" s="29"/>
      <c r="AZ10" s="27"/>
      <c r="BA10" s="27"/>
      <c r="BB10" s="29"/>
      <c r="BC10" s="30"/>
      <c r="BD10" s="30"/>
      <c r="BE10" s="30"/>
      <c r="BF10" s="27"/>
      <c r="BG10" s="27"/>
      <c r="BH10" s="28" t="str">
        <f aca="false">IF(COUNT(BC10:BE10)=0,"",IF(MIN(BC10:BE10)&lt;=-2.5,"Yes","No"))</f>
        <v/>
      </c>
      <c r="BI10" s="27"/>
      <c r="BJ10" s="29"/>
      <c r="BK10" s="27"/>
      <c r="BL10" s="27"/>
      <c r="BM10" s="27"/>
      <c r="BN10" s="28" t="str">
        <f aca="false">IF(OR(AX10="Yes",BI10="Yes"),"Yes",IF(AND(AX10="No",BI10="No"),"No",IF(AND(AX10="",BI10=""),"","Unknown")))</f>
        <v/>
      </c>
      <c r="BO10" s="31" t="str">
        <f aca="false">IF(COUNT(AY10,BJ10)=0,"",MIN(AY10,BJ10))</f>
        <v/>
      </c>
      <c r="BP10" s="29"/>
      <c r="BQ10" s="29"/>
      <c r="BR10" s="29"/>
      <c r="BS10" s="28" t="str">
        <f aca="false">IF(AND(N(BP10)&gt;0,N(BR10)&gt;0),BR10-BP10,"")</f>
        <v/>
      </c>
      <c r="BT10" s="28" t="str">
        <f aca="false">IF(BS10="","",ROUND(BS10/365.25,2))</f>
        <v/>
      </c>
      <c r="BU10" s="28" t="str">
        <f aca="false">IF(BS10="","",IF(BS10&gt;=730.5,"Yes","No"))</f>
        <v/>
      </c>
      <c r="BV10" s="27"/>
      <c r="BW10" s="29"/>
      <c r="BX10" s="27"/>
      <c r="BY10" s="27"/>
      <c r="BZ10" s="28" t="str">
        <f aca="false">IF(N(E10)=0,"",IF(E10&lt;65,"Under 65","≥65"))</f>
        <v/>
      </c>
      <c r="CA10" s="28" t="str">
        <f aca="false">IF(OR(AC10="Yes",AC10="No"),AC10,"")</f>
        <v/>
      </c>
      <c r="CB10" s="28" t="str">
        <f aca="false">IF(OR(AD10="Yes",AD10="No"),AD10,"")</f>
        <v/>
      </c>
      <c r="CC10" s="28" t="str">
        <f aca="false">IF(F10="","",F10)</f>
        <v/>
      </c>
      <c r="CD10" s="27"/>
      <c r="CE10" s="27"/>
    </row>
    <row r="11" customFormat="false" ht="15" hidden="false" customHeight="false" outlineLevel="0" collapsed="false">
      <c r="A11" s="27"/>
      <c r="B11" s="27"/>
      <c r="C11" s="27"/>
      <c r="D11" s="27"/>
      <c r="E11" s="27"/>
      <c r="F11" s="27"/>
      <c r="G11" s="27"/>
      <c r="H11" s="27"/>
      <c r="I11" s="27"/>
      <c r="J11" s="28" t="str">
        <f aca="false">IF(AND(N(H11)&gt;0,N(I11)&gt;0),ROUND(I11/(H11/100)^2,1),"")</f>
        <v/>
      </c>
      <c r="K11" s="27"/>
      <c r="L11" s="27"/>
      <c r="M11" s="27"/>
      <c r="N11" s="27"/>
      <c r="O11" s="27"/>
      <c r="P11" s="27"/>
      <c r="Q11" s="27"/>
      <c r="R11" s="29"/>
      <c r="S11" s="29"/>
      <c r="T11" s="27"/>
      <c r="U11" s="28" t="str">
        <f aca="false">IF(N(T11)=0,"",IF(T11&lt;12,"Under 12 months",IF(T11&lt;36,"12-35 months",IF(T11&lt;60,"36-59 months","≥60 months"))))</f>
        <v/>
      </c>
      <c r="V11" s="27"/>
      <c r="W11" s="30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9"/>
      <c r="AT11" s="30"/>
      <c r="AU11" s="30"/>
      <c r="AV11" s="30"/>
      <c r="AW11" s="27"/>
      <c r="AX11" s="27"/>
      <c r="AY11" s="29"/>
      <c r="AZ11" s="27"/>
      <c r="BA11" s="27"/>
      <c r="BB11" s="29"/>
      <c r="BC11" s="30"/>
      <c r="BD11" s="30"/>
      <c r="BE11" s="30"/>
      <c r="BF11" s="27"/>
      <c r="BG11" s="27"/>
      <c r="BH11" s="28" t="str">
        <f aca="false">IF(COUNT(BC11:BE11)=0,"",IF(MIN(BC11:BE11)&lt;=-2.5,"Yes","No"))</f>
        <v/>
      </c>
      <c r="BI11" s="27"/>
      <c r="BJ11" s="29"/>
      <c r="BK11" s="27"/>
      <c r="BL11" s="27"/>
      <c r="BM11" s="27"/>
      <c r="BN11" s="28" t="str">
        <f aca="false">IF(OR(AX11="Yes",BI11="Yes"),"Yes",IF(AND(AX11="No",BI11="No"),"No",IF(AND(AX11="",BI11=""),"","Unknown")))</f>
        <v/>
      </c>
      <c r="BO11" s="31" t="str">
        <f aca="false">IF(COUNT(AY11,BJ11)=0,"",MIN(AY11,BJ11))</f>
        <v/>
      </c>
      <c r="BP11" s="29"/>
      <c r="BQ11" s="29"/>
      <c r="BR11" s="29"/>
      <c r="BS11" s="28" t="str">
        <f aca="false">IF(AND(N(BP11)&gt;0,N(BR11)&gt;0),BR11-BP11,"")</f>
        <v/>
      </c>
      <c r="BT11" s="28" t="str">
        <f aca="false">IF(BS11="","",ROUND(BS11/365.25,2))</f>
        <v/>
      </c>
      <c r="BU11" s="28" t="str">
        <f aca="false">IF(BS11="","",IF(BS11&gt;=730.5,"Yes","No"))</f>
        <v/>
      </c>
      <c r="BV11" s="27"/>
      <c r="BW11" s="29"/>
      <c r="BX11" s="27"/>
      <c r="BY11" s="27"/>
      <c r="BZ11" s="28" t="str">
        <f aca="false">IF(N(E11)=0,"",IF(E11&lt;65,"Under 65","≥65"))</f>
        <v/>
      </c>
      <c r="CA11" s="28" t="str">
        <f aca="false">IF(OR(AC11="Yes",AC11="No"),AC11,"")</f>
        <v/>
      </c>
      <c r="CB11" s="28" t="str">
        <f aca="false">IF(OR(AD11="Yes",AD11="No"),AD11,"")</f>
        <v/>
      </c>
      <c r="CC11" s="28" t="str">
        <f aca="false">IF(F11="","",F11)</f>
        <v/>
      </c>
      <c r="CD11" s="27"/>
      <c r="CE11" s="27"/>
    </row>
    <row r="12" customFormat="false" ht="15" hidden="false" customHeight="false" outlineLevel="0" collapsed="false">
      <c r="A12" s="27"/>
      <c r="B12" s="27"/>
      <c r="C12" s="27"/>
      <c r="D12" s="27"/>
      <c r="E12" s="27"/>
      <c r="F12" s="27"/>
      <c r="G12" s="27"/>
      <c r="H12" s="27"/>
      <c r="I12" s="27"/>
      <c r="J12" s="28" t="str">
        <f aca="false">IF(AND(N(H12)&gt;0,N(I12)&gt;0),ROUND(I12/(H12/100)^2,1),"")</f>
        <v/>
      </c>
      <c r="K12" s="27"/>
      <c r="L12" s="27"/>
      <c r="M12" s="27"/>
      <c r="N12" s="27"/>
      <c r="O12" s="27"/>
      <c r="P12" s="27"/>
      <c r="Q12" s="27"/>
      <c r="R12" s="29"/>
      <c r="S12" s="29"/>
      <c r="T12" s="27"/>
      <c r="U12" s="28" t="str">
        <f aca="false">IF(N(T12)=0,"",IF(T12&lt;12,"Under 12 months",IF(T12&lt;36,"12-35 months",IF(T12&lt;60,"36-59 months","≥60 months"))))</f>
        <v/>
      </c>
      <c r="V12" s="27"/>
      <c r="W12" s="30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9"/>
      <c r="AT12" s="30"/>
      <c r="AU12" s="30"/>
      <c r="AV12" s="30"/>
      <c r="AW12" s="27"/>
      <c r="AX12" s="27"/>
      <c r="AY12" s="29"/>
      <c r="AZ12" s="27"/>
      <c r="BA12" s="27"/>
      <c r="BB12" s="29"/>
      <c r="BC12" s="30"/>
      <c r="BD12" s="30"/>
      <c r="BE12" s="30"/>
      <c r="BF12" s="27"/>
      <c r="BG12" s="27"/>
      <c r="BH12" s="28" t="str">
        <f aca="false">IF(COUNT(BC12:BE12)=0,"",IF(MIN(BC12:BE12)&lt;=-2.5,"Yes","No"))</f>
        <v/>
      </c>
      <c r="BI12" s="27"/>
      <c r="BJ12" s="29"/>
      <c r="BK12" s="27"/>
      <c r="BL12" s="27"/>
      <c r="BM12" s="27"/>
      <c r="BN12" s="28" t="str">
        <f aca="false">IF(OR(AX12="Yes",BI12="Yes"),"Yes",IF(AND(AX12="No",BI12="No"),"No",IF(AND(AX12="",BI12=""),"","Unknown")))</f>
        <v/>
      </c>
      <c r="BO12" s="31" t="str">
        <f aca="false">IF(COUNT(AY12,BJ12)=0,"",MIN(AY12,BJ12))</f>
        <v/>
      </c>
      <c r="BP12" s="29"/>
      <c r="BQ12" s="29"/>
      <c r="BR12" s="29"/>
      <c r="BS12" s="28" t="str">
        <f aca="false">IF(AND(N(BP12)&gt;0,N(BR12)&gt;0),BR12-BP12,"")</f>
        <v/>
      </c>
      <c r="BT12" s="28" t="str">
        <f aca="false">IF(BS12="","",ROUND(BS12/365.25,2))</f>
        <v/>
      </c>
      <c r="BU12" s="28" t="str">
        <f aca="false">IF(BS12="","",IF(BS12&gt;=730.5,"Yes","No"))</f>
        <v/>
      </c>
      <c r="BV12" s="27"/>
      <c r="BW12" s="29"/>
      <c r="BX12" s="27"/>
      <c r="BY12" s="27"/>
      <c r="BZ12" s="28" t="str">
        <f aca="false">IF(N(E12)=0,"",IF(E12&lt;65,"Under 65","≥65"))</f>
        <v/>
      </c>
      <c r="CA12" s="28" t="str">
        <f aca="false">IF(OR(AC12="Yes",AC12="No"),AC12,"")</f>
        <v/>
      </c>
      <c r="CB12" s="28" t="str">
        <f aca="false">IF(OR(AD12="Yes",AD12="No"),AD12,"")</f>
        <v/>
      </c>
      <c r="CC12" s="28" t="str">
        <f aca="false">IF(F12="","",F12)</f>
        <v/>
      </c>
      <c r="CD12" s="27"/>
      <c r="CE12" s="27"/>
    </row>
    <row r="13" customFormat="false" ht="15" hidden="false" customHeight="false" outlineLevel="0" collapsed="false">
      <c r="A13" s="27"/>
      <c r="B13" s="27"/>
      <c r="C13" s="27"/>
      <c r="D13" s="27"/>
      <c r="E13" s="27"/>
      <c r="F13" s="27"/>
      <c r="G13" s="27"/>
      <c r="H13" s="27"/>
      <c r="I13" s="27"/>
      <c r="J13" s="28" t="str">
        <f aca="false">IF(AND(N(H13)&gt;0,N(I13)&gt;0),ROUND(I13/(H13/100)^2,1),"")</f>
        <v/>
      </c>
      <c r="K13" s="27"/>
      <c r="L13" s="27"/>
      <c r="M13" s="27"/>
      <c r="N13" s="27"/>
      <c r="O13" s="27"/>
      <c r="P13" s="27"/>
      <c r="Q13" s="27"/>
      <c r="R13" s="29"/>
      <c r="S13" s="29"/>
      <c r="T13" s="27"/>
      <c r="U13" s="28" t="str">
        <f aca="false">IF(N(T13)=0,"",IF(T13&lt;12,"Under 12 months",IF(T13&lt;36,"12-35 months",IF(T13&lt;60,"36-59 months","≥60 months"))))</f>
        <v/>
      </c>
      <c r="V13" s="27"/>
      <c r="W13" s="30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9"/>
      <c r="AT13" s="30"/>
      <c r="AU13" s="30"/>
      <c r="AV13" s="30"/>
      <c r="AW13" s="27"/>
      <c r="AX13" s="27"/>
      <c r="AY13" s="29"/>
      <c r="AZ13" s="27"/>
      <c r="BA13" s="27"/>
      <c r="BB13" s="29"/>
      <c r="BC13" s="30"/>
      <c r="BD13" s="30"/>
      <c r="BE13" s="30"/>
      <c r="BF13" s="27"/>
      <c r="BG13" s="27"/>
      <c r="BH13" s="28" t="str">
        <f aca="false">IF(COUNT(BC13:BE13)=0,"",IF(MIN(BC13:BE13)&lt;=-2.5,"Yes","No"))</f>
        <v/>
      </c>
      <c r="BI13" s="27"/>
      <c r="BJ13" s="29"/>
      <c r="BK13" s="27"/>
      <c r="BL13" s="27"/>
      <c r="BM13" s="27"/>
      <c r="BN13" s="28" t="str">
        <f aca="false">IF(OR(AX13="Yes",BI13="Yes"),"Yes",IF(AND(AX13="No",BI13="No"),"No",IF(AND(AX13="",BI13=""),"","Unknown")))</f>
        <v/>
      </c>
      <c r="BO13" s="31" t="str">
        <f aca="false">IF(COUNT(AY13,BJ13)=0,"",MIN(AY13,BJ13))</f>
        <v/>
      </c>
      <c r="BP13" s="29"/>
      <c r="BQ13" s="29"/>
      <c r="BR13" s="29"/>
      <c r="BS13" s="28" t="str">
        <f aca="false">IF(AND(N(BP13)&gt;0,N(BR13)&gt;0),BR13-BP13,"")</f>
        <v/>
      </c>
      <c r="BT13" s="28" t="str">
        <f aca="false">IF(BS13="","",ROUND(BS13/365.25,2))</f>
        <v/>
      </c>
      <c r="BU13" s="28" t="str">
        <f aca="false">IF(BS13="","",IF(BS13&gt;=730.5,"Yes","No"))</f>
        <v/>
      </c>
      <c r="BV13" s="27"/>
      <c r="BW13" s="29"/>
      <c r="BX13" s="27"/>
      <c r="BY13" s="27"/>
      <c r="BZ13" s="28" t="str">
        <f aca="false">IF(N(E13)=0,"",IF(E13&lt;65,"Under 65","≥65"))</f>
        <v/>
      </c>
      <c r="CA13" s="28" t="str">
        <f aca="false">IF(OR(AC13="Yes",AC13="No"),AC13,"")</f>
        <v/>
      </c>
      <c r="CB13" s="28" t="str">
        <f aca="false">IF(OR(AD13="Yes",AD13="No"),AD13,"")</f>
        <v/>
      </c>
      <c r="CC13" s="28" t="str">
        <f aca="false">IF(F13="","",F13)</f>
        <v/>
      </c>
      <c r="CD13" s="27"/>
      <c r="CE13" s="27"/>
    </row>
    <row r="14" customFormat="false" ht="15" hidden="false" customHeight="false" outlineLevel="0" collapsed="false">
      <c r="A14" s="27"/>
      <c r="B14" s="27"/>
      <c r="C14" s="27"/>
      <c r="D14" s="27"/>
      <c r="E14" s="27"/>
      <c r="F14" s="27"/>
      <c r="G14" s="27"/>
      <c r="H14" s="27"/>
      <c r="I14" s="27"/>
      <c r="J14" s="28" t="str">
        <f aca="false">IF(AND(N(H14)&gt;0,N(I14)&gt;0),ROUND(I14/(H14/100)^2,1),"")</f>
        <v/>
      </c>
      <c r="K14" s="27"/>
      <c r="L14" s="27"/>
      <c r="M14" s="27"/>
      <c r="N14" s="27"/>
      <c r="O14" s="27"/>
      <c r="P14" s="27"/>
      <c r="Q14" s="27"/>
      <c r="R14" s="29"/>
      <c r="S14" s="29"/>
      <c r="T14" s="27"/>
      <c r="U14" s="28" t="str">
        <f aca="false">IF(N(T14)=0,"",IF(T14&lt;12,"Under 12 months",IF(T14&lt;36,"12-35 months",IF(T14&lt;60,"36-59 months","≥60 months"))))</f>
        <v/>
      </c>
      <c r="V14" s="27"/>
      <c r="W14" s="30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9"/>
      <c r="AT14" s="30"/>
      <c r="AU14" s="30"/>
      <c r="AV14" s="30"/>
      <c r="AW14" s="27"/>
      <c r="AX14" s="27"/>
      <c r="AY14" s="29"/>
      <c r="AZ14" s="27"/>
      <c r="BA14" s="27"/>
      <c r="BB14" s="29"/>
      <c r="BC14" s="30"/>
      <c r="BD14" s="30"/>
      <c r="BE14" s="30"/>
      <c r="BF14" s="27"/>
      <c r="BG14" s="27"/>
      <c r="BH14" s="28" t="str">
        <f aca="false">IF(COUNT(BC14:BE14)=0,"",IF(MIN(BC14:BE14)&lt;=-2.5,"Yes","No"))</f>
        <v/>
      </c>
      <c r="BI14" s="27"/>
      <c r="BJ14" s="29"/>
      <c r="BK14" s="27"/>
      <c r="BL14" s="27"/>
      <c r="BM14" s="27"/>
      <c r="BN14" s="28" t="str">
        <f aca="false">IF(OR(AX14="Yes",BI14="Yes"),"Yes",IF(AND(AX14="No",BI14="No"),"No",IF(AND(AX14="",BI14=""),"","Unknown")))</f>
        <v/>
      </c>
      <c r="BO14" s="31" t="str">
        <f aca="false">IF(COUNT(AY14,BJ14)=0,"",MIN(AY14,BJ14))</f>
        <v/>
      </c>
      <c r="BP14" s="29"/>
      <c r="BQ14" s="29"/>
      <c r="BR14" s="29"/>
      <c r="BS14" s="28" t="str">
        <f aca="false">IF(AND(N(BP14)&gt;0,N(BR14)&gt;0),BR14-BP14,"")</f>
        <v/>
      </c>
      <c r="BT14" s="28" t="str">
        <f aca="false">IF(BS14="","",ROUND(BS14/365.25,2))</f>
        <v/>
      </c>
      <c r="BU14" s="28" t="str">
        <f aca="false">IF(BS14="","",IF(BS14&gt;=730.5,"Yes","No"))</f>
        <v/>
      </c>
      <c r="BV14" s="27"/>
      <c r="BW14" s="29"/>
      <c r="BX14" s="27"/>
      <c r="BY14" s="27"/>
      <c r="BZ14" s="28" t="str">
        <f aca="false">IF(N(E14)=0,"",IF(E14&lt;65,"Under 65","≥65"))</f>
        <v/>
      </c>
      <c r="CA14" s="28" t="str">
        <f aca="false">IF(OR(AC14="Yes",AC14="No"),AC14,"")</f>
        <v/>
      </c>
      <c r="CB14" s="28" t="str">
        <f aca="false">IF(OR(AD14="Yes",AD14="No"),AD14,"")</f>
        <v/>
      </c>
      <c r="CC14" s="28" t="str">
        <f aca="false">IF(F14="","",F14)</f>
        <v/>
      </c>
      <c r="CD14" s="27"/>
      <c r="CE14" s="27"/>
    </row>
    <row r="15" customFormat="false" ht="15" hidden="false" customHeight="false" outlineLevel="0" collapsed="false">
      <c r="A15" s="27"/>
      <c r="B15" s="27"/>
      <c r="C15" s="27"/>
      <c r="D15" s="27"/>
      <c r="E15" s="27"/>
      <c r="F15" s="27"/>
      <c r="G15" s="27"/>
      <c r="H15" s="27"/>
      <c r="I15" s="27"/>
      <c r="J15" s="28" t="str">
        <f aca="false">IF(AND(N(H15)&gt;0,N(I15)&gt;0),ROUND(I15/(H15/100)^2,1),"")</f>
        <v/>
      </c>
      <c r="K15" s="27"/>
      <c r="L15" s="27"/>
      <c r="M15" s="27"/>
      <c r="N15" s="27"/>
      <c r="O15" s="27"/>
      <c r="P15" s="27"/>
      <c r="Q15" s="27"/>
      <c r="R15" s="29"/>
      <c r="S15" s="29"/>
      <c r="T15" s="27"/>
      <c r="U15" s="28" t="str">
        <f aca="false">IF(N(T15)=0,"",IF(T15&lt;12,"Under 12 months",IF(T15&lt;36,"12-35 months",IF(T15&lt;60,"36-59 months","≥60 months"))))</f>
        <v/>
      </c>
      <c r="V15" s="27"/>
      <c r="W15" s="30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9"/>
      <c r="AT15" s="30"/>
      <c r="AU15" s="30"/>
      <c r="AV15" s="30"/>
      <c r="AW15" s="27"/>
      <c r="AX15" s="27"/>
      <c r="AY15" s="29"/>
      <c r="AZ15" s="27"/>
      <c r="BA15" s="27"/>
      <c r="BB15" s="29"/>
      <c r="BC15" s="30"/>
      <c r="BD15" s="30"/>
      <c r="BE15" s="30"/>
      <c r="BF15" s="27"/>
      <c r="BG15" s="27"/>
      <c r="BH15" s="28" t="str">
        <f aca="false">IF(COUNT(BC15:BE15)=0,"",IF(MIN(BC15:BE15)&lt;=-2.5,"Yes","No"))</f>
        <v/>
      </c>
      <c r="BI15" s="27"/>
      <c r="BJ15" s="29"/>
      <c r="BK15" s="27"/>
      <c r="BL15" s="27"/>
      <c r="BM15" s="27"/>
      <c r="BN15" s="28" t="str">
        <f aca="false">IF(OR(AX15="Yes",BI15="Yes"),"Yes",IF(AND(AX15="No",BI15="No"),"No",IF(AND(AX15="",BI15=""),"","Unknown")))</f>
        <v/>
      </c>
      <c r="BO15" s="31" t="str">
        <f aca="false">IF(COUNT(AY15,BJ15)=0,"",MIN(AY15,BJ15))</f>
        <v/>
      </c>
      <c r="BP15" s="29"/>
      <c r="BQ15" s="29"/>
      <c r="BR15" s="29"/>
      <c r="BS15" s="28" t="str">
        <f aca="false">IF(AND(N(BP15)&gt;0,N(BR15)&gt;0),BR15-BP15,"")</f>
        <v/>
      </c>
      <c r="BT15" s="28" t="str">
        <f aca="false">IF(BS15="","",ROUND(BS15/365.25,2))</f>
        <v/>
      </c>
      <c r="BU15" s="28" t="str">
        <f aca="false">IF(BS15="","",IF(BS15&gt;=730.5,"Yes","No"))</f>
        <v/>
      </c>
      <c r="BV15" s="27"/>
      <c r="BW15" s="29"/>
      <c r="BX15" s="27"/>
      <c r="BY15" s="27"/>
      <c r="BZ15" s="28" t="str">
        <f aca="false">IF(N(E15)=0,"",IF(E15&lt;65,"Under 65","≥65"))</f>
        <v/>
      </c>
      <c r="CA15" s="28" t="str">
        <f aca="false">IF(OR(AC15="Yes",AC15="No"),AC15,"")</f>
        <v/>
      </c>
      <c r="CB15" s="28" t="str">
        <f aca="false">IF(OR(AD15="Yes",AD15="No"),AD15,"")</f>
        <v/>
      </c>
      <c r="CC15" s="28" t="str">
        <f aca="false">IF(F15="","",F15)</f>
        <v/>
      </c>
      <c r="CD15" s="27"/>
      <c r="CE15" s="27"/>
    </row>
    <row r="16" customFormat="false" ht="15" hidden="false" customHeight="false" outlineLevel="0" collapsed="false">
      <c r="A16" s="27"/>
      <c r="B16" s="27"/>
      <c r="C16" s="27"/>
      <c r="D16" s="27"/>
      <c r="E16" s="27"/>
      <c r="F16" s="27"/>
      <c r="G16" s="27"/>
      <c r="H16" s="27"/>
      <c r="I16" s="27"/>
      <c r="J16" s="28" t="str">
        <f aca="false">IF(AND(N(H16)&gt;0,N(I16)&gt;0),ROUND(I16/(H16/100)^2,1),"")</f>
        <v/>
      </c>
      <c r="K16" s="27"/>
      <c r="L16" s="27"/>
      <c r="M16" s="27"/>
      <c r="N16" s="27"/>
      <c r="O16" s="27"/>
      <c r="P16" s="27"/>
      <c r="Q16" s="27"/>
      <c r="R16" s="29"/>
      <c r="S16" s="29"/>
      <c r="T16" s="27"/>
      <c r="U16" s="28" t="str">
        <f aca="false">IF(N(T16)=0,"",IF(T16&lt;12,"Under 12 months",IF(T16&lt;36,"12-35 months",IF(T16&lt;60,"36-59 months","≥60 months"))))</f>
        <v/>
      </c>
      <c r="V16" s="27"/>
      <c r="W16" s="30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9"/>
      <c r="AT16" s="30"/>
      <c r="AU16" s="30"/>
      <c r="AV16" s="30"/>
      <c r="AW16" s="27"/>
      <c r="AX16" s="27"/>
      <c r="AY16" s="29"/>
      <c r="AZ16" s="27"/>
      <c r="BA16" s="27"/>
      <c r="BB16" s="29"/>
      <c r="BC16" s="30"/>
      <c r="BD16" s="30"/>
      <c r="BE16" s="30"/>
      <c r="BF16" s="27"/>
      <c r="BG16" s="27"/>
      <c r="BH16" s="28" t="str">
        <f aca="false">IF(COUNT(BC16:BE16)=0,"",IF(MIN(BC16:BE16)&lt;=-2.5,"Yes","No"))</f>
        <v/>
      </c>
      <c r="BI16" s="27"/>
      <c r="BJ16" s="29"/>
      <c r="BK16" s="27"/>
      <c r="BL16" s="27"/>
      <c r="BM16" s="27"/>
      <c r="BN16" s="28" t="str">
        <f aca="false">IF(OR(AX16="Yes",BI16="Yes"),"Yes",IF(AND(AX16="No",BI16="No"),"No",IF(AND(AX16="",BI16=""),"","Unknown")))</f>
        <v/>
      </c>
      <c r="BO16" s="31" t="str">
        <f aca="false">IF(COUNT(AY16,BJ16)=0,"",MIN(AY16,BJ16))</f>
        <v/>
      </c>
      <c r="BP16" s="29"/>
      <c r="BQ16" s="29"/>
      <c r="BR16" s="29"/>
      <c r="BS16" s="28" t="str">
        <f aca="false">IF(AND(N(BP16)&gt;0,N(BR16)&gt;0),BR16-BP16,"")</f>
        <v/>
      </c>
      <c r="BT16" s="28" t="str">
        <f aca="false">IF(BS16="","",ROUND(BS16/365.25,2))</f>
        <v/>
      </c>
      <c r="BU16" s="28" t="str">
        <f aca="false">IF(BS16="","",IF(BS16&gt;=730.5,"Yes","No"))</f>
        <v/>
      </c>
      <c r="BV16" s="27"/>
      <c r="BW16" s="29"/>
      <c r="BX16" s="27"/>
      <c r="BY16" s="27"/>
      <c r="BZ16" s="28" t="str">
        <f aca="false">IF(N(E16)=0,"",IF(E16&lt;65,"Under 65","≥65"))</f>
        <v/>
      </c>
      <c r="CA16" s="28" t="str">
        <f aca="false">IF(OR(AC16="Yes",AC16="No"),AC16,"")</f>
        <v/>
      </c>
      <c r="CB16" s="28" t="str">
        <f aca="false">IF(OR(AD16="Yes",AD16="No"),AD16,"")</f>
        <v/>
      </c>
      <c r="CC16" s="28" t="str">
        <f aca="false">IF(F16="","",F16)</f>
        <v/>
      </c>
      <c r="CD16" s="27"/>
      <c r="CE16" s="27"/>
    </row>
    <row r="17" customFormat="false" ht="15" hidden="false" customHeight="false" outlineLevel="0" collapsed="false">
      <c r="A17" s="27"/>
      <c r="B17" s="27"/>
      <c r="C17" s="27"/>
      <c r="D17" s="27"/>
      <c r="E17" s="27"/>
      <c r="F17" s="27"/>
      <c r="G17" s="27"/>
      <c r="H17" s="27"/>
      <c r="I17" s="27"/>
      <c r="J17" s="28" t="str">
        <f aca="false">IF(AND(N(H17)&gt;0,N(I17)&gt;0),ROUND(I17/(H17/100)^2,1),"")</f>
        <v/>
      </c>
      <c r="K17" s="27"/>
      <c r="L17" s="27"/>
      <c r="M17" s="27"/>
      <c r="N17" s="27"/>
      <c r="O17" s="27"/>
      <c r="P17" s="27"/>
      <c r="Q17" s="27"/>
      <c r="R17" s="29"/>
      <c r="S17" s="29"/>
      <c r="T17" s="27"/>
      <c r="U17" s="28" t="str">
        <f aca="false">IF(N(T17)=0,"",IF(T17&lt;12,"Under 12 months",IF(T17&lt;36,"12-35 months",IF(T17&lt;60,"36-59 months","≥60 months"))))</f>
        <v/>
      </c>
      <c r="V17" s="27"/>
      <c r="W17" s="30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9"/>
      <c r="AT17" s="30"/>
      <c r="AU17" s="30"/>
      <c r="AV17" s="30"/>
      <c r="AW17" s="27"/>
      <c r="AX17" s="27"/>
      <c r="AY17" s="29"/>
      <c r="AZ17" s="27"/>
      <c r="BA17" s="27"/>
      <c r="BB17" s="29"/>
      <c r="BC17" s="30"/>
      <c r="BD17" s="30"/>
      <c r="BE17" s="30"/>
      <c r="BF17" s="27"/>
      <c r="BG17" s="27"/>
      <c r="BH17" s="28" t="str">
        <f aca="false">IF(COUNT(BC17:BE17)=0,"",IF(MIN(BC17:BE17)&lt;=-2.5,"Yes","No"))</f>
        <v/>
      </c>
      <c r="BI17" s="27"/>
      <c r="BJ17" s="29"/>
      <c r="BK17" s="27"/>
      <c r="BL17" s="27"/>
      <c r="BM17" s="27"/>
      <c r="BN17" s="28" t="str">
        <f aca="false">IF(OR(AX17="Yes",BI17="Yes"),"Yes",IF(AND(AX17="No",BI17="No"),"No",IF(AND(AX17="",BI17=""),"","Unknown")))</f>
        <v/>
      </c>
      <c r="BO17" s="31" t="str">
        <f aca="false">IF(COUNT(AY17,BJ17)=0,"",MIN(AY17,BJ17))</f>
        <v/>
      </c>
      <c r="BP17" s="29"/>
      <c r="BQ17" s="29"/>
      <c r="BR17" s="29"/>
      <c r="BS17" s="28" t="str">
        <f aca="false">IF(AND(N(BP17)&gt;0,N(BR17)&gt;0),BR17-BP17,"")</f>
        <v/>
      </c>
      <c r="BT17" s="28" t="str">
        <f aca="false">IF(BS17="","",ROUND(BS17/365.25,2))</f>
        <v/>
      </c>
      <c r="BU17" s="28" t="str">
        <f aca="false">IF(BS17="","",IF(BS17&gt;=730.5,"Yes","No"))</f>
        <v/>
      </c>
      <c r="BV17" s="27"/>
      <c r="BW17" s="29"/>
      <c r="BX17" s="27"/>
      <c r="BY17" s="27"/>
      <c r="BZ17" s="28" t="str">
        <f aca="false">IF(N(E17)=0,"",IF(E17&lt;65,"Under 65","≥65"))</f>
        <v/>
      </c>
      <c r="CA17" s="28" t="str">
        <f aca="false">IF(OR(AC17="Yes",AC17="No"),AC17,"")</f>
        <v/>
      </c>
      <c r="CB17" s="28" t="str">
        <f aca="false">IF(OR(AD17="Yes",AD17="No"),AD17,"")</f>
        <v/>
      </c>
      <c r="CC17" s="28" t="str">
        <f aca="false">IF(F17="","",F17)</f>
        <v/>
      </c>
      <c r="CD17" s="27"/>
      <c r="CE17" s="27"/>
    </row>
    <row r="18" customFormat="false" ht="15" hidden="false" customHeight="false" outlineLevel="0" collapsed="false">
      <c r="A18" s="27"/>
      <c r="B18" s="27"/>
      <c r="C18" s="27"/>
      <c r="D18" s="27"/>
      <c r="E18" s="27"/>
      <c r="F18" s="27"/>
      <c r="G18" s="27"/>
      <c r="H18" s="27"/>
      <c r="I18" s="27"/>
      <c r="J18" s="28" t="str">
        <f aca="false">IF(AND(N(H18)&gt;0,N(I18)&gt;0),ROUND(I18/(H18/100)^2,1),"")</f>
        <v/>
      </c>
      <c r="K18" s="27"/>
      <c r="L18" s="27"/>
      <c r="M18" s="27"/>
      <c r="N18" s="27"/>
      <c r="O18" s="27"/>
      <c r="P18" s="27"/>
      <c r="Q18" s="27"/>
      <c r="R18" s="29"/>
      <c r="S18" s="29"/>
      <c r="T18" s="27"/>
      <c r="U18" s="28" t="str">
        <f aca="false">IF(N(T18)=0,"",IF(T18&lt;12,"Under 12 months",IF(T18&lt;36,"12-35 months",IF(T18&lt;60,"36-59 months","≥60 months"))))</f>
        <v/>
      </c>
      <c r="V18" s="27"/>
      <c r="W18" s="30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9"/>
      <c r="AT18" s="30"/>
      <c r="AU18" s="30"/>
      <c r="AV18" s="30"/>
      <c r="AW18" s="27"/>
      <c r="AX18" s="27"/>
      <c r="AY18" s="29"/>
      <c r="AZ18" s="27"/>
      <c r="BA18" s="27"/>
      <c r="BB18" s="29"/>
      <c r="BC18" s="30"/>
      <c r="BD18" s="30"/>
      <c r="BE18" s="30"/>
      <c r="BF18" s="27"/>
      <c r="BG18" s="27"/>
      <c r="BH18" s="28" t="str">
        <f aca="false">IF(COUNT(BC18:BE18)=0,"",IF(MIN(BC18:BE18)&lt;=-2.5,"Yes","No"))</f>
        <v/>
      </c>
      <c r="BI18" s="27"/>
      <c r="BJ18" s="29"/>
      <c r="BK18" s="27"/>
      <c r="BL18" s="27"/>
      <c r="BM18" s="27"/>
      <c r="BN18" s="28" t="str">
        <f aca="false">IF(OR(AX18="Yes",BI18="Yes"),"Yes",IF(AND(AX18="No",BI18="No"),"No",IF(AND(AX18="",BI18=""),"","Unknown")))</f>
        <v/>
      </c>
      <c r="BO18" s="31" t="str">
        <f aca="false">IF(COUNT(AY18,BJ18)=0,"",MIN(AY18,BJ18))</f>
        <v/>
      </c>
      <c r="BP18" s="29"/>
      <c r="BQ18" s="29"/>
      <c r="BR18" s="29"/>
      <c r="BS18" s="28" t="str">
        <f aca="false">IF(AND(N(BP18)&gt;0,N(BR18)&gt;0),BR18-BP18,"")</f>
        <v/>
      </c>
      <c r="BT18" s="28" t="str">
        <f aca="false">IF(BS18="","",ROUND(BS18/365.25,2))</f>
        <v/>
      </c>
      <c r="BU18" s="28" t="str">
        <f aca="false">IF(BS18="","",IF(BS18&gt;=730.5,"Yes","No"))</f>
        <v/>
      </c>
      <c r="BV18" s="27"/>
      <c r="BW18" s="29"/>
      <c r="BX18" s="27"/>
      <c r="BY18" s="27"/>
      <c r="BZ18" s="28" t="str">
        <f aca="false">IF(N(E18)=0,"",IF(E18&lt;65,"Under 65","≥65"))</f>
        <v/>
      </c>
      <c r="CA18" s="28" t="str">
        <f aca="false">IF(OR(AC18="Yes",AC18="No"),AC18,"")</f>
        <v/>
      </c>
      <c r="CB18" s="28" t="str">
        <f aca="false">IF(OR(AD18="Yes",AD18="No"),AD18,"")</f>
        <v/>
      </c>
      <c r="CC18" s="28" t="str">
        <f aca="false">IF(F18="","",F18)</f>
        <v/>
      </c>
      <c r="CD18" s="27"/>
      <c r="CE18" s="27"/>
    </row>
    <row r="19" customFormat="false" ht="15" hidden="false" customHeight="false" outlineLevel="0" collapsed="false">
      <c r="A19" s="27"/>
      <c r="B19" s="27"/>
      <c r="C19" s="27"/>
      <c r="D19" s="27"/>
      <c r="E19" s="27"/>
      <c r="F19" s="27"/>
      <c r="G19" s="27"/>
      <c r="H19" s="27"/>
      <c r="I19" s="27"/>
      <c r="J19" s="28" t="str">
        <f aca="false">IF(AND(N(H19)&gt;0,N(I19)&gt;0),ROUND(I19/(H19/100)^2,1),"")</f>
        <v/>
      </c>
      <c r="K19" s="27"/>
      <c r="L19" s="27"/>
      <c r="M19" s="27"/>
      <c r="N19" s="27"/>
      <c r="O19" s="27"/>
      <c r="P19" s="27"/>
      <c r="Q19" s="27"/>
      <c r="R19" s="29"/>
      <c r="S19" s="29"/>
      <c r="T19" s="27"/>
      <c r="U19" s="28" t="str">
        <f aca="false">IF(N(T19)=0,"",IF(T19&lt;12,"Under 12 months",IF(T19&lt;36,"12-35 months",IF(T19&lt;60,"36-59 months","≥60 months"))))</f>
        <v/>
      </c>
      <c r="V19" s="27"/>
      <c r="W19" s="30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9"/>
      <c r="AT19" s="30"/>
      <c r="AU19" s="30"/>
      <c r="AV19" s="30"/>
      <c r="AW19" s="27"/>
      <c r="AX19" s="27"/>
      <c r="AY19" s="29"/>
      <c r="AZ19" s="27"/>
      <c r="BA19" s="27"/>
      <c r="BB19" s="29"/>
      <c r="BC19" s="30"/>
      <c r="BD19" s="30"/>
      <c r="BE19" s="30"/>
      <c r="BF19" s="27"/>
      <c r="BG19" s="27"/>
      <c r="BH19" s="28" t="str">
        <f aca="false">IF(COUNT(BC19:BE19)=0,"",IF(MIN(BC19:BE19)&lt;=-2.5,"Yes","No"))</f>
        <v/>
      </c>
      <c r="BI19" s="27"/>
      <c r="BJ19" s="29"/>
      <c r="BK19" s="27"/>
      <c r="BL19" s="27"/>
      <c r="BM19" s="27"/>
      <c r="BN19" s="28" t="str">
        <f aca="false">IF(OR(AX19="Yes",BI19="Yes"),"Yes",IF(AND(AX19="No",BI19="No"),"No",IF(AND(AX19="",BI19=""),"","Unknown")))</f>
        <v/>
      </c>
      <c r="BO19" s="31" t="str">
        <f aca="false">IF(COUNT(AY19,BJ19)=0,"",MIN(AY19,BJ19))</f>
        <v/>
      </c>
      <c r="BP19" s="29"/>
      <c r="BQ19" s="29"/>
      <c r="BR19" s="29"/>
      <c r="BS19" s="28" t="str">
        <f aca="false">IF(AND(N(BP19)&gt;0,N(BR19)&gt;0),BR19-BP19,"")</f>
        <v/>
      </c>
      <c r="BT19" s="28" t="str">
        <f aca="false">IF(BS19="","",ROUND(BS19/365.25,2))</f>
        <v/>
      </c>
      <c r="BU19" s="28" t="str">
        <f aca="false">IF(BS19="","",IF(BS19&gt;=730.5,"Yes","No"))</f>
        <v/>
      </c>
      <c r="BV19" s="27"/>
      <c r="BW19" s="29"/>
      <c r="BX19" s="27"/>
      <c r="BY19" s="27"/>
      <c r="BZ19" s="28" t="str">
        <f aca="false">IF(N(E19)=0,"",IF(E19&lt;65,"Under 65","≥65"))</f>
        <v/>
      </c>
      <c r="CA19" s="28" t="str">
        <f aca="false">IF(OR(AC19="Yes",AC19="No"),AC19,"")</f>
        <v/>
      </c>
      <c r="CB19" s="28" t="str">
        <f aca="false">IF(OR(AD19="Yes",AD19="No"),AD19,"")</f>
        <v/>
      </c>
      <c r="CC19" s="28" t="str">
        <f aca="false">IF(F19="","",F19)</f>
        <v/>
      </c>
      <c r="CD19" s="27"/>
      <c r="CE19" s="27"/>
    </row>
    <row r="20" customFormat="false" ht="15" hidden="false" customHeight="false" outlineLevel="0" collapsed="false">
      <c r="A20" s="27"/>
      <c r="B20" s="27"/>
      <c r="C20" s="27"/>
      <c r="D20" s="27"/>
      <c r="E20" s="27"/>
      <c r="F20" s="27"/>
      <c r="G20" s="27"/>
      <c r="H20" s="27"/>
      <c r="I20" s="27"/>
      <c r="J20" s="28" t="str">
        <f aca="false">IF(AND(N(H20)&gt;0,N(I20)&gt;0),ROUND(I20/(H20/100)^2,1),"")</f>
        <v/>
      </c>
      <c r="K20" s="27"/>
      <c r="L20" s="27"/>
      <c r="M20" s="27"/>
      <c r="N20" s="27"/>
      <c r="O20" s="27"/>
      <c r="P20" s="27"/>
      <c r="Q20" s="27"/>
      <c r="R20" s="29"/>
      <c r="S20" s="29"/>
      <c r="T20" s="27"/>
      <c r="U20" s="28" t="str">
        <f aca="false">IF(N(T20)=0,"",IF(T20&lt;12,"Under 12 months",IF(T20&lt;36,"12-35 months",IF(T20&lt;60,"36-59 months","≥60 months"))))</f>
        <v/>
      </c>
      <c r="V20" s="27"/>
      <c r="W20" s="30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9"/>
      <c r="AT20" s="30"/>
      <c r="AU20" s="30"/>
      <c r="AV20" s="30"/>
      <c r="AW20" s="27"/>
      <c r="AX20" s="27"/>
      <c r="AY20" s="29"/>
      <c r="AZ20" s="27"/>
      <c r="BA20" s="27"/>
      <c r="BB20" s="29"/>
      <c r="BC20" s="30"/>
      <c r="BD20" s="30"/>
      <c r="BE20" s="30"/>
      <c r="BF20" s="27"/>
      <c r="BG20" s="27"/>
      <c r="BH20" s="28" t="str">
        <f aca="false">IF(COUNT(BC20:BE20)=0,"",IF(MIN(BC20:BE20)&lt;=-2.5,"Yes","No"))</f>
        <v/>
      </c>
      <c r="BI20" s="27"/>
      <c r="BJ20" s="29"/>
      <c r="BK20" s="27"/>
      <c r="BL20" s="27"/>
      <c r="BM20" s="27"/>
      <c r="BN20" s="28" t="str">
        <f aca="false">IF(OR(AX20="Yes",BI20="Yes"),"Yes",IF(AND(AX20="No",BI20="No"),"No",IF(AND(AX20="",BI20=""),"","Unknown")))</f>
        <v/>
      </c>
      <c r="BO20" s="31" t="str">
        <f aca="false">IF(COUNT(AY20,BJ20)=0,"",MIN(AY20,BJ20))</f>
        <v/>
      </c>
      <c r="BP20" s="29"/>
      <c r="BQ20" s="29"/>
      <c r="BR20" s="29"/>
      <c r="BS20" s="28" t="str">
        <f aca="false">IF(AND(N(BP20)&gt;0,N(BR20)&gt;0),BR20-BP20,"")</f>
        <v/>
      </c>
      <c r="BT20" s="28" t="str">
        <f aca="false">IF(BS20="","",ROUND(BS20/365.25,2))</f>
        <v/>
      </c>
      <c r="BU20" s="28" t="str">
        <f aca="false">IF(BS20="","",IF(BS20&gt;=730.5,"Yes","No"))</f>
        <v/>
      </c>
      <c r="BV20" s="27"/>
      <c r="BW20" s="29"/>
      <c r="BX20" s="27"/>
      <c r="BY20" s="27"/>
      <c r="BZ20" s="28" t="str">
        <f aca="false">IF(N(E20)=0,"",IF(E20&lt;65,"Under 65","≥65"))</f>
        <v/>
      </c>
      <c r="CA20" s="28" t="str">
        <f aca="false">IF(OR(AC20="Yes",AC20="No"),AC20,"")</f>
        <v/>
      </c>
      <c r="CB20" s="28" t="str">
        <f aca="false">IF(OR(AD20="Yes",AD20="No"),AD20,"")</f>
        <v/>
      </c>
      <c r="CC20" s="28" t="str">
        <f aca="false">IF(F20="","",F20)</f>
        <v/>
      </c>
      <c r="CD20" s="27"/>
      <c r="CE20" s="27"/>
    </row>
    <row r="21" customFormat="false" ht="15" hidden="false" customHeight="false" outlineLevel="0" collapsed="false">
      <c r="A21" s="27"/>
      <c r="B21" s="27"/>
      <c r="C21" s="27"/>
      <c r="D21" s="27"/>
      <c r="E21" s="27"/>
      <c r="F21" s="27"/>
      <c r="G21" s="27"/>
      <c r="H21" s="27"/>
      <c r="I21" s="27"/>
      <c r="J21" s="28" t="str">
        <f aca="false">IF(AND(N(H21)&gt;0,N(I21)&gt;0),ROUND(I21/(H21/100)^2,1),"")</f>
        <v/>
      </c>
      <c r="K21" s="27"/>
      <c r="L21" s="27"/>
      <c r="M21" s="27"/>
      <c r="N21" s="27"/>
      <c r="O21" s="27"/>
      <c r="P21" s="27"/>
      <c r="Q21" s="27"/>
      <c r="R21" s="29"/>
      <c r="S21" s="29"/>
      <c r="T21" s="27"/>
      <c r="U21" s="28" t="str">
        <f aca="false">IF(N(T21)=0,"",IF(T21&lt;12,"Under 12 months",IF(T21&lt;36,"12-35 months",IF(T21&lt;60,"36-59 months","≥60 months"))))</f>
        <v/>
      </c>
      <c r="V21" s="27"/>
      <c r="W21" s="30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9"/>
      <c r="AT21" s="30"/>
      <c r="AU21" s="30"/>
      <c r="AV21" s="30"/>
      <c r="AW21" s="27"/>
      <c r="AX21" s="27"/>
      <c r="AY21" s="29"/>
      <c r="AZ21" s="27"/>
      <c r="BA21" s="27"/>
      <c r="BB21" s="29"/>
      <c r="BC21" s="30"/>
      <c r="BD21" s="30"/>
      <c r="BE21" s="30"/>
      <c r="BF21" s="27"/>
      <c r="BG21" s="27"/>
      <c r="BH21" s="28" t="str">
        <f aca="false">IF(COUNT(BC21:BE21)=0,"",IF(MIN(BC21:BE21)&lt;=-2.5,"Yes","No"))</f>
        <v/>
      </c>
      <c r="BI21" s="27"/>
      <c r="BJ21" s="29"/>
      <c r="BK21" s="27"/>
      <c r="BL21" s="27"/>
      <c r="BM21" s="27"/>
      <c r="BN21" s="28" t="str">
        <f aca="false">IF(OR(AX21="Yes",BI21="Yes"),"Yes",IF(AND(AX21="No",BI21="No"),"No",IF(AND(AX21="",BI21=""),"","Unknown")))</f>
        <v/>
      </c>
      <c r="BO21" s="31" t="str">
        <f aca="false">IF(COUNT(AY21,BJ21)=0,"",MIN(AY21,BJ21))</f>
        <v/>
      </c>
      <c r="BP21" s="29"/>
      <c r="BQ21" s="29"/>
      <c r="BR21" s="29"/>
      <c r="BS21" s="28" t="str">
        <f aca="false">IF(AND(N(BP21)&gt;0,N(BR21)&gt;0),BR21-BP21,"")</f>
        <v/>
      </c>
      <c r="BT21" s="28" t="str">
        <f aca="false">IF(BS21="","",ROUND(BS21/365.25,2))</f>
        <v/>
      </c>
      <c r="BU21" s="28" t="str">
        <f aca="false">IF(BS21="","",IF(BS21&gt;=730.5,"Yes","No"))</f>
        <v/>
      </c>
      <c r="BV21" s="27"/>
      <c r="BW21" s="29"/>
      <c r="BX21" s="27"/>
      <c r="BY21" s="27"/>
      <c r="BZ21" s="28" t="str">
        <f aca="false">IF(N(E21)=0,"",IF(E21&lt;65,"Under 65","≥65"))</f>
        <v/>
      </c>
      <c r="CA21" s="28" t="str">
        <f aca="false">IF(OR(AC21="Yes",AC21="No"),AC21,"")</f>
        <v/>
      </c>
      <c r="CB21" s="28" t="str">
        <f aca="false">IF(OR(AD21="Yes",AD21="No"),AD21,"")</f>
        <v/>
      </c>
      <c r="CC21" s="28" t="str">
        <f aca="false">IF(F21="","",F21)</f>
        <v/>
      </c>
      <c r="CD21" s="27"/>
      <c r="CE21" s="27"/>
    </row>
    <row r="22" customFormat="false" ht="15" hidden="false" customHeight="false" outlineLevel="0" collapsed="false">
      <c r="A22" s="27"/>
      <c r="B22" s="27"/>
      <c r="C22" s="27"/>
      <c r="D22" s="27"/>
      <c r="E22" s="27"/>
      <c r="F22" s="27"/>
      <c r="G22" s="27"/>
      <c r="H22" s="27"/>
      <c r="I22" s="27"/>
      <c r="J22" s="28" t="str">
        <f aca="false">IF(AND(N(H22)&gt;0,N(I22)&gt;0),ROUND(I22/(H22/100)^2,1),"")</f>
        <v/>
      </c>
      <c r="K22" s="27"/>
      <c r="L22" s="27"/>
      <c r="M22" s="27"/>
      <c r="N22" s="27"/>
      <c r="O22" s="27"/>
      <c r="P22" s="27"/>
      <c r="Q22" s="27"/>
      <c r="R22" s="29"/>
      <c r="S22" s="29"/>
      <c r="T22" s="27"/>
      <c r="U22" s="28" t="str">
        <f aca="false">IF(N(T22)=0,"",IF(T22&lt;12,"Under 12 months",IF(T22&lt;36,"12-35 months",IF(T22&lt;60,"36-59 months","≥60 months"))))</f>
        <v/>
      </c>
      <c r="V22" s="27"/>
      <c r="W22" s="30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9"/>
      <c r="AT22" s="30"/>
      <c r="AU22" s="30"/>
      <c r="AV22" s="30"/>
      <c r="AW22" s="27"/>
      <c r="AX22" s="27"/>
      <c r="AY22" s="29"/>
      <c r="AZ22" s="27"/>
      <c r="BA22" s="27"/>
      <c r="BB22" s="29"/>
      <c r="BC22" s="30"/>
      <c r="BD22" s="30"/>
      <c r="BE22" s="30"/>
      <c r="BF22" s="27"/>
      <c r="BG22" s="27"/>
      <c r="BH22" s="28" t="str">
        <f aca="false">IF(COUNT(BC22:BE22)=0,"",IF(MIN(BC22:BE22)&lt;=-2.5,"Yes","No"))</f>
        <v/>
      </c>
      <c r="BI22" s="27"/>
      <c r="BJ22" s="29"/>
      <c r="BK22" s="27"/>
      <c r="BL22" s="27"/>
      <c r="BM22" s="27"/>
      <c r="BN22" s="28" t="str">
        <f aca="false">IF(OR(AX22="Yes",BI22="Yes"),"Yes",IF(AND(AX22="No",BI22="No"),"No",IF(AND(AX22="",BI22=""),"","Unknown")))</f>
        <v/>
      </c>
      <c r="BO22" s="31" t="str">
        <f aca="false">IF(COUNT(AY22,BJ22)=0,"",MIN(AY22,BJ22))</f>
        <v/>
      </c>
      <c r="BP22" s="29"/>
      <c r="BQ22" s="29"/>
      <c r="BR22" s="29"/>
      <c r="BS22" s="28" t="str">
        <f aca="false">IF(AND(N(BP22)&gt;0,N(BR22)&gt;0),BR22-BP22,"")</f>
        <v/>
      </c>
      <c r="BT22" s="28" t="str">
        <f aca="false">IF(BS22="","",ROUND(BS22/365.25,2))</f>
        <v/>
      </c>
      <c r="BU22" s="28" t="str">
        <f aca="false">IF(BS22="","",IF(BS22&gt;=730.5,"Yes","No"))</f>
        <v/>
      </c>
      <c r="BV22" s="27"/>
      <c r="BW22" s="29"/>
      <c r="BX22" s="27"/>
      <c r="BY22" s="27"/>
      <c r="BZ22" s="28" t="str">
        <f aca="false">IF(N(E22)=0,"",IF(E22&lt;65,"Under 65","≥65"))</f>
        <v/>
      </c>
      <c r="CA22" s="28" t="str">
        <f aca="false">IF(OR(AC22="Yes",AC22="No"),AC22,"")</f>
        <v/>
      </c>
      <c r="CB22" s="28" t="str">
        <f aca="false">IF(OR(AD22="Yes",AD22="No"),AD22,"")</f>
        <v/>
      </c>
      <c r="CC22" s="28" t="str">
        <f aca="false">IF(F22="","",F22)</f>
        <v/>
      </c>
      <c r="CD22" s="27"/>
      <c r="CE22" s="27"/>
    </row>
    <row r="23" customFormat="false" ht="15" hidden="false" customHeight="false" outlineLevel="0" collapsed="false">
      <c r="A23" s="27"/>
      <c r="B23" s="27"/>
      <c r="C23" s="27"/>
      <c r="D23" s="27"/>
      <c r="E23" s="27"/>
      <c r="F23" s="27"/>
      <c r="G23" s="27"/>
      <c r="H23" s="27"/>
      <c r="I23" s="27"/>
      <c r="J23" s="28" t="str">
        <f aca="false">IF(AND(N(H23)&gt;0,N(I23)&gt;0),ROUND(I23/(H23/100)^2,1),"")</f>
        <v/>
      </c>
      <c r="K23" s="27"/>
      <c r="L23" s="27"/>
      <c r="M23" s="27"/>
      <c r="N23" s="27"/>
      <c r="O23" s="27"/>
      <c r="P23" s="27"/>
      <c r="Q23" s="27"/>
      <c r="R23" s="29"/>
      <c r="S23" s="29"/>
      <c r="T23" s="27"/>
      <c r="U23" s="28" t="str">
        <f aca="false">IF(N(T23)=0,"",IF(T23&lt;12,"Under 12 months",IF(T23&lt;36,"12-35 months",IF(T23&lt;60,"36-59 months","≥60 months"))))</f>
        <v/>
      </c>
      <c r="V23" s="27"/>
      <c r="W23" s="30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9"/>
      <c r="AT23" s="30"/>
      <c r="AU23" s="30"/>
      <c r="AV23" s="30"/>
      <c r="AW23" s="27"/>
      <c r="AX23" s="27"/>
      <c r="AY23" s="29"/>
      <c r="AZ23" s="27"/>
      <c r="BA23" s="27"/>
      <c r="BB23" s="29"/>
      <c r="BC23" s="30"/>
      <c r="BD23" s="30"/>
      <c r="BE23" s="30"/>
      <c r="BF23" s="27"/>
      <c r="BG23" s="27"/>
      <c r="BH23" s="28" t="str">
        <f aca="false">IF(COUNT(BC23:BE23)=0,"",IF(MIN(BC23:BE23)&lt;=-2.5,"Yes","No"))</f>
        <v/>
      </c>
      <c r="BI23" s="27"/>
      <c r="BJ23" s="29"/>
      <c r="BK23" s="27"/>
      <c r="BL23" s="27"/>
      <c r="BM23" s="27"/>
      <c r="BN23" s="28" t="str">
        <f aca="false">IF(OR(AX23="Yes",BI23="Yes"),"Yes",IF(AND(AX23="No",BI23="No"),"No",IF(AND(AX23="",BI23=""),"","Unknown")))</f>
        <v/>
      </c>
      <c r="BO23" s="31" t="str">
        <f aca="false">IF(COUNT(AY23,BJ23)=0,"",MIN(AY23,BJ23))</f>
        <v/>
      </c>
      <c r="BP23" s="29"/>
      <c r="BQ23" s="29"/>
      <c r="BR23" s="29"/>
      <c r="BS23" s="28" t="str">
        <f aca="false">IF(AND(N(BP23)&gt;0,N(BR23)&gt;0),BR23-BP23,"")</f>
        <v/>
      </c>
      <c r="BT23" s="28" t="str">
        <f aca="false">IF(BS23="","",ROUND(BS23/365.25,2))</f>
        <v/>
      </c>
      <c r="BU23" s="28" t="str">
        <f aca="false">IF(BS23="","",IF(BS23&gt;=730.5,"Yes","No"))</f>
        <v/>
      </c>
      <c r="BV23" s="27"/>
      <c r="BW23" s="29"/>
      <c r="BX23" s="27"/>
      <c r="BY23" s="27"/>
      <c r="BZ23" s="28" t="str">
        <f aca="false">IF(N(E23)=0,"",IF(E23&lt;65,"Under 65","≥65"))</f>
        <v/>
      </c>
      <c r="CA23" s="28" t="str">
        <f aca="false">IF(OR(AC23="Yes",AC23="No"),AC23,"")</f>
        <v/>
      </c>
      <c r="CB23" s="28" t="str">
        <f aca="false">IF(OR(AD23="Yes",AD23="No"),AD23,"")</f>
        <v/>
      </c>
      <c r="CC23" s="28" t="str">
        <f aca="false">IF(F23="","",F23)</f>
        <v/>
      </c>
      <c r="CD23" s="27"/>
      <c r="CE23" s="27"/>
    </row>
    <row r="24" customFormat="false" ht="15" hidden="false" customHeight="false" outlineLevel="0" collapsed="false">
      <c r="A24" s="27"/>
      <c r="B24" s="27"/>
      <c r="C24" s="27"/>
      <c r="D24" s="27"/>
      <c r="E24" s="27"/>
      <c r="F24" s="27"/>
      <c r="G24" s="27"/>
      <c r="H24" s="27"/>
      <c r="I24" s="27"/>
      <c r="J24" s="28" t="str">
        <f aca="false">IF(AND(N(H24)&gt;0,N(I24)&gt;0),ROUND(I24/(H24/100)^2,1),"")</f>
        <v/>
      </c>
      <c r="K24" s="27"/>
      <c r="L24" s="27"/>
      <c r="M24" s="27"/>
      <c r="N24" s="27"/>
      <c r="O24" s="27"/>
      <c r="P24" s="27"/>
      <c r="Q24" s="27"/>
      <c r="R24" s="29"/>
      <c r="S24" s="29"/>
      <c r="T24" s="27"/>
      <c r="U24" s="28" t="str">
        <f aca="false">IF(N(T24)=0,"",IF(T24&lt;12,"Under 12 months",IF(T24&lt;36,"12-35 months",IF(T24&lt;60,"36-59 months","≥60 months"))))</f>
        <v/>
      </c>
      <c r="V24" s="27"/>
      <c r="W24" s="30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9"/>
      <c r="AT24" s="30"/>
      <c r="AU24" s="30"/>
      <c r="AV24" s="30"/>
      <c r="AW24" s="27"/>
      <c r="AX24" s="27"/>
      <c r="AY24" s="29"/>
      <c r="AZ24" s="27"/>
      <c r="BA24" s="27"/>
      <c r="BB24" s="29"/>
      <c r="BC24" s="30"/>
      <c r="BD24" s="30"/>
      <c r="BE24" s="30"/>
      <c r="BF24" s="27"/>
      <c r="BG24" s="27"/>
      <c r="BH24" s="28" t="str">
        <f aca="false">IF(COUNT(BC24:BE24)=0,"",IF(MIN(BC24:BE24)&lt;=-2.5,"Yes","No"))</f>
        <v/>
      </c>
      <c r="BI24" s="27"/>
      <c r="BJ24" s="29"/>
      <c r="BK24" s="27"/>
      <c r="BL24" s="27"/>
      <c r="BM24" s="27"/>
      <c r="BN24" s="28" t="str">
        <f aca="false">IF(OR(AX24="Yes",BI24="Yes"),"Yes",IF(AND(AX24="No",BI24="No"),"No",IF(AND(AX24="",BI24=""),"","Unknown")))</f>
        <v/>
      </c>
      <c r="BO24" s="31" t="str">
        <f aca="false">IF(COUNT(AY24,BJ24)=0,"",MIN(AY24,BJ24))</f>
        <v/>
      </c>
      <c r="BP24" s="29"/>
      <c r="BQ24" s="29"/>
      <c r="BR24" s="29"/>
      <c r="BS24" s="28" t="str">
        <f aca="false">IF(AND(N(BP24)&gt;0,N(BR24)&gt;0),BR24-BP24,"")</f>
        <v/>
      </c>
      <c r="BT24" s="28" t="str">
        <f aca="false">IF(BS24="","",ROUND(BS24/365.25,2))</f>
        <v/>
      </c>
      <c r="BU24" s="28" t="str">
        <f aca="false">IF(BS24="","",IF(BS24&gt;=730.5,"Yes","No"))</f>
        <v/>
      </c>
      <c r="BV24" s="27"/>
      <c r="BW24" s="29"/>
      <c r="BX24" s="27"/>
      <c r="BY24" s="27"/>
      <c r="BZ24" s="28" t="str">
        <f aca="false">IF(N(E24)=0,"",IF(E24&lt;65,"Under 65","≥65"))</f>
        <v/>
      </c>
      <c r="CA24" s="28" t="str">
        <f aca="false">IF(OR(AC24="Yes",AC24="No"),AC24,"")</f>
        <v/>
      </c>
      <c r="CB24" s="28" t="str">
        <f aca="false">IF(OR(AD24="Yes",AD24="No"),AD24,"")</f>
        <v/>
      </c>
      <c r="CC24" s="28" t="str">
        <f aca="false">IF(F24="","",F24)</f>
        <v/>
      </c>
      <c r="CD24" s="27"/>
      <c r="CE24" s="27"/>
    </row>
    <row r="25" customFormat="false" ht="15" hidden="false" customHeight="false" outlineLevel="0" collapsed="false">
      <c r="A25" s="27"/>
      <c r="B25" s="27"/>
      <c r="C25" s="27"/>
      <c r="D25" s="27"/>
      <c r="E25" s="27"/>
      <c r="F25" s="27"/>
      <c r="G25" s="27"/>
      <c r="H25" s="27"/>
      <c r="I25" s="27"/>
      <c r="J25" s="28" t="str">
        <f aca="false">IF(AND(N(H25)&gt;0,N(I25)&gt;0),ROUND(I25/(H25/100)^2,1),"")</f>
        <v/>
      </c>
      <c r="K25" s="27"/>
      <c r="L25" s="27"/>
      <c r="M25" s="27"/>
      <c r="N25" s="27"/>
      <c r="O25" s="27"/>
      <c r="P25" s="27"/>
      <c r="Q25" s="27"/>
      <c r="R25" s="29"/>
      <c r="S25" s="29"/>
      <c r="T25" s="27"/>
      <c r="U25" s="28" t="str">
        <f aca="false">IF(N(T25)=0,"",IF(T25&lt;12,"Under 12 months",IF(T25&lt;36,"12-35 months",IF(T25&lt;60,"36-59 months","≥60 months"))))</f>
        <v/>
      </c>
      <c r="V25" s="27"/>
      <c r="W25" s="30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9"/>
      <c r="AT25" s="30"/>
      <c r="AU25" s="30"/>
      <c r="AV25" s="30"/>
      <c r="AW25" s="27"/>
      <c r="AX25" s="27"/>
      <c r="AY25" s="29"/>
      <c r="AZ25" s="27"/>
      <c r="BA25" s="27"/>
      <c r="BB25" s="29"/>
      <c r="BC25" s="30"/>
      <c r="BD25" s="30"/>
      <c r="BE25" s="30"/>
      <c r="BF25" s="27"/>
      <c r="BG25" s="27"/>
      <c r="BH25" s="28" t="str">
        <f aca="false">IF(COUNT(BC25:BE25)=0,"",IF(MIN(BC25:BE25)&lt;=-2.5,"Yes","No"))</f>
        <v/>
      </c>
      <c r="BI25" s="27"/>
      <c r="BJ25" s="29"/>
      <c r="BK25" s="27"/>
      <c r="BL25" s="27"/>
      <c r="BM25" s="27"/>
      <c r="BN25" s="28" t="str">
        <f aca="false">IF(OR(AX25="Yes",BI25="Yes"),"Yes",IF(AND(AX25="No",BI25="No"),"No",IF(AND(AX25="",BI25=""),"","Unknown")))</f>
        <v/>
      </c>
      <c r="BO25" s="31" t="str">
        <f aca="false">IF(COUNT(AY25,BJ25)=0,"",MIN(AY25,BJ25))</f>
        <v/>
      </c>
      <c r="BP25" s="29"/>
      <c r="BQ25" s="29"/>
      <c r="BR25" s="29"/>
      <c r="BS25" s="28" t="str">
        <f aca="false">IF(AND(N(BP25)&gt;0,N(BR25)&gt;0),BR25-BP25,"")</f>
        <v/>
      </c>
      <c r="BT25" s="28" t="str">
        <f aca="false">IF(BS25="","",ROUND(BS25/365.25,2))</f>
        <v/>
      </c>
      <c r="BU25" s="28" t="str">
        <f aca="false">IF(BS25="","",IF(BS25&gt;=730.5,"Yes","No"))</f>
        <v/>
      </c>
      <c r="BV25" s="27"/>
      <c r="BW25" s="29"/>
      <c r="BX25" s="27"/>
      <c r="BY25" s="27"/>
      <c r="BZ25" s="28" t="str">
        <f aca="false">IF(N(E25)=0,"",IF(E25&lt;65,"Under 65","≥65"))</f>
        <v/>
      </c>
      <c r="CA25" s="28" t="str">
        <f aca="false">IF(OR(AC25="Yes",AC25="No"),AC25,"")</f>
        <v/>
      </c>
      <c r="CB25" s="28" t="str">
        <f aca="false">IF(OR(AD25="Yes",AD25="No"),AD25,"")</f>
        <v/>
      </c>
      <c r="CC25" s="28" t="str">
        <f aca="false">IF(F25="","",F25)</f>
        <v/>
      </c>
      <c r="CD25" s="27"/>
      <c r="CE25" s="27"/>
    </row>
    <row r="26" customFormat="false" ht="15" hidden="false" customHeight="false" outlineLevel="0" collapsed="false">
      <c r="A26" s="27"/>
      <c r="B26" s="27"/>
      <c r="C26" s="27"/>
      <c r="D26" s="27"/>
      <c r="E26" s="27"/>
      <c r="F26" s="27"/>
      <c r="G26" s="27"/>
      <c r="H26" s="27"/>
      <c r="I26" s="27"/>
      <c r="J26" s="28" t="str">
        <f aca="false">IF(AND(N(H26)&gt;0,N(I26)&gt;0),ROUND(I26/(H26/100)^2,1),"")</f>
        <v/>
      </c>
      <c r="K26" s="27"/>
      <c r="L26" s="27"/>
      <c r="M26" s="27"/>
      <c r="N26" s="27"/>
      <c r="O26" s="27"/>
      <c r="P26" s="27"/>
      <c r="Q26" s="27"/>
      <c r="R26" s="29"/>
      <c r="S26" s="29"/>
      <c r="T26" s="27"/>
      <c r="U26" s="28" t="str">
        <f aca="false">IF(N(T26)=0,"",IF(T26&lt;12,"Under 12 months",IF(T26&lt;36,"12-35 months",IF(T26&lt;60,"36-59 months","≥60 months"))))</f>
        <v/>
      </c>
      <c r="V26" s="27"/>
      <c r="W26" s="30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9"/>
      <c r="AT26" s="30"/>
      <c r="AU26" s="30"/>
      <c r="AV26" s="30"/>
      <c r="AW26" s="27"/>
      <c r="AX26" s="27"/>
      <c r="AY26" s="29"/>
      <c r="AZ26" s="27"/>
      <c r="BA26" s="27"/>
      <c r="BB26" s="29"/>
      <c r="BC26" s="30"/>
      <c r="BD26" s="30"/>
      <c r="BE26" s="30"/>
      <c r="BF26" s="27"/>
      <c r="BG26" s="27"/>
      <c r="BH26" s="28" t="str">
        <f aca="false">IF(COUNT(BC26:BE26)=0,"",IF(MIN(BC26:BE26)&lt;=-2.5,"Yes","No"))</f>
        <v/>
      </c>
      <c r="BI26" s="27"/>
      <c r="BJ26" s="29"/>
      <c r="BK26" s="27"/>
      <c r="BL26" s="27"/>
      <c r="BM26" s="27"/>
      <c r="BN26" s="28" t="str">
        <f aca="false">IF(OR(AX26="Yes",BI26="Yes"),"Yes",IF(AND(AX26="No",BI26="No"),"No",IF(AND(AX26="",BI26=""),"","Unknown")))</f>
        <v/>
      </c>
      <c r="BO26" s="31" t="str">
        <f aca="false">IF(COUNT(AY26,BJ26)=0,"",MIN(AY26,BJ26))</f>
        <v/>
      </c>
      <c r="BP26" s="29"/>
      <c r="BQ26" s="29"/>
      <c r="BR26" s="29"/>
      <c r="BS26" s="28" t="str">
        <f aca="false">IF(AND(N(BP26)&gt;0,N(BR26)&gt;0),BR26-BP26,"")</f>
        <v/>
      </c>
      <c r="BT26" s="28" t="str">
        <f aca="false">IF(BS26="","",ROUND(BS26/365.25,2))</f>
        <v/>
      </c>
      <c r="BU26" s="28" t="str">
        <f aca="false">IF(BS26="","",IF(BS26&gt;=730.5,"Yes","No"))</f>
        <v/>
      </c>
      <c r="BV26" s="27"/>
      <c r="BW26" s="29"/>
      <c r="BX26" s="27"/>
      <c r="BY26" s="27"/>
      <c r="BZ26" s="28" t="str">
        <f aca="false">IF(N(E26)=0,"",IF(E26&lt;65,"Under 65","≥65"))</f>
        <v/>
      </c>
      <c r="CA26" s="28" t="str">
        <f aca="false">IF(OR(AC26="Yes",AC26="No"),AC26,"")</f>
        <v/>
      </c>
      <c r="CB26" s="28" t="str">
        <f aca="false">IF(OR(AD26="Yes",AD26="No"),AD26,"")</f>
        <v/>
      </c>
      <c r="CC26" s="28" t="str">
        <f aca="false">IF(F26="","",F26)</f>
        <v/>
      </c>
      <c r="CD26" s="27"/>
      <c r="CE26" s="27"/>
    </row>
    <row r="27" customFormat="false" ht="15" hidden="false" customHeight="false" outlineLevel="0" collapsed="false">
      <c r="A27" s="27"/>
      <c r="B27" s="27"/>
      <c r="C27" s="27"/>
      <c r="D27" s="27"/>
      <c r="E27" s="27"/>
      <c r="F27" s="27"/>
      <c r="G27" s="27"/>
      <c r="H27" s="27"/>
      <c r="I27" s="27"/>
      <c r="J27" s="28" t="str">
        <f aca="false">IF(AND(N(H27)&gt;0,N(I27)&gt;0),ROUND(I27/(H27/100)^2,1),"")</f>
        <v/>
      </c>
      <c r="K27" s="27"/>
      <c r="L27" s="27"/>
      <c r="M27" s="27"/>
      <c r="N27" s="27"/>
      <c r="O27" s="27"/>
      <c r="P27" s="27"/>
      <c r="Q27" s="27"/>
      <c r="R27" s="29"/>
      <c r="S27" s="29"/>
      <c r="T27" s="27"/>
      <c r="U27" s="28" t="str">
        <f aca="false">IF(N(T27)=0,"",IF(T27&lt;12,"Under 12 months",IF(T27&lt;36,"12-35 months",IF(T27&lt;60,"36-59 months","≥60 months"))))</f>
        <v/>
      </c>
      <c r="V27" s="27"/>
      <c r="W27" s="30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9"/>
      <c r="AT27" s="30"/>
      <c r="AU27" s="30"/>
      <c r="AV27" s="30"/>
      <c r="AW27" s="27"/>
      <c r="AX27" s="27"/>
      <c r="AY27" s="29"/>
      <c r="AZ27" s="27"/>
      <c r="BA27" s="27"/>
      <c r="BB27" s="29"/>
      <c r="BC27" s="30"/>
      <c r="BD27" s="30"/>
      <c r="BE27" s="30"/>
      <c r="BF27" s="27"/>
      <c r="BG27" s="27"/>
      <c r="BH27" s="28" t="str">
        <f aca="false">IF(COUNT(BC27:BE27)=0,"",IF(MIN(BC27:BE27)&lt;=-2.5,"Yes","No"))</f>
        <v/>
      </c>
      <c r="BI27" s="27"/>
      <c r="BJ27" s="29"/>
      <c r="BK27" s="27"/>
      <c r="BL27" s="27"/>
      <c r="BM27" s="27"/>
      <c r="BN27" s="28" t="str">
        <f aca="false">IF(OR(AX27="Yes",BI27="Yes"),"Yes",IF(AND(AX27="No",BI27="No"),"No",IF(AND(AX27="",BI27=""),"","Unknown")))</f>
        <v/>
      </c>
      <c r="BO27" s="31" t="str">
        <f aca="false">IF(COUNT(AY27,BJ27)=0,"",MIN(AY27,BJ27))</f>
        <v/>
      </c>
      <c r="BP27" s="29"/>
      <c r="BQ27" s="29"/>
      <c r="BR27" s="29"/>
      <c r="BS27" s="28" t="str">
        <f aca="false">IF(AND(N(BP27)&gt;0,N(BR27)&gt;0),BR27-BP27,"")</f>
        <v/>
      </c>
      <c r="BT27" s="28" t="str">
        <f aca="false">IF(BS27="","",ROUND(BS27/365.25,2))</f>
        <v/>
      </c>
      <c r="BU27" s="28" t="str">
        <f aca="false">IF(BS27="","",IF(BS27&gt;=730.5,"Yes","No"))</f>
        <v/>
      </c>
      <c r="BV27" s="27"/>
      <c r="BW27" s="29"/>
      <c r="BX27" s="27"/>
      <c r="BY27" s="27"/>
      <c r="BZ27" s="28" t="str">
        <f aca="false">IF(N(E27)=0,"",IF(E27&lt;65,"Under 65","≥65"))</f>
        <v/>
      </c>
      <c r="CA27" s="28" t="str">
        <f aca="false">IF(OR(AC27="Yes",AC27="No"),AC27,"")</f>
        <v/>
      </c>
      <c r="CB27" s="28" t="str">
        <f aca="false">IF(OR(AD27="Yes",AD27="No"),AD27,"")</f>
        <v/>
      </c>
      <c r="CC27" s="28" t="str">
        <f aca="false">IF(F27="","",F27)</f>
        <v/>
      </c>
      <c r="CD27" s="27"/>
      <c r="CE27" s="27"/>
    </row>
    <row r="28" customFormat="false" ht="15" hidden="false" customHeight="false" outlineLevel="0" collapsed="false">
      <c r="A28" s="27"/>
      <c r="B28" s="27"/>
      <c r="C28" s="27"/>
      <c r="D28" s="27"/>
      <c r="E28" s="27"/>
      <c r="F28" s="27"/>
      <c r="G28" s="27"/>
      <c r="H28" s="27"/>
      <c r="I28" s="27"/>
      <c r="J28" s="28" t="str">
        <f aca="false">IF(AND(N(H28)&gt;0,N(I28)&gt;0),ROUND(I28/(H28/100)^2,1),"")</f>
        <v/>
      </c>
      <c r="K28" s="27"/>
      <c r="L28" s="27"/>
      <c r="M28" s="27"/>
      <c r="N28" s="27"/>
      <c r="O28" s="27"/>
      <c r="P28" s="27"/>
      <c r="Q28" s="27"/>
      <c r="R28" s="29"/>
      <c r="S28" s="29"/>
      <c r="T28" s="27"/>
      <c r="U28" s="28" t="str">
        <f aca="false">IF(N(T28)=0,"",IF(T28&lt;12,"Under 12 months",IF(T28&lt;36,"12-35 months",IF(T28&lt;60,"36-59 months","≥60 months"))))</f>
        <v/>
      </c>
      <c r="V28" s="27"/>
      <c r="W28" s="30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9"/>
      <c r="AT28" s="30"/>
      <c r="AU28" s="30"/>
      <c r="AV28" s="30"/>
      <c r="AW28" s="27"/>
      <c r="AX28" s="27"/>
      <c r="AY28" s="29"/>
      <c r="AZ28" s="27"/>
      <c r="BA28" s="27"/>
      <c r="BB28" s="29"/>
      <c r="BC28" s="30"/>
      <c r="BD28" s="30"/>
      <c r="BE28" s="30"/>
      <c r="BF28" s="27"/>
      <c r="BG28" s="27"/>
      <c r="BH28" s="28" t="str">
        <f aca="false">IF(COUNT(BC28:BE28)=0,"",IF(MIN(BC28:BE28)&lt;=-2.5,"Yes","No"))</f>
        <v/>
      </c>
      <c r="BI28" s="27"/>
      <c r="BJ28" s="29"/>
      <c r="BK28" s="27"/>
      <c r="BL28" s="27"/>
      <c r="BM28" s="27"/>
      <c r="BN28" s="28" t="str">
        <f aca="false">IF(OR(AX28="Yes",BI28="Yes"),"Yes",IF(AND(AX28="No",BI28="No"),"No",IF(AND(AX28="",BI28=""),"","Unknown")))</f>
        <v/>
      </c>
      <c r="BO28" s="31" t="str">
        <f aca="false">IF(COUNT(AY28,BJ28)=0,"",MIN(AY28,BJ28))</f>
        <v/>
      </c>
      <c r="BP28" s="29"/>
      <c r="BQ28" s="29"/>
      <c r="BR28" s="29"/>
      <c r="BS28" s="28" t="str">
        <f aca="false">IF(AND(N(BP28)&gt;0,N(BR28)&gt;0),BR28-BP28,"")</f>
        <v/>
      </c>
      <c r="BT28" s="28" t="str">
        <f aca="false">IF(BS28="","",ROUND(BS28/365.25,2))</f>
        <v/>
      </c>
      <c r="BU28" s="28" t="str">
        <f aca="false">IF(BS28="","",IF(BS28&gt;=730.5,"Yes","No"))</f>
        <v/>
      </c>
      <c r="BV28" s="27"/>
      <c r="BW28" s="29"/>
      <c r="BX28" s="27"/>
      <c r="BY28" s="27"/>
      <c r="BZ28" s="28" t="str">
        <f aca="false">IF(N(E28)=0,"",IF(E28&lt;65,"Under 65","≥65"))</f>
        <v/>
      </c>
      <c r="CA28" s="28" t="str">
        <f aca="false">IF(OR(AC28="Yes",AC28="No"),AC28,"")</f>
        <v/>
      </c>
      <c r="CB28" s="28" t="str">
        <f aca="false">IF(OR(AD28="Yes",AD28="No"),AD28,"")</f>
        <v/>
      </c>
      <c r="CC28" s="28" t="str">
        <f aca="false">IF(F28="","",F28)</f>
        <v/>
      </c>
      <c r="CD28" s="27"/>
      <c r="CE28" s="27"/>
    </row>
    <row r="29" customFormat="false" ht="15" hidden="false" customHeight="false" outlineLevel="0" collapsed="false">
      <c r="A29" s="27"/>
      <c r="B29" s="27"/>
      <c r="C29" s="27"/>
      <c r="D29" s="27"/>
      <c r="E29" s="27"/>
      <c r="F29" s="27"/>
      <c r="G29" s="27"/>
      <c r="H29" s="27"/>
      <c r="I29" s="27"/>
      <c r="J29" s="28" t="str">
        <f aca="false">IF(AND(N(H29)&gt;0,N(I29)&gt;0),ROUND(I29/(H29/100)^2,1),"")</f>
        <v/>
      </c>
      <c r="K29" s="27"/>
      <c r="L29" s="27"/>
      <c r="M29" s="27"/>
      <c r="N29" s="27"/>
      <c r="O29" s="27"/>
      <c r="P29" s="27"/>
      <c r="Q29" s="27"/>
      <c r="R29" s="29"/>
      <c r="S29" s="29"/>
      <c r="T29" s="27"/>
      <c r="U29" s="28" t="str">
        <f aca="false">IF(N(T29)=0,"",IF(T29&lt;12,"Under 12 months",IF(T29&lt;36,"12-35 months",IF(T29&lt;60,"36-59 months","≥60 months"))))</f>
        <v/>
      </c>
      <c r="V29" s="27"/>
      <c r="W29" s="30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9"/>
      <c r="AT29" s="30"/>
      <c r="AU29" s="30"/>
      <c r="AV29" s="30"/>
      <c r="AW29" s="27"/>
      <c r="AX29" s="27"/>
      <c r="AY29" s="29"/>
      <c r="AZ29" s="27"/>
      <c r="BA29" s="27"/>
      <c r="BB29" s="29"/>
      <c r="BC29" s="30"/>
      <c r="BD29" s="30"/>
      <c r="BE29" s="30"/>
      <c r="BF29" s="27"/>
      <c r="BG29" s="27"/>
      <c r="BH29" s="28" t="str">
        <f aca="false">IF(COUNT(BC29:BE29)=0,"",IF(MIN(BC29:BE29)&lt;=-2.5,"Yes","No"))</f>
        <v/>
      </c>
      <c r="BI29" s="27"/>
      <c r="BJ29" s="29"/>
      <c r="BK29" s="27"/>
      <c r="BL29" s="27"/>
      <c r="BM29" s="27"/>
      <c r="BN29" s="28" t="str">
        <f aca="false">IF(OR(AX29="Yes",BI29="Yes"),"Yes",IF(AND(AX29="No",BI29="No"),"No",IF(AND(AX29="",BI29=""),"","Unknown")))</f>
        <v/>
      </c>
      <c r="BO29" s="31" t="str">
        <f aca="false">IF(COUNT(AY29,BJ29)=0,"",MIN(AY29,BJ29))</f>
        <v/>
      </c>
      <c r="BP29" s="29"/>
      <c r="BQ29" s="29"/>
      <c r="BR29" s="29"/>
      <c r="BS29" s="28" t="str">
        <f aca="false">IF(AND(N(BP29)&gt;0,N(BR29)&gt;0),BR29-BP29,"")</f>
        <v/>
      </c>
      <c r="BT29" s="28" t="str">
        <f aca="false">IF(BS29="","",ROUND(BS29/365.25,2))</f>
        <v/>
      </c>
      <c r="BU29" s="28" t="str">
        <f aca="false">IF(BS29="","",IF(BS29&gt;=730.5,"Yes","No"))</f>
        <v/>
      </c>
      <c r="BV29" s="27"/>
      <c r="BW29" s="29"/>
      <c r="BX29" s="27"/>
      <c r="BY29" s="27"/>
      <c r="BZ29" s="28" t="str">
        <f aca="false">IF(N(E29)=0,"",IF(E29&lt;65,"Under 65","≥65"))</f>
        <v/>
      </c>
      <c r="CA29" s="28" t="str">
        <f aca="false">IF(OR(AC29="Yes",AC29="No"),AC29,"")</f>
        <v/>
      </c>
      <c r="CB29" s="28" t="str">
        <f aca="false">IF(OR(AD29="Yes",AD29="No"),AD29,"")</f>
        <v/>
      </c>
      <c r="CC29" s="28" t="str">
        <f aca="false">IF(F29="","",F29)</f>
        <v/>
      </c>
      <c r="CD29" s="27"/>
      <c r="CE29" s="27"/>
    </row>
    <row r="30" customFormat="false" ht="15" hidden="false" customHeight="false" outlineLevel="0" collapsed="false">
      <c r="A30" s="27"/>
      <c r="B30" s="27"/>
      <c r="C30" s="27"/>
      <c r="D30" s="27"/>
      <c r="E30" s="27"/>
      <c r="F30" s="27"/>
      <c r="G30" s="27"/>
      <c r="H30" s="27"/>
      <c r="I30" s="27"/>
      <c r="J30" s="28" t="str">
        <f aca="false">IF(AND(N(H30)&gt;0,N(I30)&gt;0),ROUND(I30/(H30/100)^2,1),"")</f>
        <v/>
      </c>
      <c r="K30" s="27"/>
      <c r="L30" s="27"/>
      <c r="M30" s="27"/>
      <c r="N30" s="27"/>
      <c r="O30" s="27"/>
      <c r="P30" s="27"/>
      <c r="Q30" s="27"/>
      <c r="R30" s="29"/>
      <c r="S30" s="29"/>
      <c r="T30" s="27"/>
      <c r="U30" s="28" t="str">
        <f aca="false">IF(N(T30)=0,"",IF(T30&lt;12,"Under 12 months",IF(T30&lt;36,"12-35 months",IF(T30&lt;60,"36-59 months","≥60 months"))))</f>
        <v/>
      </c>
      <c r="V30" s="27"/>
      <c r="W30" s="30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9"/>
      <c r="AT30" s="30"/>
      <c r="AU30" s="30"/>
      <c r="AV30" s="30"/>
      <c r="AW30" s="27"/>
      <c r="AX30" s="27"/>
      <c r="AY30" s="29"/>
      <c r="AZ30" s="27"/>
      <c r="BA30" s="27"/>
      <c r="BB30" s="29"/>
      <c r="BC30" s="30"/>
      <c r="BD30" s="30"/>
      <c r="BE30" s="30"/>
      <c r="BF30" s="27"/>
      <c r="BG30" s="27"/>
      <c r="BH30" s="28" t="str">
        <f aca="false">IF(COUNT(BC30:BE30)=0,"",IF(MIN(BC30:BE30)&lt;=-2.5,"Yes","No"))</f>
        <v/>
      </c>
      <c r="BI30" s="27"/>
      <c r="BJ30" s="29"/>
      <c r="BK30" s="27"/>
      <c r="BL30" s="27"/>
      <c r="BM30" s="27"/>
      <c r="BN30" s="28" t="str">
        <f aca="false">IF(OR(AX30="Yes",BI30="Yes"),"Yes",IF(AND(AX30="No",BI30="No"),"No",IF(AND(AX30="",BI30=""),"","Unknown")))</f>
        <v/>
      </c>
      <c r="BO30" s="31" t="str">
        <f aca="false">IF(COUNT(AY30,BJ30)=0,"",MIN(AY30,BJ30))</f>
        <v/>
      </c>
      <c r="BP30" s="29"/>
      <c r="BQ30" s="29"/>
      <c r="BR30" s="29"/>
      <c r="BS30" s="28" t="str">
        <f aca="false">IF(AND(N(BP30)&gt;0,N(BR30)&gt;0),BR30-BP30,"")</f>
        <v/>
      </c>
      <c r="BT30" s="28" t="str">
        <f aca="false">IF(BS30="","",ROUND(BS30/365.25,2))</f>
        <v/>
      </c>
      <c r="BU30" s="28" t="str">
        <f aca="false">IF(BS30="","",IF(BS30&gt;=730.5,"Yes","No"))</f>
        <v/>
      </c>
      <c r="BV30" s="27"/>
      <c r="BW30" s="29"/>
      <c r="BX30" s="27"/>
      <c r="BY30" s="27"/>
      <c r="BZ30" s="28" t="str">
        <f aca="false">IF(N(E30)=0,"",IF(E30&lt;65,"Under 65","≥65"))</f>
        <v/>
      </c>
      <c r="CA30" s="28" t="str">
        <f aca="false">IF(OR(AC30="Yes",AC30="No"),AC30,"")</f>
        <v/>
      </c>
      <c r="CB30" s="28" t="str">
        <f aca="false">IF(OR(AD30="Yes",AD30="No"),AD30,"")</f>
        <v/>
      </c>
      <c r="CC30" s="28" t="str">
        <f aca="false">IF(F30="","",F30)</f>
        <v/>
      </c>
      <c r="CD30" s="27"/>
      <c r="CE30" s="27"/>
    </row>
    <row r="31" customFormat="false" ht="15" hidden="false" customHeight="false" outlineLevel="0" collapsed="false">
      <c r="A31" s="27"/>
      <c r="B31" s="27"/>
      <c r="C31" s="27"/>
      <c r="D31" s="27"/>
      <c r="E31" s="27"/>
      <c r="F31" s="27"/>
      <c r="G31" s="27"/>
      <c r="H31" s="27"/>
      <c r="I31" s="27"/>
      <c r="J31" s="28" t="str">
        <f aca="false">IF(AND(N(H31)&gt;0,N(I31)&gt;0),ROUND(I31/(H31/100)^2,1),"")</f>
        <v/>
      </c>
      <c r="K31" s="27"/>
      <c r="L31" s="27"/>
      <c r="M31" s="27"/>
      <c r="N31" s="27"/>
      <c r="O31" s="27"/>
      <c r="P31" s="27"/>
      <c r="Q31" s="27"/>
      <c r="R31" s="29"/>
      <c r="S31" s="29"/>
      <c r="T31" s="27"/>
      <c r="U31" s="28" t="str">
        <f aca="false">IF(N(T31)=0,"",IF(T31&lt;12,"Under 12 months",IF(T31&lt;36,"12-35 months",IF(T31&lt;60,"36-59 months","≥60 months"))))</f>
        <v/>
      </c>
      <c r="V31" s="27"/>
      <c r="W31" s="30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9"/>
      <c r="AT31" s="30"/>
      <c r="AU31" s="30"/>
      <c r="AV31" s="30"/>
      <c r="AW31" s="27"/>
      <c r="AX31" s="27"/>
      <c r="AY31" s="29"/>
      <c r="AZ31" s="27"/>
      <c r="BA31" s="27"/>
      <c r="BB31" s="29"/>
      <c r="BC31" s="30"/>
      <c r="BD31" s="30"/>
      <c r="BE31" s="30"/>
      <c r="BF31" s="27"/>
      <c r="BG31" s="27"/>
      <c r="BH31" s="28" t="str">
        <f aca="false">IF(COUNT(BC31:BE31)=0,"",IF(MIN(BC31:BE31)&lt;=-2.5,"Yes","No"))</f>
        <v/>
      </c>
      <c r="BI31" s="27"/>
      <c r="BJ31" s="29"/>
      <c r="BK31" s="27"/>
      <c r="BL31" s="27"/>
      <c r="BM31" s="27"/>
      <c r="BN31" s="28" t="str">
        <f aca="false">IF(OR(AX31="Yes",BI31="Yes"),"Yes",IF(AND(AX31="No",BI31="No"),"No",IF(AND(AX31="",BI31=""),"","Unknown")))</f>
        <v/>
      </c>
      <c r="BO31" s="31" t="str">
        <f aca="false">IF(COUNT(AY31,BJ31)=0,"",MIN(AY31,BJ31))</f>
        <v/>
      </c>
      <c r="BP31" s="29"/>
      <c r="BQ31" s="29"/>
      <c r="BR31" s="29"/>
      <c r="BS31" s="28" t="str">
        <f aca="false">IF(AND(N(BP31)&gt;0,N(BR31)&gt;0),BR31-BP31,"")</f>
        <v/>
      </c>
      <c r="BT31" s="28" t="str">
        <f aca="false">IF(BS31="","",ROUND(BS31/365.25,2))</f>
        <v/>
      </c>
      <c r="BU31" s="28" t="str">
        <f aca="false">IF(BS31="","",IF(BS31&gt;=730.5,"Yes","No"))</f>
        <v/>
      </c>
      <c r="BV31" s="27"/>
      <c r="BW31" s="29"/>
      <c r="BX31" s="27"/>
      <c r="BY31" s="27"/>
      <c r="BZ31" s="28" t="str">
        <f aca="false">IF(N(E31)=0,"",IF(E31&lt;65,"Under 65","≥65"))</f>
        <v/>
      </c>
      <c r="CA31" s="28" t="str">
        <f aca="false">IF(OR(AC31="Yes",AC31="No"),AC31,"")</f>
        <v/>
      </c>
      <c r="CB31" s="28" t="str">
        <f aca="false">IF(OR(AD31="Yes",AD31="No"),AD31,"")</f>
        <v/>
      </c>
      <c r="CC31" s="28" t="str">
        <f aca="false">IF(F31="","",F31)</f>
        <v/>
      </c>
      <c r="CD31" s="27"/>
      <c r="CE31" s="27"/>
    </row>
    <row r="32" customFormat="false" ht="15" hidden="false" customHeight="false" outlineLevel="0" collapsed="false">
      <c r="A32" s="27"/>
      <c r="B32" s="27"/>
      <c r="C32" s="27"/>
      <c r="D32" s="27"/>
      <c r="E32" s="27"/>
      <c r="F32" s="27"/>
      <c r="G32" s="27"/>
      <c r="H32" s="27"/>
      <c r="I32" s="27"/>
      <c r="J32" s="28" t="str">
        <f aca="false">IF(AND(N(H32)&gt;0,N(I32)&gt;0),ROUND(I32/(H32/100)^2,1),"")</f>
        <v/>
      </c>
      <c r="K32" s="27"/>
      <c r="L32" s="27"/>
      <c r="M32" s="27"/>
      <c r="N32" s="27"/>
      <c r="O32" s="27"/>
      <c r="P32" s="27"/>
      <c r="Q32" s="27"/>
      <c r="R32" s="29"/>
      <c r="S32" s="29"/>
      <c r="T32" s="27"/>
      <c r="U32" s="28" t="str">
        <f aca="false">IF(N(T32)=0,"",IF(T32&lt;12,"Under 12 months",IF(T32&lt;36,"12-35 months",IF(T32&lt;60,"36-59 months","≥60 months"))))</f>
        <v/>
      </c>
      <c r="V32" s="27"/>
      <c r="W32" s="30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9"/>
      <c r="AT32" s="30"/>
      <c r="AU32" s="30"/>
      <c r="AV32" s="30"/>
      <c r="AW32" s="27"/>
      <c r="AX32" s="27"/>
      <c r="AY32" s="29"/>
      <c r="AZ32" s="27"/>
      <c r="BA32" s="27"/>
      <c r="BB32" s="29"/>
      <c r="BC32" s="30"/>
      <c r="BD32" s="30"/>
      <c r="BE32" s="30"/>
      <c r="BF32" s="27"/>
      <c r="BG32" s="27"/>
      <c r="BH32" s="28" t="str">
        <f aca="false">IF(COUNT(BC32:BE32)=0,"",IF(MIN(BC32:BE32)&lt;=-2.5,"Yes","No"))</f>
        <v/>
      </c>
      <c r="BI32" s="27"/>
      <c r="BJ32" s="29"/>
      <c r="BK32" s="27"/>
      <c r="BL32" s="27"/>
      <c r="BM32" s="27"/>
      <c r="BN32" s="28" t="str">
        <f aca="false">IF(OR(AX32="Yes",BI32="Yes"),"Yes",IF(AND(AX32="No",BI32="No"),"No",IF(AND(AX32="",BI32=""),"","Unknown")))</f>
        <v/>
      </c>
      <c r="BO32" s="31" t="str">
        <f aca="false">IF(COUNT(AY32,BJ32)=0,"",MIN(AY32,BJ32))</f>
        <v/>
      </c>
      <c r="BP32" s="29"/>
      <c r="BQ32" s="29"/>
      <c r="BR32" s="29"/>
      <c r="BS32" s="28" t="str">
        <f aca="false">IF(AND(N(BP32)&gt;0,N(BR32)&gt;0),BR32-BP32,"")</f>
        <v/>
      </c>
      <c r="BT32" s="28" t="str">
        <f aca="false">IF(BS32="","",ROUND(BS32/365.25,2))</f>
        <v/>
      </c>
      <c r="BU32" s="28" t="str">
        <f aca="false">IF(BS32="","",IF(BS32&gt;=730.5,"Yes","No"))</f>
        <v/>
      </c>
      <c r="BV32" s="27"/>
      <c r="BW32" s="29"/>
      <c r="BX32" s="27"/>
      <c r="BY32" s="27"/>
      <c r="BZ32" s="28" t="str">
        <f aca="false">IF(N(E32)=0,"",IF(E32&lt;65,"Under 65","≥65"))</f>
        <v/>
      </c>
      <c r="CA32" s="28" t="str">
        <f aca="false">IF(OR(AC32="Yes",AC32="No"),AC32,"")</f>
        <v/>
      </c>
      <c r="CB32" s="28" t="str">
        <f aca="false">IF(OR(AD32="Yes",AD32="No"),AD32,"")</f>
        <v/>
      </c>
      <c r="CC32" s="28" t="str">
        <f aca="false">IF(F32="","",F32)</f>
        <v/>
      </c>
      <c r="CD32" s="27"/>
      <c r="CE32" s="27"/>
    </row>
    <row r="33" customFormat="false" ht="15" hidden="false" customHeight="false" outlineLevel="0" collapsed="false">
      <c r="A33" s="27"/>
      <c r="B33" s="27"/>
      <c r="C33" s="27"/>
      <c r="D33" s="27"/>
      <c r="E33" s="27"/>
      <c r="F33" s="27"/>
      <c r="G33" s="27"/>
      <c r="H33" s="27"/>
      <c r="I33" s="27"/>
      <c r="J33" s="28" t="str">
        <f aca="false">IF(AND(N(H33)&gt;0,N(I33)&gt;0),ROUND(I33/(H33/100)^2,1),"")</f>
        <v/>
      </c>
      <c r="K33" s="27"/>
      <c r="L33" s="27"/>
      <c r="M33" s="27"/>
      <c r="N33" s="27"/>
      <c r="O33" s="27"/>
      <c r="P33" s="27"/>
      <c r="Q33" s="27"/>
      <c r="R33" s="29"/>
      <c r="S33" s="29"/>
      <c r="T33" s="27"/>
      <c r="U33" s="28" t="str">
        <f aca="false">IF(N(T33)=0,"",IF(T33&lt;12,"Under 12 months",IF(T33&lt;36,"12-35 months",IF(T33&lt;60,"36-59 months","≥60 months"))))</f>
        <v/>
      </c>
      <c r="V33" s="27"/>
      <c r="W33" s="30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9"/>
      <c r="AT33" s="30"/>
      <c r="AU33" s="30"/>
      <c r="AV33" s="30"/>
      <c r="AW33" s="27"/>
      <c r="AX33" s="27"/>
      <c r="AY33" s="29"/>
      <c r="AZ33" s="27"/>
      <c r="BA33" s="27"/>
      <c r="BB33" s="29"/>
      <c r="BC33" s="30"/>
      <c r="BD33" s="30"/>
      <c r="BE33" s="30"/>
      <c r="BF33" s="27"/>
      <c r="BG33" s="27"/>
      <c r="BH33" s="28" t="str">
        <f aca="false">IF(COUNT(BC33:BE33)=0,"",IF(MIN(BC33:BE33)&lt;=-2.5,"Yes","No"))</f>
        <v/>
      </c>
      <c r="BI33" s="27"/>
      <c r="BJ33" s="29"/>
      <c r="BK33" s="27"/>
      <c r="BL33" s="27"/>
      <c r="BM33" s="27"/>
      <c r="BN33" s="28" t="str">
        <f aca="false">IF(OR(AX33="Yes",BI33="Yes"),"Yes",IF(AND(AX33="No",BI33="No"),"No",IF(AND(AX33="",BI33=""),"","Unknown")))</f>
        <v/>
      </c>
      <c r="BO33" s="31" t="str">
        <f aca="false">IF(COUNT(AY33,BJ33)=0,"",MIN(AY33,BJ33))</f>
        <v/>
      </c>
      <c r="BP33" s="29"/>
      <c r="BQ33" s="29"/>
      <c r="BR33" s="29"/>
      <c r="BS33" s="28" t="str">
        <f aca="false">IF(AND(N(BP33)&gt;0,N(BR33)&gt;0),BR33-BP33,"")</f>
        <v/>
      </c>
      <c r="BT33" s="28" t="str">
        <f aca="false">IF(BS33="","",ROUND(BS33/365.25,2))</f>
        <v/>
      </c>
      <c r="BU33" s="28" t="str">
        <f aca="false">IF(BS33="","",IF(BS33&gt;=730.5,"Yes","No"))</f>
        <v/>
      </c>
      <c r="BV33" s="27"/>
      <c r="BW33" s="29"/>
      <c r="BX33" s="27"/>
      <c r="BY33" s="27"/>
      <c r="BZ33" s="28" t="str">
        <f aca="false">IF(N(E33)=0,"",IF(E33&lt;65,"Under 65","≥65"))</f>
        <v/>
      </c>
      <c r="CA33" s="28" t="str">
        <f aca="false">IF(OR(AC33="Yes",AC33="No"),AC33,"")</f>
        <v/>
      </c>
      <c r="CB33" s="28" t="str">
        <f aca="false">IF(OR(AD33="Yes",AD33="No"),AD33,"")</f>
        <v/>
      </c>
      <c r="CC33" s="28" t="str">
        <f aca="false">IF(F33="","",F33)</f>
        <v/>
      </c>
      <c r="CD33" s="27"/>
      <c r="CE33" s="27"/>
    </row>
    <row r="34" customFormat="false" ht="15" hidden="false" customHeight="false" outlineLevel="0" collapsed="false">
      <c r="A34" s="27"/>
      <c r="B34" s="27"/>
      <c r="C34" s="27"/>
      <c r="D34" s="27"/>
      <c r="E34" s="27"/>
      <c r="F34" s="27"/>
      <c r="G34" s="27"/>
      <c r="H34" s="27"/>
      <c r="I34" s="27"/>
      <c r="J34" s="28" t="str">
        <f aca="false">IF(AND(N(H34)&gt;0,N(I34)&gt;0),ROUND(I34/(H34/100)^2,1),"")</f>
        <v/>
      </c>
      <c r="K34" s="27"/>
      <c r="L34" s="27"/>
      <c r="M34" s="27"/>
      <c r="N34" s="27"/>
      <c r="O34" s="27"/>
      <c r="P34" s="27"/>
      <c r="Q34" s="27"/>
      <c r="R34" s="29"/>
      <c r="S34" s="29"/>
      <c r="T34" s="27"/>
      <c r="U34" s="28" t="str">
        <f aca="false">IF(N(T34)=0,"",IF(T34&lt;12,"Under 12 months",IF(T34&lt;36,"12-35 months",IF(T34&lt;60,"36-59 months","≥60 months"))))</f>
        <v/>
      </c>
      <c r="V34" s="27"/>
      <c r="W34" s="30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9"/>
      <c r="AT34" s="30"/>
      <c r="AU34" s="30"/>
      <c r="AV34" s="30"/>
      <c r="AW34" s="27"/>
      <c r="AX34" s="27"/>
      <c r="AY34" s="29"/>
      <c r="AZ34" s="27"/>
      <c r="BA34" s="27"/>
      <c r="BB34" s="29"/>
      <c r="BC34" s="30"/>
      <c r="BD34" s="30"/>
      <c r="BE34" s="30"/>
      <c r="BF34" s="27"/>
      <c r="BG34" s="27"/>
      <c r="BH34" s="28" t="str">
        <f aca="false">IF(COUNT(BC34:BE34)=0,"",IF(MIN(BC34:BE34)&lt;=-2.5,"Yes","No"))</f>
        <v/>
      </c>
      <c r="BI34" s="27"/>
      <c r="BJ34" s="29"/>
      <c r="BK34" s="27"/>
      <c r="BL34" s="27"/>
      <c r="BM34" s="27"/>
      <c r="BN34" s="28" t="str">
        <f aca="false">IF(OR(AX34="Yes",BI34="Yes"),"Yes",IF(AND(AX34="No",BI34="No"),"No",IF(AND(AX34="",BI34=""),"","Unknown")))</f>
        <v/>
      </c>
      <c r="BO34" s="31" t="str">
        <f aca="false">IF(COUNT(AY34,BJ34)=0,"",MIN(AY34,BJ34))</f>
        <v/>
      </c>
      <c r="BP34" s="29"/>
      <c r="BQ34" s="29"/>
      <c r="BR34" s="29"/>
      <c r="BS34" s="28" t="str">
        <f aca="false">IF(AND(N(BP34)&gt;0,N(BR34)&gt;0),BR34-BP34,"")</f>
        <v/>
      </c>
      <c r="BT34" s="28" t="str">
        <f aca="false">IF(BS34="","",ROUND(BS34/365.25,2))</f>
        <v/>
      </c>
      <c r="BU34" s="28" t="str">
        <f aca="false">IF(BS34="","",IF(BS34&gt;=730.5,"Yes","No"))</f>
        <v/>
      </c>
      <c r="BV34" s="27"/>
      <c r="BW34" s="29"/>
      <c r="BX34" s="27"/>
      <c r="BY34" s="27"/>
      <c r="BZ34" s="28" t="str">
        <f aca="false">IF(N(E34)=0,"",IF(E34&lt;65,"Under 65","≥65"))</f>
        <v/>
      </c>
      <c r="CA34" s="28" t="str">
        <f aca="false">IF(OR(AC34="Yes",AC34="No"),AC34,"")</f>
        <v/>
      </c>
      <c r="CB34" s="28" t="str">
        <f aca="false">IF(OR(AD34="Yes",AD34="No"),AD34,"")</f>
        <v/>
      </c>
      <c r="CC34" s="28" t="str">
        <f aca="false">IF(F34="","",F34)</f>
        <v/>
      </c>
      <c r="CD34" s="27"/>
      <c r="CE34" s="27"/>
    </row>
    <row r="35" customFormat="false" ht="15" hidden="false" customHeight="false" outlineLevel="0" collapsed="false">
      <c r="A35" s="27"/>
      <c r="B35" s="27"/>
      <c r="C35" s="27"/>
      <c r="D35" s="27"/>
      <c r="E35" s="27"/>
      <c r="F35" s="27"/>
      <c r="G35" s="27"/>
      <c r="H35" s="27"/>
      <c r="I35" s="27"/>
      <c r="J35" s="28" t="str">
        <f aca="false">IF(AND(N(H35)&gt;0,N(I35)&gt;0),ROUND(I35/(H35/100)^2,1),"")</f>
        <v/>
      </c>
      <c r="K35" s="27"/>
      <c r="L35" s="27"/>
      <c r="M35" s="27"/>
      <c r="N35" s="27"/>
      <c r="O35" s="27"/>
      <c r="P35" s="27"/>
      <c r="Q35" s="27"/>
      <c r="R35" s="29"/>
      <c r="S35" s="29"/>
      <c r="T35" s="27"/>
      <c r="U35" s="28" t="str">
        <f aca="false">IF(N(T35)=0,"",IF(T35&lt;12,"Under 12 months",IF(T35&lt;36,"12-35 months",IF(T35&lt;60,"36-59 months","≥60 months"))))</f>
        <v/>
      </c>
      <c r="V35" s="27"/>
      <c r="W35" s="30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9"/>
      <c r="AT35" s="30"/>
      <c r="AU35" s="30"/>
      <c r="AV35" s="30"/>
      <c r="AW35" s="27"/>
      <c r="AX35" s="27"/>
      <c r="AY35" s="29"/>
      <c r="AZ35" s="27"/>
      <c r="BA35" s="27"/>
      <c r="BB35" s="29"/>
      <c r="BC35" s="30"/>
      <c r="BD35" s="30"/>
      <c r="BE35" s="30"/>
      <c r="BF35" s="27"/>
      <c r="BG35" s="27"/>
      <c r="BH35" s="28" t="str">
        <f aca="false">IF(COUNT(BC35:BE35)=0,"",IF(MIN(BC35:BE35)&lt;=-2.5,"Yes","No"))</f>
        <v/>
      </c>
      <c r="BI35" s="27"/>
      <c r="BJ35" s="29"/>
      <c r="BK35" s="27"/>
      <c r="BL35" s="27"/>
      <c r="BM35" s="27"/>
      <c r="BN35" s="28" t="str">
        <f aca="false">IF(OR(AX35="Yes",BI35="Yes"),"Yes",IF(AND(AX35="No",BI35="No"),"No",IF(AND(AX35="",BI35=""),"","Unknown")))</f>
        <v/>
      </c>
      <c r="BO35" s="31" t="str">
        <f aca="false">IF(COUNT(AY35,BJ35)=0,"",MIN(AY35,BJ35))</f>
        <v/>
      </c>
      <c r="BP35" s="29"/>
      <c r="BQ35" s="29"/>
      <c r="BR35" s="29"/>
      <c r="BS35" s="28" t="str">
        <f aca="false">IF(AND(N(BP35)&gt;0,N(BR35)&gt;0),BR35-BP35,"")</f>
        <v/>
      </c>
      <c r="BT35" s="28" t="str">
        <f aca="false">IF(BS35="","",ROUND(BS35/365.25,2))</f>
        <v/>
      </c>
      <c r="BU35" s="28" t="str">
        <f aca="false">IF(BS35="","",IF(BS35&gt;=730.5,"Yes","No"))</f>
        <v/>
      </c>
      <c r="BV35" s="27"/>
      <c r="BW35" s="29"/>
      <c r="BX35" s="27"/>
      <c r="BY35" s="27"/>
      <c r="BZ35" s="28" t="str">
        <f aca="false">IF(N(E35)=0,"",IF(E35&lt;65,"Under 65","≥65"))</f>
        <v/>
      </c>
      <c r="CA35" s="28" t="str">
        <f aca="false">IF(OR(AC35="Yes",AC35="No"),AC35,"")</f>
        <v/>
      </c>
      <c r="CB35" s="28" t="str">
        <f aca="false">IF(OR(AD35="Yes",AD35="No"),AD35,"")</f>
        <v/>
      </c>
      <c r="CC35" s="28" t="str">
        <f aca="false">IF(F35="","",F35)</f>
        <v/>
      </c>
      <c r="CD35" s="27"/>
      <c r="CE35" s="27"/>
    </row>
    <row r="36" customFormat="false" ht="15" hidden="false" customHeight="false" outlineLevel="0" collapsed="false">
      <c r="A36" s="27"/>
      <c r="B36" s="27"/>
      <c r="C36" s="27"/>
      <c r="D36" s="27"/>
      <c r="E36" s="27"/>
      <c r="F36" s="27"/>
      <c r="G36" s="27"/>
      <c r="H36" s="27"/>
      <c r="I36" s="27"/>
      <c r="J36" s="28" t="str">
        <f aca="false">IF(AND(N(H36)&gt;0,N(I36)&gt;0),ROUND(I36/(H36/100)^2,1),"")</f>
        <v/>
      </c>
      <c r="K36" s="27"/>
      <c r="L36" s="27"/>
      <c r="M36" s="27"/>
      <c r="N36" s="27"/>
      <c r="O36" s="27"/>
      <c r="P36" s="27"/>
      <c r="Q36" s="27"/>
      <c r="R36" s="29"/>
      <c r="S36" s="29"/>
      <c r="T36" s="27"/>
      <c r="U36" s="28" t="str">
        <f aca="false">IF(N(T36)=0,"",IF(T36&lt;12,"Under 12 months",IF(T36&lt;36,"12-35 months",IF(T36&lt;60,"36-59 months","≥60 months"))))</f>
        <v/>
      </c>
      <c r="V36" s="27"/>
      <c r="W36" s="30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9"/>
      <c r="AT36" s="30"/>
      <c r="AU36" s="30"/>
      <c r="AV36" s="30"/>
      <c r="AW36" s="27"/>
      <c r="AX36" s="27"/>
      <c r="AY36" s="29"/>
      <c r="AZ36" s="27"/>
      <c r="BA36" s="27"/>
      <c r="BB36" s="29"/>
      <c r="BC36" s="30"/>
      <c r="BD36" s="30"/>
      <c r="BE36" s="30"/>
      <c r="BF36" s="27"/>
      <c r="BG36" s="27"/>
      <c r="BH36" s="28" t="str">
        <f aca="false">IF(COUNT(BC36:BE36)=0,"",IF(MIN(BC36:BE36)&lt;=-2.5,"Yes","No"))</f>
        <v/>
      </c>
      <c r="BI36" s="27"/>
      <c r="BJ36" s="29"/>
      <c r="BK36" s="27"/>
      <c r="BL36" s="27"/>
      <c r="BM36" s="27"/>
      <c r="BN36" s="28" t="str">
        <f aca="false">IF(OR(AX36="Yes",BI36="Yes"),"Yes",IF(AND(AX36="No",BI36="No"),"No",IF(AND(AX36="",BI36=""),"","Unknown")))</f>
        <v/>
      </c>
      <c r="BO36" s="31" t="str">
        <f aca="false">IF(COUNT(AY36,BJ36)=0,"",MIN(AY36,BJ36))</f>
        <v/>
      </c>
      <c r="BP36" s="29"/>
      <c r="BQ36" s="29"/>
      <c r="BR36" s="29"/>
      <c r="BS36" s="28" t="str">
        <f aca="false">IF(AND(N(BP36)&gt;0,N(BR36)&gt;0),BR36-BP36,"")</f>
        <v/>
      </c>
      <c r="BT36" s="28" t="str">
        <f aca="false">IF(BS36="","",ROUND(BS36/365.25,2))</f>
        <v/>
      </c>
      <c r="BU36" s="28" t="str">
        <f aca="false">IF(BS36="","",IF(BS36&gt;=730.5,"Yes","No"))</f>
        <v/>
      </c>
      <c r="BV36" s="27"/>
      <c r="BW36" s="29"/>
      <c r="BX36" s="27"/>
      <c r="BY36" s="27"/>
      <c r="BZ36" s="28" t="str">
        <f aca="false">IF(N(E36)=0,"",IF(E36&lt;65,"Under 65","≥65"))</f>
        <v/>
      </c>
      <c r="CA36" s="28" t="str">
        <f aca="false">IF(OR(AC36="Yes",AC36="No"),AC36,"")</f>
        <v/>
      </c>
      <c r="CB36" s="28" t="str">
        <f aca="false">IF(OR(AD36="Yes",AD36="No"),AD36,"")</f>
        <v/>
      </c>
      <c r="CC36" s="28" t="str">
        <f aca="false">IF(F36="","",F36)</f>
        <v/>
      </c>
      <c r="CD36" s="27"/>
      <c r="CE36" s="27"/>
    </row>
    <row r="37" customFormat="false" ht="15" hidden="false" customHeight="false" outlineLevel="0" collapsed="false">
      <c r="A37" s="27"/>
      <c r="B37" s="27"/>
      <c r="C37" s="27"/>
      <c r="D37" s="27"/>
      <c r="E37" s="27"/>
      <c r="F37" s="27"/>
      <c r="G37" s="27"/>
      <c r="H37" s="27"/>
      <c r="I37" s="27"/>
      <c r="J37" s="28" t="str">
        <f aca="false">IF(AND(N(H37)&gt;0,N(I37)&gt;0),ROUND(I37/(H37/100)^2,1),"")</f>
        <v/>
      </c>
      <c r="K37" s="27"/>
      <c r="L37" s="27"/>
      <c r="M37" s="27"/>
      <c r="N37" s="27"/>
      <c r="O37" s="27"/>
      <c r="P37" s="27"/>
      <c r="Q37" s="27"/>
      <c r="R37" s="29"/>
      <c r="S37" s="29"/>
      <c r="T37" s="27"/>
      <c r="U37" s="28" t="str">
        <f aca="false">IF(N(T37)=0,"",IF(T37&lt;12,"Under 12 months",IF(T37&lt;36,"12-35 months",IF(T37&lt;60,"36-59 months","≥60 months"))))</f>
        <v/>
      </c>
      <c r="V37" s="27"/>
      <c r="W37" s="30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9"/>
      <c r="AT37" s="30"/>
      <c r="AU37" s="30"/>
      <c r="AV37" s="30"/>
      <c r="AW37" s="27"/>
      <c r="AX37" s="27"/>
      <c r="AY37" s="29"/>
      <c r="AZ37" s="27"/>
      <c r="BA37" s="27"/>
      <c r="BB37" s="29"/>
      <c r="BC37" s="30"/>
      <c r="BD37" s="30"/>
      <c r="BE37" s="30"/>
      <c r="BF37" s="27"/>
      <c r="BG37" s="27"/>
      <c r="BH37" s="28" t="str">
        <f aca="false">IF(COUNT(BC37:BE37)=0,"",IF(MIN(BC37:BE37)&lt;=-2.5,"Yes","No"))</f>
        <v/>
      </c>
      <c r="BI37" s="27"/>
      <c r="BJ37" s="29"/>
      <c r="BK37" s="27"/>
      <c r="BL37" s="27"/>
      <c r="BM37" s="27"/>
      <c r="BN37" s="28" t="str">
        <f aca="false">IF(OR(AX37="Yes",BI37="Yes"),"Yes",IF(AND(AX37="No",BI37="No"),"No",IF(AND(AX37="",BI37=""),"","Unknown")))</f>
        <v/>
      </c>
      <c r="BO37" s="31" t="str">
        <f aca="false">IF(COUNT(AY37,BJ37)=0,"",MIN(AY37,BJ37))</f>
        <v/>
      </c>
      <c r="BP37" s="29"/>
      <c r="BQ37" s="29"/>
      <c r="BR37" s="29"/>
      <c r="BS37" s="28" t="str">
        <f aca="false">IF(AND(N(BP37)&gt;0,N(BR37)&gt;0),BR37-BP37,"")</f>
        <v/>
      </c>
      <c r="BT37" s="28" t="str">
        <f aca="false">IF(BS37="","",ROUND(BS37/365.25,2))</f>
        <v/>
      </c>
      <c r="BU37" s="28" t="str">
        <f aca="false">IF(BS37="","",IF(BS37&gt;=730.5,"Yes","No"))</f>
        <v/>
      </c>
      <c r="BV37" s="27"/>
      <c r="BW37" s="29"/>
      <c r="BX37" s="27"/>
      <c r="BY37" s="27"/>
      <c r="BZ37" s="28" t="str">
        <f aca="false">IF(N(E37)=0,"",IF(E37&lt;65,"Under 65","≥65"))</f>
        <v/>
      </c>
      <c r="CA37" s="28" t="str">
        <f aca="false">IF(OR(AC37="Yes",AC37="No"),AC37,"")</f>
        <v/>
      </c>
      <c r="CB37" s="28" t="str">
        <f aca="false">IF(OR(AD37="Yes",AD37="No"),AD37,"")</f>
        <v/>
      </c>
      <c r="CC37" s="28" t="str">
        <f aca="false">IF(F37="","",F37)</f>
        <v/>
      </c>
      <c r="CD37" s="27"/>
      <c r="CE37" s="27"/>
    </row>
    <row r="38" customFormat="false" ht="15" hidden="false" customHeight="false" outlineLevel="0" collapsed="false">
      <c r="A38" s="27"/>
      <c r="B38" s="27"/>
      <c r="C38" s="27"/>
      <c r="D38" s="27"/>
      <c r="E38" s="27"/>
      <c r="F38" s="27"/>
      <c r="G38" s="27"/>
      <c r="H38" s="27"/>
      <c r="I38" s="27"/>
      <c r="J38" s="28" t="str">
        <f aca="false">IF(AND(N(H38)&gt;0,N(I38)&gt;0),ROUND(I38/(H38/100)^2,1),"")</f>
        <v/>
      </c>
      <c r="K38" s="27"/>
      <c r="L38" s="27"/>
      <c r="M38" s="27"/>
      <c r="N38" s="27"/>
      <c r="O38" s="27"/>
      <c r="P38" s="27"/>
      <c r="Q38" s="27"/>
      <c r="R38" s="29"/>
      <c r="S38" s="29"/>
      <c r="T38" s="27"/>
      <c r="U38" s="28" t="str">
        <f aca="false">IF(N(T38)=0,"",IF(T38&lt;12,"Under 12 months",IF(T38&lt;36,"12-35 months",IF(T38&lt;60,"36-59 months","≥60 months"))))</f>
        <v/>
      </c>
      <c r="V38" s="27"/>
      <c r="W38" s="30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9"/>
      <c r="AT38" s="30"/>
      <c r="AU38" s="30"/>
      <c r="AV38" s="30"/>
      <c r="AW38" s="27"/>
      <c r="AX38" s="27"/>
      <c r="AY38" s="29"/>
      <c r="AZ38" s="27"/>
      <c r="BA38" s="27"/>
      <c r="BB38" s="29"/>
      <c r="BC38" s="30"/>
      <c r="BD38" s="30"/>
      <c r="BE38" s="30"/>
      <c r="BF38" s="27"/>
      <c r="BG38" s="27"/>
      <c r="BH38" s="28" t="str">
        <f aca="false">IF(COUNT(BC38:BE38)=0,"",IF(MIN(BC38:BE38)&lt;=-2.5,"Yes","No"))</f>
        <v/>
      </c>
      <c r="BI38" s="27"/>
      <c r="BJ38" s="29"/>
      <c r="BK38" s="27"/>
      <c r="BL38" s="27"/>
      <c r="BM38" s="27"/>
      <c r="BN38" s="28" t="str">
        <f aca="false">IF(OR(AX38="Yes",BI38="Yes"),"Yes",IF(AND(AX38="No",BI38="No"),"No",IF(AND(AX38="",BI38=""),"","Unknown")))</f>
        <v/>
      </c>
      <c r="BO38" s="31" t="str">
        <f aca="false">IF(COUNT(AY38,BJ38)=0,"",MIN(AY38,BJ38))</f>
        <v/>
      </c>
      <c r="BP38" s="29"/>
      <c r="BQ38" s="29"/>
      <c r="BR38" s="29"/>
      <c r="BS38" s="28" t="str">
        <f aca="false">IF(AND(N(BP38)&gt;0,N(BR38)&gt;0),BR38-BP38,"")</f>
        <v/>
      </c>
      <c r="BT38" s="28" t="str">
        <f aca="false">IF(BS38="","",ROUND(BS38/365.25,2))</f>
        <v/>
      </c>
      <c r="BU38" s="28" t="str">
        <f aca="false">IF(BS38="","",IF(BS38&gt;=730.5,"Yes","No"))</f>
        <v/>
      </c>
      <c r="BV38" s="27"/>
      <c r="BW38" s="29"/>
      <c r="BX38" s="27"/>
      <c r="BY38" s="27"/>
      <c r="BZ38" s="28" t="str">
        <f aca="false">IF(N(E38)=0,"",IF(E38&lt;65,"Under 65","≥65"))</f>
        <v/>
      </c>
      <c r="CA38" s="28" t="str">
        <f aca="false">IF(OR(AC38="Yes",AC38="No"),AC38,"")</f>
        <v/>
      </c>
      <c r="CB38" s="28" t="str">
        <f aca="false">IF(OR(AD38="Yes",AD38="No"),AD38,"")</f>
        <v/>
      </c>
      <c r="CC38" s="28" t="str">
        <f aca="false">IF(F38="","",F38)</f>
        <v/>
      </c>
      <c r="CD38" s="27"/>
      <c r="CE38" s="27"/>
    </row>
    <row r="39" customFormat="false" ht="1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7"/>
      <c r="J39" s="28" t="str">
        <f aca="false">IF(AND(N(H39)&gt;0,N(I39)&gt;0),ROUND(I39/(H39/100)^2,1),"")</f>
        <v/>
      </c>
      <c r="K39" s="27"/>
      <c r="L39" s="27"/>
      <c r="M39" s="27"/>
      <c r="N39" s="27"/>
      <c r="O39" s="27"/>
      <c r="P39" s="27"/>
      <c r="Q39" s="27"/>
      <c r="R39" s="29"/>
      <c r="S39" s="29"/>
      <c r="T39" s="27"/>
      <c r="U39" s="28" t="str">
        <f aca="false">IF(N(T39)=0,"",IF(T39&lt;12,"Under 12 months",IF(T39&lt;36,"12-35 months",IF(T39&lt;60,"36-59 months","≥60 months"))))</f>
        <v/>
      </c>
      <c r="V39" s="27"/>
      <c r="W39" s="30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9"/>
      <c r="AT39" s="30"/>
      <c r="AU39" s="30"/>
      <c r="AV39" s="30"/>
      <c r="AW39" s="27"/>
      <c r="AX39" s="27"/>
      <c r="AY39" s="29"/>
      <c r="AZ39" s="27"/>
      <c r="BA39" s="27"/>
      <c r="BB39" s="29"/>
      <c r="BC39" s="30"/>
      <c r="BD39" s="30"/>
      <c r="BE39" s="30"/>
      <c r="BF39" s="27"/>
      <c r="BG39" s="27"/>
      <c r="BH39" s="28" t="str">
        <f aca="false">IF(COUNT(BC39:BE39)=0,"",IF(MIN(BC39:BE39)&lt;=-2.5,"Yes","No"))</f>
        <v/>
      </c>
      <c r="BI39" s="27"/>
      <c r="BJ39" s="29"/>
      <c r="BK39" s="27"/>
      <c r="BL39" s="27"/>
      <c r="BM39" s="27"/>
      <c r="BN39" s="28" t="str">
        <f aca="false">IF(OR(AX39="Yes",BI39="Yes"),"Yes",IF(AND(AX39="No",BI39="No"),"No",IF(AND(AX39="",BI39=""),"","Unknown")))</f>
        <v/>
      </c>
      <c r="BO39" s="31" t="str">
        <f aca="false">IF(COUNT(AY39,BJ39)=0,"",MIN(AY39,BJ39))</f>
        <v/>
      </c>
      <c r="BP39" s="29"/>
      <c r="BQ39" s="29"/>
      <c r="BR39" s="29"/>
      <c r="BS39" s="28" t="str">
        <f aca="false">IF(AND(N(BP39)&gt;0,N(BR39)&gt;0),BR39-BP39,"")</f>
        <v/>
      </c>
      <c r="BT39" s="28" t="str">
        <f aca="false">IF(BS39="","",ROUND(BS39/365.25,2))</f>
        <v/>
      </c>
      <c r="BU39" s="28" t="str">
        <f aca="false">IF(BS39="","",IF(BS39&gt;=730.5,"Yes","No"))</f>
        <v/>
      </c>
      <c r="BV39" s="27"/>
      <c r="BW39" s="29"/>
      <c r="BX39" s="27"/>
      <c r="BY39" s="27"/>
      <c r="BZ39" s="28" t="str">
        <f aca="false">IF(N(E39)=0,"",IF(E39&lt;65,"Under 65","≥65"))</f>
        <v/>
      </c>
      <c r="CA39" s="28" t="str">
        <f aca="false">IF(OR(AC39="Yes",AC39="No"),AC39,"")</f>
        <v/>
      </c>
      <c r="CB39" s="28" t="str">
        <f aca="false">IF(OR(AD39="Yes",AD39="No"),AD39,"")</f>
        <v/>
      </c>
      <c r="CC39" s="28" t="str">
        <f aca="false">IF(F39="","",F39)</f>
        <v/>
      </c>
      <c r="CD39" s="27"/>
      <c r="CE39" s="27"/>
    </row>
    <row r="40" customFormat="false" ht="1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7"/>
      <c r="J40" s="28" t="str">
        <f aca="false">IF(AND(N(H40)&gt;0,N(I40)&gt;0),ROUND(I40/(H40/100)^2,1),"")</f>
        <v/>
      </c>
      <c r="K40" s="27"/>
      <c r="L40" s="27"/>
      <c r="M40" s="27"/>
      <c r="N40" s="27"/>
      <c r="O40" s="27"/>
      <c r="P40" s="27"/>
      <c r="Q40" s="27"/>
      <c r="R40" s="29"/>
      <c r="S40" s="29"/>
      <c r="T40" s="27"/>
      <c r="U40" s="28" t="str">
        <f aca="false">IF(N(T40)=0,"",IF(T40&lt;12,"Under 12 months",IF(T40&lt;36,"12-35 months",IF(T40&lt;60,"36-59 months","≥60 months"))))</f>
        <v/>
      </c>
      <c r="V40" s="27"/>
      <c r="W40" s="30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9"/>
      <c r="AT40" s="30"/>
      <c r="AU40" s="30"/>
      <c r="AV40" s="30"/>
      <c r="AW40" s="27"/>
      <c r="AX40" s="27"/>
      <c r="AY40" s="29"/>
      <c r="AZ40" s="27"/>
      <c r="BA40" s="27"/>
      <c r="BB40" s="29"/>
      <c r="BC40" s="30"/>
      <c r="BD40" s="30"/>
      <c r="BE40" s="30"/>
      <c r="BF40" s="27"/>
      <c r="BG40" s="27"/>
      <c r="BH40" s="28" t="str">
        <f aca="false">IF(COUNT(BC40:BE40)=0,"",IF(MIN(BC40:BE40)&lt;=-2.5,"Yes","No"))</f>
        <v/>
      </c>
      <c r="BI40" s="27"/>
      <c r="BJ40" s="29"/>
      <c r="BK40" s="27"/>
      <c r="BL40" s="27"/>
      <c r="BM40" s="27"/>
      <c r="BN40" s="28" t="str">
        <f aca="false">IF(OR(AX40="Yes",BI40="Yes"),"Yes",IF(AND(AX40="No",BI40="No"),"No",IF(AND(AX40="",BI40=""),"","Unknown")))</f>
        <v/>
      </c>
      <c r="BO40" s="31" t="str">
        <f aca="false">IF(COUNT(AY40,BJ40)=0,"",MIN(AY40,BJ40))</f>
        <v/>
      </c>
      <c r="BP40" s="29"/>
      <c r="BQ40" s="29"/>
      <c r="BR40" s="29"/>
      <c r="BS40" s="28" t="str">
        <f aca="false">IF(AND(N(BP40)&gt;0,N(BR40)&gt;0),BR40-BP40,"")</f>
        <v/>
      </c>
      <c r="BT40" s="28" t="str">
        <f aca="false">IF(BS40="","",ROUND(BS40/365.25,2))</f>
        <v/>
      </c>
      <c r="BU40" s="28" t="str">
        <f aca="false">IF(BS40="","",IF(BS40&gt;=730.5,"Yes","No"))</f>
        <v/>
      </c>
      <c r="BV40" s="27"/>
      <c r="BW40" s="29"/>
      <c r="BX40" s="27"/>
      <c r="BY40" s="27"/>
      <c r="BZ40" s="28" t="str">
        <f aca="false">IF(N(E40)=0,"",IF(E40&lt;65,"Under 65","≥65"))</f>
        <v/>
      </c>
      <c r="CA40" s="28" t="str">
        <f aca="false">IF(OR(AC40="Yes",AC40="No"),AC40,"")</f>
        <v/>
      </c>
      <c r="CB40" s="28" t="str">
        <f aca="false">IF(OR(AD40="Yes",AD40="No"),AD40,"")</f>
        <v/>
      </c>
      <c r="CC40" s="28" t="str">
        <f aca="false">IF(F40="","",F40)</f>
        <v/>
      </c>
      <c r="CD40" s="27"/>
      <c r="CE40" s="27"/>
    </row>
    <row r="41" customFormat="false" ht="1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7"/>
      <c r="J41" s="28" t="str">
        <f aca="false">IF(AND(N(H41)&gt;0,N(I41)&gt;0),ROUND(I41/(H41/100)^2,1),"")</f>
        <v/>
      </c>
      <c r="K41" s="27"/>
      <c r="L41" s="27"/>
      <c r="M41" s="27"/>
      <c r="N41" s="27"/>
      <c r="O41" s="27"/>
      <c r="P41" s="27"/>
      <c r="Q41" s="27"/>
      <c r="R41" s="29"/>
      <c r="S41" s="29"/>
      <c r="T41" s="27"/>
      <c r="U41" s="28" t="str">
        <f aca="false">IF(N(T41)=0,"",IF(T41&lt;12,"Under 12 months",IF(T41&lt;36,"12-35 months",IF(T41&lt;60,"36-59 months","≥60 months"))))</f>
        <v/>
      </c>
      <c r="V41" s="27"/>
      <c r="W41" s="30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9"/>
      <c r="AT41" s="30"/>
      <c r="AU41" s="30"/>
      <c r="AV41" s="30"/>
      <c r="AW41" s="27"/>
      <c r="AX41" s="27"/>
      <c r="AY41" s="29"/>
      <c r="AZ41" s="27"/>
      <c r="BA41" s="27"/>
      <c r="BB41" s="29"/>
      <c r="BC41" s="30"/>
      <c r="BD41" s="30"/>
      <c r="BE41" s="30"/>
      <c r="BF41" s="27"/>
      <c r="BG41" s="27"/>
      <c r="BH41" s="28" t="str">
        <f aca="false">IF(COUNT(BC41:BE41)=0,"",IF(MIN(BC41:BE41)&lt;=-2.5,"Yes","No"))</f>
        <v/>
      </c>
      <c r="BI41" s="27"/>
      <c r="BJ41" s="29"/>
      <c r="BK41" s="27"/>
      <c r="BL41" s="27"/>
      <c r="BM41" s="27"/>
      <c r="BN41" s="28" t="str">
        <f aca="false">IF(OR(AX41="Yes",BI41="Yes"),"Yes",IF(AND(AX41="No",BI41="No"),"No",IF(AND(AX41="",BI41=""),"","Unknown")))</f>
        <v/>
      </c>
      <c r="BO41" s="31" t="str">
        <f aca="false">IF(COUNT(AY41,BJ41)=0,"",MIN(AY41,BJ41))</f>
        <v/>
      </c>
      <c r="BP41" s="29"/>
      <c r="BQ41" s="29"/>
      <c r="BR41" s="29"/>
      <c r="BS41" s="28" t="str">
        <f aca="false">IF(AND(N(BP41)&gt;0,N(BR41)&gt;0),BR41-BP41,"")</f>
        <v/>
      </c>
      <c r="BT41" s="28" t="str">
        <f aca="false">IF(BS41="","",ROUND(BS41/365.25,2))</f>
        <v/>
      </c>
      <c r="BU41" s="28" t="str">
        <f aca="false">IF(BS41="","",IF(BS41&gt;=730.5,"Yes","No"))</f>
        <v/>
      </c>
      <c r="BV41" s="27"/>
      <c r="BW41" s="29"/>
      <c r="BX41" s="27"/>
      <c r="BY41" s="27"/>
      <c r="BZ41" s="28" t="str">
        <f aca="false">IF(N(E41)=0,"",IF(E41&lt;65,"Under 65","≥65"))</f>
        <v/>
      </c>
      <c r="CA41" s="28" t="str">
        <f aca="false">IF(OR(AC41="Yes",AC41="No"),AC41,"")</f>
        <v/>
      </c>
      <c r="CB41" s="28" t="str">
        <f aca="false">IF(OR(AD41="Yes",AD41="No"),AD41,"")</f>
        <v/>
      </c>
      <c r="CC41" s="28" t="str">
        <f aca="false">IF(F41="","",F41)</f>
        <v/>
      </c>
      <c r="CD41" s="27"/>
      <c r="CE41" s="27"/>
    </row>
    <row r="42" customFormat="false" ht="1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7"/>
      <c r="J42" s="28" t="str">
        <f aca="false">IF(AND(N(H42)&gt;0,N(I42)&gt;0),ROUND(I42/(H42/100)^2,1),"")</f>
        <v/>
      </c>
      <c r="K42" s="27"/>
      <c r="L42" s="27"/>
      <c r="M42" s="27"/>
      <c r="N42" s="27"/>
      <c r="O42" s="27"/>
      <c r="P42" s="27"/>
      <c r="Q42" s="27"/>
      <c r="R42" s="29"/>
      <c r="S42" s="29"/>
      <c r="T42" s="27"/>
      <c r="U42" s="28" t="str">
        <f aca="false">IF(N(T42)=0,"",IF(T42&lt;12,"Under 12 months",IF(T42&lt;36,"12-35 months",IF(T42&lt;60,"36-59 months","≥60 months"))))</f>
        <v/>
      </c>
      <c r="V42" s="27"/>
      <c r="W42" s="30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9"/>
      <c r="AT42" s="30"/>
      <c r="AU42" s="30"/>
      <c r="AV42" s="30"/>
      <c r="AW42" s="27"/>
      <c r="AX42" s="27"/>
      <c r="AY42" s="29"/>
      <c r="AZ42" s="27"/>
      <c r="BA42" s="27"/>
      <c r="BB42" s="29"/>
      <c r="BC42" s="30"/>
      <c r="BD42" s="30"/>
      <c r="BE42" s="30"/>
      <c r="BF42" s="27"/>
      <c r="BG42" s="27"/>
      <c r="BH42" s="28" t="str">
        <f aca="false">IF(COUNT(BC42:BE42)=0,"",IF(MIN(BC42:BE42)&lt;=-2.5,"Yes","No"))</f>
        <v/>
      </c>
      <c r="BI42" s="27"/>
      <c r="BJ42" s="29"/>
      <c r="BK42" s="27"/>
      <c r="BL42" s="27"/>
      <c r="BM42" s="27"/>
      <c r="BN42" s="28" t="str">
        <f aca="false">IF(OR(AX42="Yes",BI42="Yes"),"Yes",IF(AND(AX42="No",BI42="No"),"No",IF(AND(AX42="",BI42=""),"","Unknown")))</f>
        <v/>
      </c>
      <c r="BO42" s="31" t="str">
        <f aca="false">IF(COUNT(AY42,BJ42)=0,"",MIN(AY42,BJ42))</f>
        <v/>
      </c>
      <c r="BP42" s="29"/>
      <c r="BQ42" s="29"/>
      <c r="BR42" s="29"/>
      <c r="BS42" s="28" t="str">
        <f aca="false">IF(AND(N(BP42)&gt;0,N(BR42)&gt;0),BR42-BP42,"")</f>
        <v/>
      </c>
      <c r="BT42" s="28" t="str">
        <f aca="false">IF(BS42="","",ROUND(BS42/365.25,2))</f>
        <v/>
      </c>
      <c r="BU42" s="28" t="str">
        <f aca="false">IF(BS42="","",IF(BS42&gt;=730.5,"Yes","No"))</f>
        <v/>
      </c>
      <c r="BV42" s="27"/>
      <c r="BW42" s="29"/>
      <c r="BX42" s="27"/>
      <c r="BY42" s="27"/>
      <c r="BZ42" s="28" t="str">
        <f aca="false">IF(N(E42)=0,"",IF(E42&lt;65,"Under 65","≥65"))</f>
        <v/>
      </c>
      <c r="CA42" s="28" t="str">
        <f aca="false">IF(OR(AC42="Yes",AC42="No"),AC42,"")</f>
        <v/>
      </c>
      <c r="CB42" s="28" t="str">
        <f aca="false">IF(OR(AD42="Yes",AD42="No"),AD42,"")</f>
        <v/>
      </c>
      <c r="CC42" s="28" t="str">
        <f aca="false">IF(F42="","",F42)</f>
        <v/>
      </c>
      <c r="CD42" s="27"/>
      <c r="CE42" s="27"/>
    </row>
    <row r="43" customFormat="false" ht="1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7"/>
      <c r="J43" s="28" t="str">
        <f aca="false">IF(AND(N(H43)&gt;0,N(I43)&gt;0),ROUND(I43/(H43/100)^2,1),"")</f>
        <v/>
      </c>
      <c r="K43" s="27"/>
      <c r="L43" s="27"/>
      <c r="M43" s="27"/>
      <c r="N43" s="27"/>
      <c r="O43" s="27"/>
      <c r="P43" s="27"/>
      <c r="Q43" s="27"/>
      <c r="R43" s="29"/>
      <c r="S43" s="29"/>
      <c r="T43" s="27"/>
      <c r="U43" s="28" t="str">
        <f aca="false">IF(N(T43)=0,"",IF(T43&lt;12,"Under 12 months",IF(T43&lt;36,"12-35 months",IF(T43&lt;60,"36-59 months","≥60 months"))))</f>
        <v/>
      </c>
      <c r="V43" s="27"/>
      <c r="W43" s="30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9"/>
      <c r="AT43" s="30"/>
      <c r="AU43" s="30"/>
      <c r="AV43" s="30"/>
      <c r="AW43" s="27"/>
      <c r="AX43" s="27"/>
      <c r="AY43" s="29"/>
      <c r="AZ43" s="27"/>
      <c r="BA43" s="27"/>
      <c r="BB43" s="29"/>
      <c r="BC43" s="30"/>
      <c r="BD43" s="30"/>
      <c r="BE43" s="30"/>
      <c r="BF43" s="27"/>
      <c r="BG43" s="27"/>
      <c r="BH43" s="28" t="str">
        <f aca="false">IF(COUNT(BC43:BE43)=0,"",IF(MIN(BC43:BE43)&lt;=-2.5,"Yes","No"))</f>
        <v/>
      </c>
      <c r="BI43" s="27"/>
      <c r="BJ43" s="29"/>
      <c r="BK43" s="27"/>
      <c r="BL43" s="27"/>
      <c r="BM43" s="27"/>
      <c r="BN43" s="28" t="str">
        <f aca="false">IF(OR(AX43="Yes",BI43="Yes"),"Yes",IF(AND(AX43="No",BI43="No"),"No",IF(AND(AX43="",BI43=""),"","Unknown")))</f>
        <v/>
      </c>
      <c r="BO43" s="31" t="str">
        <f aca="false">IF(COUNT(AY43,BJ43)=0,"",MIN(AY43,BJ43))</f>
        <v/>
      </c>
      <c r="BP43" s="29"/>
      <c r="BQ43" s="29"/>
      <c r="BR43" s="29"/>
      <c r="BS43" s="28" t="str">
        <f aca="false">IF(AND(N(BP43)&gt;0,N(BR43)&gt;0),BR43-BP43,"")</f>
        <v/>
      </c>
      <c r="BT43" s="28" t="str">
        <f aca="false">IF(BS43="","",ROUND(BS43/365.25,2))</f>
        <v/>
      </c>
      <c r="BU43" s="28" t="str">
        <f aca="false">IF(BS43="","",IF(BS43&gt;=730.5,"Yes","No"))</f>
        <v/>
      </c>
      <c r="BV43" s="27"/>
      <c r="BW43" s="29"/>
      <c r="BX43" s="27"/>
      <c r="BY43" s="27"/>
      <c r="BZ43" s="28" t="str">
        <f aca="false">IF(N(E43)=0,"",IF(E43&lt;65,"Under 65","≥65"))</f>
        <v/>
      </c>
      <c r="CA43" s="28" t="str">
        <f aca="false">IF(OR(AC43="Yes",AC43="No"),AC43,"")</f>
        <v/>
      </c>
      <c r="CB43" s="28" t="str">
        <f aca="false">IF(OR(AD43="Yes",AD43="No"),AD43,"")</f>
        <v/>
      </c>
      <c r="CC43" s="28" t="str">
        <f aca="false">IF(F43="","",F43)</f>
        <v/>
      </c>
      <c r="CD43" s="27"/>
      <c r="CE43" s="27"/>
    </row>
    <row r="44" customFormat="false" ht="1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7"/>
      <c r="J44" s="28" t="str">
        <f aca="false">IF(AND(N(H44)&gt;0,N(I44)&gt;0),ROUND(I44/(H44/100)^2,1),"")</f>
        <v/>
      </c>
      <c r="K44" s="27"/>
      <c r="L44" s="27"/>
      <c r="M44" s="27"/>
      <c r="N44" s="27"/>
      <c r="O44" s="27"/>
      <c r="P44" s="27"/>
      <c r="Q44" s="27"/>
      <c r="R44" s="29"/>
      <c r="S44" s="29"/>
      <c r="T44" s="27"/>
      <c r="U44" s="28" t="str">
        <f aca="false">IF(N(T44)=0,"",IF(T44&lt;12,"Under 12 months",IF(T44&lt;36,"12-35 months",IF(T44&lt;60,"36-59 months","≥60 months"))))</f>
        <v/>
      </c>
      <c r="V44" s="27"/>
      <c r="W44" s="30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9"/>
      <c r="AT44" s="30"/>
      <c r="AU44" s="30"/>
      <c r="AV44" s="30"/>
      <c r="AW44" s="27"/>
      <c r="AX44" s="27"/>
      <c r="AY44" s="29"/>
      <c r="AZ44" s="27"/>
      <c r="BA44" s="27"/>
      <c r="BB44" s="29"/>
      <c r="BC44" s="30"/>
      <c r="BD44" s="30"/>
      <c r="BE44" s="30"/>
      <c r="BF44" s="27"/>
      <c r="BG44" s="27"/>
      <c r="BH44" s="28" t="str">
        <f aca="false">IF(COUNT(BC44:BE44)=0,"",IF(MIN(BC44:BE44)&lt;=-2.5,"Yes","No"))</f>
        <v/>
      </c>
      <c r="BI44" s="27"/>
      <c r="BJ44" s="29"/>
      <c r="BK44" s="27"/>
      <c r="BL44" s="27"/>
      <c r="BM44" s="27"/>
      <c r="BN44" s="28" t="str">
        <f aca="false">IF(OR(AX44="Yes",BI44="Yes"),"Yes",IF(AND(AX44="No",BI44="No"),"No",IF(AND(AX44="",BI44=""),"","Unknown")))</f>
        <v/>
      </c>
      <c r="BO44" s="31" t="str">
        <f aca="false">IF(COUNT(AY44,BJ44)=0,"",MIN(AY44,BJ44))</f>
        <v/>
      </c>
      <c r="BP44" s="29"/>
      <c r="BQ44" s="29"/>
      <c r="BR44" s="29"/>
      <c r="BS44" s="28" t="str">
        <f aca="false">IF(AND(N(BP44)&gt;0,N(BR44)&gt;0),BR44-BP44,"")</f>
        <v/>
      </c>
      <c r="BT44" s="28" t="str">
        <f aca="false">IF(BS44="","",ROUND(BS44/365.25,2))</f>
        <v/>
      </c>
      <c r="BU44" s="28" t="str">
        <f aca="false">IF(BS44="","",IF(BS44&gt;=730.5,"Yes","No"))</f>
        <v/>
      </c>
      <c r="BV44" s="27"/>
      <c r="BW44" s="29"/>
      <c r="BX44" s="27"/>
      <c r="BY44" s="27"/>
      <c r="BZ44" s="28" t="str">
        <f aca="false">IF(N(E44)=0,"",IF(E44&lt;65,"Under 65","≥65"))</f>
        <v/>
      </c>
      <c r="CA44" s="28" t="str">
        <f aca="false">IF(OR(AC44="Yes",AC44="No"),AC44,"")</f>
        <v/>
      </c>
      <c r="CB44" s="28" t="str">
        <f aca="false">IF(OR(AD44="Yes",AD44="No"),AD44,"")</f>
        <v/>
      </c>
      <c r="CC44" s="28" t="str">
        <f aca="false">IF(F44="","",F44)</f>
        <v/>
      </c>
      <c r="CD44" s="27"/>
      <c r="CE44" s="27"/>
    </row>
    <row r="45" customFormat="false" ht="1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7"/>
      <c r="J45" s="28" t="str">
        <f aca="false">IF(AND(N(H45)&gt;0,N(I45)&gt;0),ROUND(I45/(H45/100)^2,1),"")</f>
        <v/>
      </c>
      <c r="K45" s="27"/>
      <c r="L45" s="27"/>
      <c r="M45" s="27"/>
      <c r="N45" s="27"/>
      <c r="O45" s="27"/>
      <c r="P45" s="27"/>
      <c r="Q45" s="27"/>
      <c r="R45" s="29"/>
      <c r="S45" s="29"/>
      <c r="T45" s="27"/>
      <c r="U45" s="28" t="str">
        <f aca="false">IF(N(T45)=0,"",IF(T45&lt;12,"Under 12 months",IF(T45&lt;36,"12-35 months",IF(T45&lt;60,"36-59 months","≥60 months"))))</f>
        <v/>
      </c>
      <c r="V45" s="27"/>
      <c r="W45" s="30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9"/>
      <c r="AT45" s="30"/>
      <c r="AU45" s="30"/>
      <c r="AV45" s="30"/>
      <c r="AW45" s="27"/>
      <c r="AX45" s="27"/>
      <c r="AY45" s="29"/>
      <c r="AZ45" s="27"/>
      <c r="BA45" s="27"/>
      <c r="BB45" s="29"/>
      <c r="BC45" s="30"/>
      <c r="BD45" s="30"/>
      <c r="BE45" s="30"/>
      <c r="BF45" s="27"/>
      <c r="BG45" s="27"/>
      <c r="BH45" s="28" t="str">
        <f aca="false">IF(COUNT(BC45:BE45)=0,"",IF(MIN(BC45:BE45)&lt;=-2.5,"Yes","No"))</f>
        <v/>
      </c>
      <c r="BI45" s="27"/>
      <c r="BJ45" s="29"/>
      <c r="BK45" s="27"/>
      <c r="BL45" s="27"/>
      <c r="BM45" s="27"/>
      <c r="BN45" s="28" t="str">
        <f aca="false">IF(OR(AX45="Yes",BI45="Yes"),"Yes",IF(AND(AX45="No",BI45="No"),"No",IF(AND(AX45="",BI45=""),"","Unknown")))</f>
        <v/>
      </c>
      <c r="BO45" s="31" t="str">
        <f aca="false">IF(COUNT(AY45,BJ45)=0,"",MIN(AY45,BJ45))</f>
        <v/>
      </c>
      <c r="BP45" s="29"/>
      <c r="BQ45" s="29"/>
      <c r="BR45" s="29"/>
      <c r="BS45" s="28" t="str">
        <f aca="false">IF(AND(N(BP45)&gt;0,N(BR45)&gt;0),BR45-BP45,"")</f>
        <v/>
      </c>
      <c r="BT45" s="28" t="str">
        <f aca="false">IF(BS45="","",ROUND(BS45/365.25,2))</f>
        <v/>
      </c>
      <c r="BU45" s="28" t="str">
        <f aca="false">IF(BS45="","",IF(BS45&gt;=730.5,"Yes","No"))</f>
        <v/>
      </c>
      <c r="BV45" s="27"/>
      <c r="BW45" s="29"/>
      <c r="BX45" s="27"/>
      <c r="BY45" s="27"/>
      <c r="BZ45" s="28" t="str">
        <f aca="false">IF(N(E45)=0,"",IF(E45&lt;65,"Under 65","≥65"))</f>
        <v/>
      </c>
      <c r="CA45" s="28" t="str">
        <f aca="false">IF(OR(AC45="Yes",AC45="No"),AC45,"")</f>
        <v/>
      </c>
      <c r="CB45" s="28" t="str">
        <f aca="false">IF(OR(AD45="Yes",AD45="No"),AD45,"")</f>
        <v/>
      </c>
      <c r="CC45" s="28" t="str">
        <f aca="false">IF(F45="","",F45)</f>
        <v/>
      </c>
      <c r="CD45" s="27"/>
      <c r="CE45" s="27"/>
    </row>
    <row r="46" customFormat="false" ht="1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7"/>
      <c r="J46" s="28" t="str">
        <f aca="false">IF(AND(N(H46)&gt;0,N(I46)&gt;0),ROUND(I46/(H46/100)^2,1),"")</f>
        <v/>
      </c>
      <c r="K46" s="27"/>
      <c r="L46" s="27"/>
      <c r="M46" s="27"/>
      <c r="N46" s="27"/>
      <c r="O46" s="27"/>
      <c r="P46" s="27"/>
      <c r="Q46" s="27"/>
      <c r="R46" s="29"/>
      <c r="S46" s="29"/>
      <c r="T46" s="27"/>
      <c r="U46" s="28" t="str">
        <f aca="false">IF(N(T46)=0,"",IF(T46&lt;12,"Under 12 months",IF(T46&lt;36,"12-35 months",IF(T46&lt;60,"36-59 months","≥60 months"))))</f>
        <v/>
      </c>
      <c r="V46" s="27"/>
      <c r="W46" s="30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9"/>
      <c r="AT46" s="30"/>
      <c r="AU46" s="30"/>
      <c r="AV46" s="30"/>
      <c r="AW46" s="27"/>
      <c r="AX46" s="27"/>
      <c r="AY46" s="29"/>
      <c r="AZ46" s="27"/>
      <c r="BA46" s="27"/>
      <c r="BB46" s="29"/>
      <c r="BC46" s="30"/>
      <c r="BD46" s="30"/>
      <c r="BE46" s="30"/>
      <c r="BF46" s="27"/>
      <c r="BG46" s="27"/>
      <c r="BH46" s="28" t="str">
        <f aca="false">IF(COUNT(BC46:BE46)=0,"",IF(MIN(BC46:BE46)&lt;=-2.5,"Yes","No"))</f>
        <v/>
      </c>
      <c r="BI46" s="27"/>
      <c r="BJ46" s="29"/>
      <c r="BK46" s="27"/>
      <c r="BL46" s="27"/>
      <c r="BM46" s="27"/>
      <c r="BN46" s="28" t="str">
        <f aca="false">IF(OR(AX46="Yes",BI46="Yes"),"Yes",IF(AND(AX46="No",BI46="No"),"No",IF(AND(AX46="",BI46=""),"","Unknown")))</f>
        <v/>
      </c>
      <c r="BO46" s="31" t="str">
        <f aca="false">IF(COUNT(AY46,BJ46)=0,"",MIN(AY46,BJ46))</f>
        <v/>
      </c>
      <c r="BP46" s="29"/>
      <c r="BQ46" s="29"/>
      <c r="BR46" s="29"/>
      <c r="BS46" s="28" t="str">
        <f aca="false">IF(AND(N(BP46)&gt;0,N(BR46)&gt;0),BR46-BP46,"")</f>
        <v/>
      </c>
      <c r="BT46" s="28" t="str">
        <f aca="false">IF(BS46="","",ROUND(BS46/365.25,2))</f>
        <v/>
      </c>
      <c r="BU46" s="28" t="str">
        <f aca="false">IF(BS46="","",IF(BS46&gt;=730.5,"Yes","No"))</f>
        <v/>
      </c>
      <c r="BV46" s="27"/>
      <c r="BW46" s="29"/>
      <c r="BX46" s="27"/>
      <c r="BY46" s="27"/>
      <c r="BZ46" s="28" t="str">
        <f aca="false">IF(N(E46)=0,"",IF(E46&lt;65,"Under 65","≥65"))</f>
        <v/>
      </c>
      <c r="CA46" s="28" t="str">
        <f aca="false">IF(OR(AC46="Yes",AC46="No"),AC46,"")</f>
        <v/>
      </c>
      <c r="CB46" s="28" t="str">
        <f aca="false">IF(OR(AD46="Yes",AD46="No"),AD46,"")</f>
        <v/>
      </c>
      <c r="CC46" s="28" t="str">
        <f aca="false">IF(F46="","",F46)</f>
        <v/>
      </c>
      <c r="CD46" s="27"/>
      <c r="CE46" s="27"/>
    </row>
    <row r="47" customFormat="false" ht="1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7"/>
      <c r="J47" s="28" t="str">
        <f aca="false">IF(AND(N(H47)&gt;0,N(I47)&gt;0),ROUND(I47/(H47/100)^2,1),"")</f>
        <v/>
      </c>
      <c r="K47" s="27"/>
      <c r="L47" s="27"/>
      <c r="M47" s="27"/>
      <c r="N47" s="27"/>
      <c r="O47" s="27"/>
      <c r="P47" s="27"/>
      <c r="Q47" s="27"/>
      <c r="R47" s="29"/>
      <c r="S47" s="29"/>
      <c r="T47" s="27"/>
      <c r="U47" s="28" t="str">
        <f aca="false">IF(N(T47)=0,"",IF(T47&lt;12,"Under 12 months",IF(T47&lt;36,"12-35 months",IF(T47&lt;60,"36-59 months","≥60 months"))))</f>
        <v/>
      </c>
      <c r="V47" s="27"/>
      <c r="W47" s="30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9"/>
      <c r="AT47" s="30"/>
      <c r="AU47" s="30"/>
      <c r="AV47" s="30"/>
      <c r="AW47" s="27"/>
      <c r="AX47" s="27"/>
      <c r="AY47" s="29"/>
      <c r="AZ47" s="27"/>
      <c r="BA47" s="27"/>
      <c r="BB47" s="29"/>
      <c r="BC47" s="30"/>
      <c r="BD47" s="30"/>
      <c r="BE47" s="30"/>
      <c r="BF47" s="27"/>
      <c r="BG47" s="27"/>
      <c r="BH47" s="28" t="str">
        <f aca="false">IF(COUNT(BC47:BE47)=0,"",IF(MIN(BC47:BE47)&lt;=-2.5,"Yes","No"))</f>
        <v/>
      </c>
      <c r="BI47" s="27"/>
      <c r="BJ47" s="29"/>
      <c r="BK47" s="27"/>
      <c r="BL47" s="27"/>
      <c r="BM47" s="27"/>
      <c r="BN47" s="28" t="str">
        <f aca="false">IF(OR(AX47="Yes",BI47="Yes"),"Yes",IF(AND(AX47="No",BI47="No"),"No",IF(AND(AX47="",BI47=""),"","Unknown")))</f>
        <v/>
      </c>
      <c r="BO47" s="31" t="str">
        <f aca="false">IF(COUNT(AY47,BJ47)=0,"",MIN(AY47,BJ47))</f>
        <v/>
      </c>
      <c r="BP47" s="29"/>
      <c r="BQ47" s="29"/>
      <c r="BR47" s="29"/>
      <c r="BS47" s="28" t="str">
        <f aca="false">IF(AND(N(BP47)&gt;0,N(BR47)&gt;0),BR47-BP47,"")</f>
        <v/>
      </c>
      <c r="BT47" s="28" t="str">
        <f aca="false">IF(BS47="","",ROUND(BS47/365.25,2))</f>
        <v/>
      </c>
      <c r="BU47" s="28" t="str">
        <f aca="false">IF(BS47="","",IF(BS47&gt;=730.5,"Yes","No"))</f>
        <v/>
      </c>
      <c r="BV47" s="27"/>
      <c r="BW47" s="29"/>
      <c r="BX47" s="27"/>
      <c r="BY47" s="27"/>
      <c r="BZ47" s="28" t="str">
        <f aca="false">IF(N(E47)=0,"",IF(E47&lt;65,"Under 65","≥65"))</f>
        <v/>
      </c>
      <c r="CA47" s="28" t="str">
        <f aca="false">IF(OR(AC47="Yes",AC47="No"),AC47,"")</f>
        <v/>
      </c>
      <c r="CB47" s="28" t="str">
        <f aca="false">IF(OR(AD47="Yes",AD47="No"),AD47,"")</f>
        <v/>
      </c>
      <c r="CC47" s="28" t="str">
        <f aca="false">IF(F47="","",F47)</f>
        <v/>
      </c>
      <c r="CD47" s="27"/>
      <c r="CE47" s="27"/>
    </row>
    <row r="48" customFormat="false" ht="1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7"/>
      <c r="J48" s="28" t="str">
        <f aca="false">IF(AND(N(H48)&gt;0,N(I48)&gt;0),ROUND(I48/(H48/100)^2,1),"")</f>
        <v/>
      </c>
      <c r="K48" s="27"/>
      <c r="L48" s="27"/>
      <c r="M48" s="27"/>
      <c r="N48" s="27"/>
      <c r="O48" s="27"/>
      <c r="P48" s="27"/>
      <c r="Q48" s="27"/>
      <c r="R48" s="29"/>
      <c r="S48" s="29"/>
      <c r="T48" s="27"/>
      <c r="U48" s="28" t="str">
        <f aca="false">IF(N(T48)=0,"",IF(T48&lt;12,"Under 12 months",IF(T48&lt;36,"12-35 months",IF(T48&lt;60,"36-59 months","≥60 months"))))</f>
        <v/>
      </c>
      <c r="V48" s="27"/>
      <c r="W48" s="30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9"/>
      <c r="AT48" s="30"/>
      <c r="AU48" s="30"/>
      <c r="AV48" s="30"/>
      <c r="AW48" s="27"/>
      <c r="AX48" s="27"/>
      <c r="AY48" s="29"/>
      <c r="AZ48" s="27"/>
      <c r="BA48" s="27"/>
      <c r="BB48" s="29"/>
      <c r="BC48" s="30"/>
      <c r="BD48" s="30"/>
      <c r="BE48" s="30"/>
      <c r="BF48" s="27"/>
      <c r="BG48" s="27"/>
      <c r="BH48" s="28" t="str">
        <f aca="false">IF(COUNT(BC48:BE48)=0,"",IF(MIN(BC48:BE48)&lt;=-2.5,"Yes","No"))</f>
        <v/>
      </c>
      <c r="BI48" s="27"/>
      <c r="BJ48" s="29"/>
      <c r="BK48" s="27"/>
      <c r="BL48" s="27"/>
      <c r="BM48" s="27"/>
      <c r="BN48" s="28" t="str">
        <f aca="false">IF(OR(AX48="Yes",BI48="Yes"),"Yes",IF(AND(AX48="No",BI48="No"),"No",IF(AND(AX48="",BI48=""),"","Unknown")))</f>
        <v/>
      </c>
      <c r="BO48" s="31" t="str">
        <f aca="false">IF(COUNT(AY48,BJ48)=0,"",MIN(AY48,BJ48))</f>
        <v/>
      </c>
      <c r="BP48" s="29"/>
      <c r="BQ48" s="29"/>
      <c r="BR48" s="29"/>
      <c r="BS48" s="28" t="str">
        <f aca="false">IF(AND(N(BP48)&gt;0,N(BR48)&gt;0),BR48-BP48,"")</f>
        <v/>
      </c>
      <c r="BT48" s="28" t="str">
        <f aca="false">IF(BS48="","",ROUND(BS48/365.25,2))</f>
        <v/>
      </c>
      <c r="BU48" s="28" t="str">
        <f aca="false">IF(BS48="","",IF(BS48&gt;=730.5,"Yes","No"))</f>
        <v/>
      </c>
      <c r="BV48" s="27"/>
      <c r="BW48" s="29"/>
      <c r="BX48" s="27"/>
      <c r="BY48" s="27"/>
      <c r="BZ48" s="28" t="str">
        <f aca="false">IF(N(E48)=0,"",IF(E48&lt;65,"Under 65","≥65"))</f>
        <v/>
      </c>
      <c r="CA48" s="28" t="str">
        <f aca="false">IF(OR(AC48="Yes",AC48="No"),AC48,"")</f>
        <v/>
      </c>
      <c r="CB48" s="28" t="str">
        <f aca="false">IF(OR(AD48="Yes",AD48="No"),AD48,"")</f>
        <v/>
      </c>
      <c r="CC48" s="28" t="str">
        <f aca="false">IF(F48="","",F48)</f>
        <v/>
      </c>
      <c r="CD48" s="27"/>
      <c r="CE48" s="27"/>
    </row>
    <row r="49" customFormat="false" ht="1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7"/>
      <c r="J49" s="28" t="str">
        <f aca="false">IF(AND(N(H49)&gt;0,N(I49)&gt;0),ROUND(I49/(H49/100)^2,1),"")</f>
        <v/>
      </c>
      <c r="K49" s="27"/>
      <c r="L49" s="27"/>
      <c r="M49" s="27"/>
      <c r="N49" s="27"/>
      <c r="O49" s="27"/>
      <c r="P49" s="27"/>
      <c r="Q49" s="27"/>
      <c r="R49" s="29"/>
      <c r="S49" s="29"/>
      <c r="T49" s="27"/>
      <c r="U49" s="28" t="str">
        <f aca="false">IF(N(T49)=0,"",IF(T49&lt;12,"Under 12 months",IF(T49&lt;36,"12-35 months",IF(T49&lt;60,"36-59 months","≥60 months"))))</f>
        <v/>
      </c>
      <c r="V49" s="27"/>
      <c r="W49" s="30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9"/>
      <c r="AT49" s="30"/>
      <c r="AU49" s="30"/>
      <c r="AV49" s="30"/>
      <c r="AW49" s="27"/>
      <c r="AX49" s="27"/>
      <c r="AY49" s="29"/>
      <c r="AZ49" s="27"/>
      <c r="BA49" s="27"/>
      <c r="BB49" s="29"/>
      <c r="BC49" s="30"/>
      <c r="BD49" s="30"/>
      <c r="BE49" s="30"/>
      <c r="BF49" s="27"/>
      <c r="BG49" s="27"/>
      <c r="BH49" s="28" t="str">
        <f aca="false">IF(COUNT(BC49:BE49)=0,"",IF(MIN(BC49:BE49)&lt;=-2.5,"Yes","No"))</f>
        <v/>
      </c>
      <c r="BI49" s="27"/>
      <c r="BJ49" s="29"/>
      <c r="BK49" s="27"/>
      <c r="BL49" s="27"/>
      <c r="BM49" s="27"/>
      <c r="BN49" s="28" t="str">
        <f aca="false">IF(OR(AX49="Yes",BI49="Yes"),"Yes",IF(AND(AX49="No",BI49="No"),"No",IF(AND(AX49="",BI49=""),"","Unknown")))</f>
        <v/>
      </c>
      <c r="BO49" s="31" t="str">
        <f aca="false">IF(COUNT(AY49,BJ49)=0,"",MIN(AY49,BJ49))</f>
        <v/>
      </c>
      <c r="BP49" s="29"/>
      <c r="BQ49" s="29"/>
      <c r="BR49" s="29"/>
      <c r="BS49" s="28" t="str">
        <f aca="false">IF(AND(N(BP49)&gt;0,N(BR49)&gt;0),BR49-BP49,"")</f>
        <v/>
      </c>
      <c r="BT49" s="28" t="str">
        <f aca="false">IF(BS49="","",ROUND(BS49/365.25,2))</f>
        <v/>
      </c>
      <c r="BU49" s="28" t="str">
        <f aca="false">IF(BS49="","",IF(BS49&gt;=730.5,"Yes","No"))</f>
        <v/>
      </c>
      <c r="BV49" s="27"/>
      <c r="BW49" s="29"/>
      <c r="BX49" s="27"/>
      <c r="BY49" s="27"/>
      <c r="BZ49" s="28" t="str">
        <f aca="false">IF(N(E49)=0,"",IF(E49&lt;65,"Under 65","≥65"))</f>
        <v/>
      </c>
      <c r="CA49" s="28" t="str">
        <f aca="false">IF(OR(AC49="Yes",AC49="No"),AC49,"")</f>
        <v/>
      </c>
      <c r="CB49" s="28" t="str">
        <f aca="false">IF(OR(AD49="Yes",AD49="No"),AD49,"")</f>
        <v/>
      </c>
      <c r="CC49" s="28" t="str">
        <f aca="false">IF(F49="","",F49)</f>
        <v/>
      </c>
      <c r="CD49" s="27"/>
      <c r="CE49" s="27"/>
    </row>
    <row r="50" customFormat="false" ht="1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7"/>
      <c r="J50" s="28" t="str">
        <f aca="false">IF(AND(N(H50)&gt;0,N(I50)&gt;0),ROUND(I50/(H50/100)^2,1),"")</f>
        <v/>
      </c>
      <c r="K50" s="27"/>
      <c r="L50" s="27"/>
      <c r="M50" s="27"/>
      <c r="N50" s="27"/>
      <c r="O50" s="27"/>
      <c r="P50" s="27"/>
      <c r="Q50" s="27"/>
      <c r="R50" s="29"/>
      <c r="S50" s="29"/>
      <c r="T50" s="27"/>
      <c r="U50" s="28" t="str">
        <f aca="false">IF(N(T50)=0,"",IF(T50&lt;12,"Under 12 months",IF(T50&lt;36,"12-35 months",IF(T50&lt;60,"36-59 months","≥60 months"))))</f>
        <v/>
      </c>
      <c r="V50" s="27"/>
      <c r="W50" s="30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9"/>
      <c r="AT50" s="30"/>
      <c r="AU50" s="30"/>
      <c r="AV50" s="30"/>
      <c r="AW50" s="27"/>
      <c r="AX50" s="27"/>
      <c r="AY50" s="29"/>
      <c r="AZ50" s="27"/>
      <c r="BA50" s="27"/>
      <c r="BB50" s="29"/>
      <c r="BC50" s="30"/>
      <c r="BD50" s="30"/>
      <c r="BE50" s="30"/>
      <c r="BF50" s="27"/>
      <c r="BG50" s="27"/>
      <c r="BH50" s="28" t="str">
        <f aca="false">IF(COUNT(BC50:BE50)=0,"",IF(MIN(BC50:BE50)&lt;=-2.5,"Yes","No"))</f>
        <v/>
      </c>
      <c r="BI50" s="27"/>
      <c r="BJ50" s="29"/>
      <c r="BK50" s="27"/>
      <c r="BL50" s="27"/>
      <c r="BM50" s="27"/>
      <c r="BN50" s="28" t="str">
        <f aca="false">IF(OR(AX50="Yes",BI50="Yes"),"Yes",IF(AND(AX50="No",BI50="No"),"No",IF(AND(AX50="",BI50=""),"","Unknown")))</f>
        <v/>
      </c>
      <c r="BO50" s="31" t="str">
        <f aca="false">IF(COUNT(AY50,BJ50)=0,"",MIN(AY50,BJ50))</f>
        <v/>
      </c>
      <c r="BP50" s="29"/>
      <c r="BQ50" s="29"/>
      <c r="BR50" s="29"/>
      <c r="BS50" s="28" t="str">
        <f aca="false">IF(AND(N(BP50)&gt;0,N(BR50)&gt;0),BR50-BP50,"")</f>
        <v/>
      </c>
      <c r="BT50" s="28" t="str">
        <f aca="false">IF(BS50="","",ROUND(BS50/365.25,2))</f>
        <v/>
      </c>
      <c r="BU50" s="28" t="str">
        <f aca="false">IF(BS50="","",IF(BS50&gt;=730.5,"Yes","No"))</f>
        <v/>
      </c>
      <c r="BV50" s="27"/>
      <c r="BW50" s="29"/>
      <c r="BX50" s="27"/>
      <c r="BY50" s="27"/>
      <c r="BZ50" s="28" t="str">
        <f aca="false">IF(N(E50)=0,"",IF(E50&lt;65,"Under 65","≥65"))</f>
        <v/>
      </c>
      <c r="CA50" s="28" t="str">
        <f aca="false">IF(OR(AC50="Yes",AC50="No"),AC50,"")</f>
        <v/>
      </c>
      <c r="CB50" s="28" t="str">
        <f aca="false">IF(OR(AD50="Yes",AD50="No"),AD50,"")</f>
        <v/>
      </c>
      <c r="CC50" s="28" t="str">
        <f aca="false">IF(F50="","",F50)</f>
        <v/>
      </c>
      <c r="CD50" s="27"/>
      <c r="CE50" s="27"/>
    </row>
    <row r="51" customFormat="false" ht="15" hidden="false" customHeight="false" outlineLevel="0" collapsed="false">
      <c r="A51" s="27"/>
      <c r="B51" s="27"/>
      <c r="C51" s="27"/>
      <c r="D51" s="27"/>
      <c r="E51" s="27"/>
      <c r="F51" s="27"/>
      <c r="G51" s="27"/>
      <c r="H51" s="27"/>
      <c r="I51" s="27"/>
      <c r="J51" s="28" t="str">
        <f aca="false">IF(AND(N(H51)&gt;0,N(I51)&gt;0),ROUND(I51/(H51/100)^2,1),"")</f>
        <v/>
      </c>
      <c r="K51" s="27"/>
      <c r="L51" s="27"/>
      <c r="M51" s="27"/>
      <c r="N51" s="27"/>
      <c r="O51" s="27"/>
      <c r="P51" s="27"/>
      <c r="Q51" s="27"/>
      <c r="R51" s="29"/>
      <c r="S51" s="29"/>
      <c r="T51" s="27"/>
      <c r="U51" s="28" t="str">
        <f aca="false">IF(N(T51)=0,"",IF(T51&lt;12,"Under 12 months",IF(T51&lt;36,"12-35 months",IF(T51&lt;60,"36-59 months","≥60 months"))))</f>
        <v/>
      </c>
      <c r="V51" s="27"/>
      <c r="W51" s="30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9"/>
      <c r="AT51" s="30"/>
      <c r="AU51" s="30"/>
      <c r="AV51" s="30"/>
      <c r="AW51" s="27"/>
      <c r="AX51" s="27"/>
      <c r="AY51" s="29"/>
      <c r="AZ51" s="27"/>
      <c r="BA51" s="27"/>
      <c r="BB51" s="29"/>
      <c r="BC51" s="30"/>
      <c r="BD51" s="30"/>
      <c r="BE51" s="30"/>
      <c r="BF51" s="27"/>
      <c r="BG51" s="27"/>
      <c r="BH51" s="28" t="str">
        <f aca="false">IF(COUNT(BC51:BE51)=0,"",IF(MIN(BC51:BE51)&lt;=-2.5,"Yes","No"))</f>
        <v/>
      </c>
      <c r="BI51" s="27"/>
      <c r="BJ51" s="29"/>
      <c r="BK51" s="27"/>
      <c r="BL51" s="27"/>
      <c r="BM51" s="27"/>
      <c r="BN51" s="28" t="str">
        <f aca="false">IF(OR(AX51="Yes",BI51="Yes"),"Yes",IF(AND(AX51="No",BI51="No"),"No",IF(AND(AX51="",BI51=""),"","Unknown")))</f>
        <v/>
      </c>
      <c r="BO51" s="31" t="str">
        <f aca="false">IF(COUNT(AY51,BJ51)=0,"",MIN(AY51,BJ51))</f>
        <v/>
      </c>
      <c r="BP51" s="29"/>
      <c r="BQ51" s="29"/>
      <c r="BR51" s="29"/>
      <c r="BS51" s="28" t="str">
        <f aca="false">IF(AND(N(BP51)&gt;0,N(BR51)&gt;0),BR51-BP51,"")</f>
        <v/>
      </c>
      <c r="BT51" s="28" t="str">
        <f aca="false">IF(BS51="","",ROUND(BS51/365.25,2))</f>
        <v/>
      </c>
      <c r="BU51" s="28" t="str">
        <f aca="false">IF(BS51="","",IF(BS51&gt;=730.5,"Yes","No"))</f>
        <v/>
      </c>
      <c r="BV51" s="27"/>
      <c r="BW51" s="29"/>
      <c r="BX51" s="27"/>
      <c r="BY51" s="27"/>
      <c r="BZ51" s="28" t="str">
        <f aca="false">IF(N(E51)=0,"",IF(E51&lt;65,"Under 65","≥65"))</f>
        <v/>
      </c>
      <c r="CA51" s="28" t="str">
        <f aca="false">IF(OR(AC51="Yes",AC51="No"),AC51,"")</f>
        <v/>
      </c>
      <c r="CB51" s="28" t="str">
        <f aca="false">IF(OR(AD51="Yes",AD51="No"),AD51,"")</f>
        <v/>
      </c>
      <c r="CC51" s="28" t="str">
        <f aca="false">IF(F51="","",F51)</f>
        <v/>
      </c>
      <c r="CD51" s="27"/>
      <c r="CE51" s="27"/>
    </row>
    <row r="52" customFormat="false" ht="15" hidden="false" customHeight="false" outlineLevel="0" collapsed="false">
      <c r="A52" s="27"/>
      <c r="B52" s="27"/>
      <c r="C52" s="27"/>
      <c r="D52" s="27"/>
      <c r="E52" s="27"/>
      <c r="F52" s="27"/>
      <c r="G52" s="27"/>
      <c r="H52" s="27"/>
      <c r="I52" s="27"/>
      <c r="J52" s="28" t="str">
        <f aca="false">IF(AND(N(H52)&gt;0,N(I52)&gt;0),ROUND(I52/(H52/100)^2,1),"")</f>
        <v/>
      </c>
      <c r="K52" s="27"/>
      <c r="L52" s="27"/>
      <c r="M52" s="27"/>
      <c r="N52" s="27"/>
      <c r="O52" s="27"/>
      <c r="P52" s="27"/>
      <c r="Q52" s="27"/>
      <c r="R52" s="29"/>
      <c r="S52" s="29"/>
      <c r="T52" s="27"/>
      <c r="U52" s="28" t="str">
        <f aca="false">IF(N(T52)=0,"",IF(T52&lt;12,"Under 12 months",IF(T52&lt;36,"12-35 months",IF(T52&lt;60,"36-59 months","≥60 months"))))</f>
        <v/>
      </c>
      <c r="V52" s="27"/>
      <c r="W52" s="30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9"/>
      <c r="AT52" s="30"/>
      <c r="AU52" s="30"/>
      <c r="AV52" s="30"/>
      <c r="AW52" s="27"/>
      <c r="AX52" s="27"/>
      <c r="AY52" s="29"/>
      <c r="AZ52" s="27"/>
      <c r="BA52" s="27"/>
      <c r="BB52" s="29"/>
      <c r="BC52" s="30"/>
      <c r="BD52" s="30"/>
      <c r="BE52" s="30"/>
      <c r="BF52" s="27"/>
      <c r="BG52" s="27"/>
      <c r="BH52" s="28" t="str">
        <f aca="false">IF(COUNT(BC52:BE52)=0,"",IF(MIN(BC52:BE52)&lt;=-2.5,"Yes","No"))</f>
        <v/>
      </c>
      <c r="BI52" s="27"/>
      <c r="BJ52" s="29"/>
      <c r="BK52" s="27"/>
      <c r="BL52" s="27"/>
      <c r="BM52" s="27"/>
      <c r="BN52" s="28" t="str">
        <f aca="false">IF(OR(AX52="Yes",BI52="Yes"),"Yes",IF(AND(AX52="No",BI52="No"),"No",IF(AND(AX52="",BI52=""),"","Unknown")))</f>
        <v/>
      </c>
      <c r="BO52" s="31" t="str">
        <f aca="false">IF(COUNT(AY52,BJ52)=0,"",MIN(AY52,BJ52))</f>
        <v/>
      </c>
      <c r="BP52" s="29"/>
      <c r="BQ52" s="29"/>
      <c r="BR52" s="29"/>
      <c r="BS52" s="28" t="str">
        <f aca="false">IF(AND(N(BP52)&gt;0,N(BR52)&gt;0),BR52-BP52,"")</f>
        <v/>
      </c>
      <c r="BT52" s="28" t="str">
        <f aca="false">IF(BS52="","",ROUND(BS52/365.25,2))</f>
        <v/>
      </c>
      <c r="BU52" s="28" t="str">
        <f aca="false">IF(BS52="","",IF(BS52&gt;=730.5,"Yes","No"))</f>
        <v/>
      </c>
      <c r="BV52" s="27"/>
      <c r="BW52" s="29"/>
      <c r="BX52" s="27"/>
      <c r="BY52" s="27"/>
      <c r="BZ52" s="28" t="str">
        <f aca="false">IF(N(E52)=0,"",IF(E52&lt;65,"Under 65","≥65"))</f>
        <v/>
      </c>
      <c r="CA52" s="28" t="str">
        <f aca="false">IF(OR(AC52="Yes",AC52="No"),AC52,"")</f>
        <v/>
      </c>
      <c r="CB52" s="28" t="str">
        <f aca="false">IF(OR(AD52="Yes",AD52="No"),AD52,"")</f>
        <v/>
      </c>
      <c r="CC52" s="28" t="str">
        <f aca="false">IF(F52="","",F52)</f>
        <v/>
      </c>
      <c r="CD52" s="27"/>
      <c r="CE52" s="27"/>
    </row>
    <row r="53" customFormat="false" ht="15" hidden="false" customHeight="false" outlineLevel="0" collapsed="false">
      <c r="A53" s="27"/>
      <c r="B53" s="27"/>
      <c r="C53" s="27"/>
      <c r="D53" s="27"/>
      <c r="E53" s="27"/>
      <c r="F53" s="27"/>
      <c r="G53" s="27"/>
      <c r="H53" s="27"/>
      <c r="I53" s="27"/>
      <c r="J53" s="28" t="str">
        <f aca="false">IF(AND(N(H53)&gt;0,N(I53)&gt;0),ROUND(I53/(H53/100)^2,1),"")</f>
        <v/>
      </c>
      <c r="K53" s="27"/>
      <c r="L53" s="27"/>
      <c r="M53" s="27"/>
      <c r="N53" s="27"/>
      <c r="O53" s="27"/>
      <c r="P53" s="27"/>
      <c r="Q53" s="27"/>
      <c r="R53" s="29"/>
      <c r="S53" s="29"/>
      <c r="T53" s="27"/>
      <c r="U53" s="28" t="str">
        <f aca="false">IF(N(T53)=0,"",IF(T53&lt;12,"Under 12 months",IF(T53&lt;36,"12-35 months",IF(T53&lt;60,"36-59 months","≥60 months"))))</f>
        <v/>
      </c>
      <c r="V53" s="27"/>
      <c r="W53" s="30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9"/>
      <c r="AT53" s="30"/>
      <c r="AU53" s="30"/>
      <c r="AV53" s="30"/>
      <c r="AW53" s="27"/>
      <c r="AX53" s="27"/>
      <c r="AY53" s="29"/>
      <c r="AZ53" s="27"/>
      <c r="BA53" s="27"/>
      <c r="BB53" s="29"/>
      <c r="BC53" s="30"/>
      <c r="BD53" s="30"/>
      <c r="BE53" s="30"/>
      <c r="BF53" s="27"/>
      <c r="BG53" s="27"/>
      <c r="BH53" s="28" t="str">
        <f aca="false">IF(COUNT(BC53:BE53)=0,"",IF(MIN(BC53:BE53)&lt;=-2.5,"Yes","No"))</f>
        <v/>
      </c>
      <c r="BI53" s="27"/>
      <c r="BJ53" s="29"/>
      <c r="BK53" s="27"/>
      <c r="BL53" s="27"/>
      <c r="BM53" s="27"/>
      <c r="BN53" s="28" t="str">
        <f aca="false">IF(OR(AX53="Yes",BI53="Yes"),"Yes",IF(AND(AX53="No",BI53="No"),"No",IF(AND(AX53="",BI53=""),"","Unknown")))</f>
        <v/>
      </c>
      <c r="BO53" s="31" t="str">
        <f aca="false">IF(COUNT(AY53,BJ53)=0,"",MIN(AY53,BJ53))</f>
        <v/>
      </c>
      <c r="BP53" s="29"/>
      <c r="BQ53" s="29"/>
      <c r="BR53" s="29"/>
      <c r="BS53" s="28" t="str">
        <f aca="false">IF(AND(N(BP53)&gt;0,N(BR53)&gt;0),BR53-BP53,"")</f>
        <v/>
      </c>
      <c r="BT53" s="28" t="str">
        <f aca="false">IF(BS53="","",ROUND(BS53/365.25,2))</f>
        <v/>
      </c>
      <c r="BU53" s="28" t="str">
        <f aca="false">IF(BS53="","",IF(BS53&gt;=730.5,"Yes","No"))</f>
        <v/>
      </c>
      <c r="BV53" s="27"/>
      <c r="BW53" s="29"/>
      <c r="BX53" s="27"/>
      <c r="BY53" s="27"/>
      <c r="BZ53" s="28" t="str">
        <f aca="false">IF(N(E53)=0,"",IF(E53&lt;65,"Under 65","≥65"))</f>
        <v/>
      </c>
      <c r="CA53" s="28" t="str">
        <f aca="false">IF(OR(AC53="Yes",AC53="No"),AC53,"")</f>
        <v/>
      </c>
      <c r="CB53" s="28" t="str">
        <f aca="false">IF(OR(AD53="Yes",AD53="No"),AD53,"")</f>
        <v/>
      </c>
      <c r="CC53" s="28" t="str">
        <f aca="false">IF(F53="","",F53)</f>
        <v/>
      </c>
      <c r="CD53" s="27"/>
      <c r="CE53" s="27"/>
    </row>
    <row r="54" customFormat="false" ht="15" hidden="false" customHeight="false" outlineLevel="0" collapsed="false">
      <c r="A54" s="27"/>
      <c r="B54" s="27"/>
      <c r="C54" s="27"/>
      <c r="D54" s="27"/>
      <c r="E54" s="27"/>
      <c r="F54" s="27"/>
      <c r="G54" s="27"/>
      <c r="H54" s="27"/>
      <c r="I54" s="27"/>
      <c r="J54" s="28" t="str">
        <f aca="false">IF(AND(N(H54)&gt;0,N(I54)&gt;0),ROUND(I54/(H54/100)^2,1),"")</f>
        <v/>
      </c>
      <c r="K54" s="27"/>
      <c r="L54" s="27"/>
      <c r="M54" s="27"/>
      <c r="N54" s="27"/>
      <c r="O54" s="27"/>
      <c r="P54" s="27"/>
      <c r="Q54" s="27"/>
      <c r="R54" s="29"/>
      <c r="S54" s="29"/>
      <c r="T54" s="27"/>
      <c r="U54" s="28" t="str">
        <f aca="false">IF(N(T54)=0,"",IF(T54&lt;12,"Under 12 months",IF(T54&lt;36,"12-35 months",IF(T54&lt;60,"36-59 months","≥60 months"))))</f>
        <v/>
      </c>
      <c r="V54" s="27"/>
      <c r="W54" s="30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9"/>
      <c r="AT54" s="30"/>
      <c r="AU54" s="30"/>
      <c r="AV54" s="30"/>
      <c r="AW54" s="27"/>
      <c r="AX54" s="27"/>
      <c r="AY54" s="29"/>
      <c r="AZ54" s="27"/>
      <c r="BA54" s="27"/>
      <c r="BB54" s="29"/>
      <c r="BC54" s="30"/>
      <c r="BD54" s="30"/>
      <c r="BE54" s="30"/>
      <c r="BF54" s="27"/>
      <c r="BG54" s="27"/>
      <c r="BH54" s="28" t="str">
        <f aca="false">IF(COUNT(BC54:BE54)=0,"",IF(MIN(BC54:BE54)&lt;=-2.5,"Yes","No"))</f>
        <v/>
      </c>
      <c r="BI54" s="27"/>
      <c r="BJ54" s="29"/>
      <c r="BK54" s="27"/>
      <c r="BL54" s="27"/>
      <c r="BM54" s="27"/>
      <c r="BN54" s="28" t="str">
        <f aca="false">IF(OR(AX54="Yes",BI54="Yes"),"Yes",IF(AND(AX54="No",BI54="No"),"No",IF(AND(AX54="",BI54=""),"","Unknown")))</f>
        <v/>
      </c>
      <c r="BO54" s="31" t="str">
        <f aca="false">IF(COUNT(AY54,BJ54)=0,"",MIN(AY54,BJ54))</f>
        <v/>
      </c>
      <c r="BP54" s="29"/>
      <c r="BQ54" s="29"/>
      <c r="BR54" s="29"/>
      <c r="BS54" s="28" t="str">
        <f aca="false">IF(AND(N(BP54)&gt;0,N(BR54)&gt;0),BR54-BP54,"")</f>
        <v/>
      </c>
      <c r="BT54" s="28" t="str">
        <f aca="false">IF(BS54="","",ROUND(BS54/365.25,2))</f>
        <v/>
      </c>
      <c r="BU54" s="28" t="str">
        <f aca="false">IF(BS54="","",IF(BS54&gt;=730.5,"Yes","No"))</f>
        <v/>
      </c>
      <c r="BV54" s="27"/>
      <c r="BW54" s="29"/>
      <c r="BX54" s="27"/>
      <c r="BY54" s="27"/>
      <c r="BZ54" s="28" t="str">
        <f aca="false">IF(N(E54)=0,"",IF(E54&lt;65,"Under 65","≥65"))</f>
        <v/>
      </c>
      <c r="CA54" s="28" t="str">
        <f aca="false">IF(OR(AC54="Yes",AC54="No"),AC54,"")</f>
        <v/>
      </c>
      <c r="CB54" s="28" t="str">
        <f aca="false">IF(OR(AD54="Yes",AD54="No"),AD54,"")</f>
        <v/>
      </c>
      <c r="CC54" s="28" t="str">
        <f aca="false">IF(F54="","",F54)</f>
        <v/>
      </c>
      <c r="CD54" s="27"/>
      <c r="CE54" s="27"/>
    </row>
    <row r="55" customFormat="false" ht="15" hidden="false" customHeight="false" outlineLevel="0" collapsed="false">
      <c r="A55" s="27"/>
      <c r="B55" s="27"/>
      <c r="C55" s="27"/>
      <c r="D55" s="27"/>
      <c r="E55" s="27"/>
      <c r="F55" s="27"/>
      <c r="G55" s="27"/>
      <c r="H55" s="27"/>
      <c r="I55" s="27"/>
      <c r="J55" s="28" t="str">
        <f aca="false">IF(AND(N(H55)&gt;0,N(I55)&gt;0),ROUND(I55/(H55/100)^2,1),"")</f>
        <v/>
      </c>
      <c r="K55" s="27"/>
      <c r="L55" s="27"/>
      <c r="M55" s="27"/>
      <c r="N55" s="27"/>
      <c r="O55" s="27"/>
      <c r="P55" s="27"/>
      <c r="Q55" s="27"/>
      <c r="R55" s="29"/>
      <c r="S55" s="29"/>
      <c r="T55" s="27"/>
      <c r="U55" s="28" t="str">
        <f aca="false">IF(N(T55)=0,"",IF(T55&lt;12,"Under 12 months",IF(T55&lt;36,"12-35 months",IF(T55&lt;60,"36-59 months","≥60 months"))))</f>
        <v/>
      </c>
      <c r="V55" s="27"/>
      <c r="W55" s="30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9"/>
      <c r="AT55" s="30"/>
      <c r="AU55" s="30"/>
      <c r="AV55" s="30"/>
      <c r="AW55" s="27"/>
      <c r="AX55" s="27"/>
      <c r="AY55" s="29"/>
      <c r="AZ55" s="27"/>
      <c r="BA55" s="27"/>
      <c r="BB55" s="29"/>
      <c r="BC55" s="30"/>
      <c r="BD55" s="30"/>
      <c r="BE55" s="30"/>
      <c r="BF55" s="27"/>
      <c r="BG55" s="27"/>
      <c r="BH55" s="28" t="str">
        <f aca="false">IF(COUNT(BC55:BE55)=0,"",IF(MIN(BC55:BE55)&lt;=-2.5,"Yes","No"))</f>
        <v/>
      </c>
      <c r="BI55" s="27"/>
      <c r="BJ55" s="29"/>
      <c r="BK55" s="27"/>
      <c r="BL55" s="27"/>
      <c r="BM55" s="27"/>
      <c r="BN55" s="28" t="str">
        <f aca="false">IF(OR(AX55="Yes",BI55="Yes"),"Yes",IF(AND(AX55="No",BI55="No"),"No",IF(AND(AX55="",BI55=""),"","Unknown")))</f>
        <v/>
      </c>
      <c r="BO55" s="31" t="str">
        <f aca="false">IF(COUNT(AY55,BJ55)=0,"",MIN(AY55,BJ55))</f>
        <v/>
      </c>
      <c r="BP55" s="29"/>
      <c r="BQ55" s="29"/>
      <c r="BR55" s="29"/>
      <c r="BS55" s="28" t="str">
        <f aca="false">IF(AND(N(BP55)&gt;0,N(BR55)&gt;0),BR55-BP55,"")</f>
        <v/>
      </c>
      <c r="BT55" s="28" t="str">
        <f aca="false">IF(BS55="","",ROUND(BS55/365.25,2))</f>
        <v/>
      </c>
      <c r="BU55" s="28" t="str">
        <f aca="false">IF(BS55="","",IF(BS55&gt;=730.5,"Yes","No"))</f>
        <v/>
      </c>
      <c r="BV55" s="27"/>
      <c r="BW55" s="29"/>
      <c r="BX55" s="27"/>
      <c r="BY55" s="27"/>
      <c r="BZ55" s="28" t="str">
        <f aca="false">IF(N(E55)=0,"",IF(E55&lt;65,"Under 65","≥65"))</f>
        <v/>
      </c>
      <c r="CA55" s="28" t="str">
        <f aca="false">IF(OR(AC55="Yes",AC55="No"),AC55,"")</f>
        <v/>
      </c>
      <c r="CB55" s="28" t="str">
        <f aca="false">IF(OR(AD55="Yes",AD55="No"),AD55,"")</f>
        <v/>
      </c>
      <c r="CC55" s="28" t="str">
        <f aca="false">IF(F55="","",F55)</f>
        <v/>
      </c>
      <c r="CD55" s="27"/>
      <c r="CE55" s="27"/>
    </row>
    <row r="56" customFormat="false" ht="15" hidden="false" customHeight="false" outlineLevel="0" collapsed="false">
      <c r="A56" s="27"/>
      <c r="B56" s="27"/>
      <c r="C56" s="27"/>
      <c r="D56" s="27"/>
      <c r="E56" s="27"/>
      <c r="F56" s="27"/>
      <c r="G56" s="27"/>
      <c r="H56" s="27"/>
      <c r="I56" s="27"/>
      <c r="J56" s="28" t="str">
        <f aca="false">IF(AND(N(H56)&gt;0,N(I56)&gt;0),ROUND(I56/(H56/100)^2,1),"")</f>
        <v/>
      </c>
      <c r="K56" s="27"/>
      <c r="L56" s="27"/>
      <c r="M56" s="27"/>
      <c r="N56" s="27"/>
      <c r="O56" s="27"/>
      <c r="P56" s="27"/>
      <c r="Q56" s="27"/>
      <c r="R56" s="29"/>
      <c r="S56" s="29"/>
      <c r="T56" s="27"/>
      <c r="U56" s="28" t="str">
        <f aca="false">IF(N(T56)=0,"",IF(T56&lt;12,"Under 12 months",IF(T56&lt;36,"12-35 months",IF(T56&lt;60,"36-59 months","≥60 months"))))</f>
        <v/>
      </c>
      <c r="V56" s="27"/>
      <c r="W56" s="30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9"/>
      <c r="AT56" s="30"/>
      <c r="AU56" s="30"/>
      <c r="AV56" s="30"/>
      <c r="AW56" s="27"/>
      <c r="AX56" s="27"/>
      <c r="AY56" s="29"/>
      <c r="AZ56" s="27"/>
      <c r="BA56" s="27"/>
      <c r="BB56" s="29"/>
      <c r="BC56" s="30"/>
      <c r="BD56" s="30"/>
      <c r="BE56" s="30"/>
      <c r="BF56" s="27"/>
      <c r="BG56" s="27"/>
      <c r="BH56" s="28" t="str">
        <f aca="false">IF(COUNT(BC56:BE56)=0,"",IF(MIN(BC56:BE56)&lt;=-2.5,"Yes","No"))</f>
        <v/>
      </c>
      <c r="BI56" s="27"/>
      <c r="BJ56" s="29"/>
      <c r="BK56" s="27"/>
      <c r="BL56" s="27"/>
      <c r="BM56" s="27"/>
      <c r="BN56" s="28" t="str">
        <f aca="false">IF(OR(AX56="Yes",BI56="Yes"),"Yes",IF(AND(AX56="No",BI56="No"),"No",IF(AND(AX56="",BI56=""),"","Unknown")))</f>
        <v/>
      </c>
      <c r="BO56" s="31" t="str">
        <f aca="false">IF(COUNT(AY56,BJ56)=0,"",MIN(AY56,BJ56))</f>
        <v/>
      </c>
      <c r="BP56" s="29"/>
      <c r="BQ56" s="29"/>
      <c r="BR56" s="29"/>
      <c r="BS56" s="28" t="str">
        <f aca="false">IF(AND(N(BP56)&gt;0,N(BR56)&gt;0),BR56-BP56,"")</f>
        <v/>
      </c>
      <c r="BT56" s="28" t="str">
        <f aca="false">IF(BS56="","",ROUND(BS56/365.25,2))</f>
        <v/>
      </c>
      <c r="BU56" s="28" t="str">
        <f aca="false">IF(BS56="","",IF(BS56&gt;=730.5,"Yes","No"))</f>
        <v/>
      </c>
      <c r="BV56" s="27"/>
      <c r="BW56" s="29"/>
      <c r="BX56" s="27"/>
      <c r="BY56" s="27"/>
      <c r="BZ56" s="28" t="str">
        <f aca="false">IF(N(E56)=0,"",IF(E56&lt;65,"Under 65","≥65"))</f>
        <v/>
      </c>
      <c r="CA56" s="28" t="str">
        <f aca="false">IF(OR(AC56="Yes",AC56="No"),AC56,"")</f>
        <v/>
      </c>
      <c r="CB56" s="28" t="str">
        <f aca="false">IF(OR(AD56="Yes",AD56="No"),AD56,"")</f>
        <v/>
      </c>
      <c r="CC56" s="28" t="str">
        <f aca="false">IF(F56="","",F56)</f>
        <v/>
      </c>
      <c r="CD56" s="27"/>
      <c r="CE56" s="27"/>
    </row>
    <row r="57" customFormat="false" ht="15" hidden="false" customHeight="false" outlineLevel="0" collapsed="false">
      <c r="A57" s="27"/>
      <c r="B57" s="27"/>
      <c r="C57" s="27"/>
      <c r="D57" s="27"/>
      <c r="E57" s="27"/>
      <c r="F57" s="27"/>
      <c r="G57" s="27"/>
      <c r="H57" s="27"/>
      <c r="I57" s="27"/>
      <c r="J57" s="28" t="str">
        <f aca="false">IF(AND(N(H57)&gt;0,N(I57)&gt;0),ROUND(I57/(H57/100)^2,1),"")</f>
        <v/>
      </c>
      <c r="K57" s="27"/>
      <c r="L57" s="27"/>
      <c r="M57" s="27"/>
      <c r="N57" s="27"/>
      <c r="O57" s="27"/>
      <c r="P57" s="27"/>
      <c r="Q57" s="27"/>
      <c r="R57" s="29"/>
      <c r="S57" s="29"/>
      <c r="T57" s="27"/>
      <c r="U57" s="28" t="str">
        <f aca="false">IF(N(T57)=0,"",IF(T57&lt;12,"Under 12 months",IF(T57&lt;36,"12-35 months",IF(T57&lt;60,"36-59 months","≥60 months"))))</f>
        <v/>
      </c>
      <c r="V57" s="27"/>
      <c r="W57" s="30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9"/>
      <c r="AT57" s="30"/>
      <c r="AU57" s="30"/>
      <c r="AV57" s="30"/>
      <c r="AW57" s="27"/>
      <c r="AX57" s="27"/>
      <c r="AY57" s="29"/>
      <c r="AZ57" s="27"/>
      <c r="BA57" s="27"/>
      <c r="BB57" s="29"/>
      <c r="BC57" s="30"/>
      <c r="BD57" s="30"/>
      <c r="BE57" s="30"/>
      <c r="BF57" s="27"/>
      <c r="BG57" s="27"/>
      <c r="BH57" s="28" t="str">
        <f aca="false">IF(COUNT(BC57:BE57)=0,"",IF(MIN(BC57:BE57)&lt;=-2.5,"Yes","No"))</f>
        <v/>
      </c>
      <c r="BI57" s="27"/>
      <c r="BJ57" s="29"/>
      <c r="BK57" s="27"/>
      <c r="BL57" s="27"/>
      <c r="BM57" s="27"/>
      <c r="BN57" s="28" t="str">
        <f aca="false">IF(OR(AX57="Yes",BI57="Yes"),"Yes",IF(AND(AX57="No",BI57="No"),"No",IF(AND(AX57="",BI57=""),"","Unknown")))</f>
        <v/>
      </c>
      <c r="BO57" s="31" t="str">
        <f aca="false">IF(COUNT(AY57,BJ57)=0,"",MIN(AY57,BJ57))</f>
        <v/>
      </c>
      <c r="BP57" s="29"/>
      <c r="BQ57" s="29"/>
      <c r="BR57" s="29"/>
      <c r="BS57" s="28" t="str">
        <f aca="false">IF(AND(N(BP57)&gt;0,N(BR57)&gt;0),BR57-BP57,"")</f>
        <v/>
      </c>
      <c r="BT57" s="28" t="str">
        <f aca="false">IF(BS57="","",ROUND(BS57/365.25,2))</f>
        <v/>
      </c>
      <c r="BU57" s="28" t="str">
        <f aca="false">IF(BS57="","",IF(BS57&gt;=730.5,"Yes","No"))</f>
        <v/>
      </c>
      <c r="BV57" s="27"/>
      <c r="BW57" s="29"/>
      <c r="BX57" s="27"/>
      <c r="BY57" s="27"/>
      <c r="BZ57" s="28" t="str">
        <f aca="false">IF(N(E57)=0,"",IF(E57&lt;65,"Under 65","≥65"))</f>
        <v/>
      </c>
      <c r="CA57" s="28" t="str">
        <f aca="false">IF(OR(AC57="Yes",AC57="No"),AC57,"")</f>
        <v/>
      </c>
      <c r="CB57" s="28" t="str">
        <f aca="false">IF(OR(AD57="Yes",AD57="No"),AD57,"")</f>
        <v/>
      </c>
      <c r="CC57" s="28" t="str">
        <f aca="false">IF(F57="","",F57)</f>
        <v/>
      </c>
      <c r="CD57" s="27"/>
      <c r="CE57" s="27"/>
    </row>
    <row r="58" customFormat="false" ht="15" hidden="false" customHeight="false" outlineLevel="0" collapsed="false">
      <c r="A58" s="27"/>
      <c r="B58" s="27"/>
      <c r="C58" s="27"/>
      <c r="D58" s="27"/>
      <c r="E58" s="27"/>
      <c r="F58" s="27"/>
      <c r="G58" s="27"/>
      <c r="H58" s="27"/>
      <c r="I58" s="27"/>
      <c r="J58" s="28" t="str">
        <f aca="false">IF(AND(N(H58)&gt;0,N(I58)&gt;0),ROUND(I58/(H58/100)^2,1),"")</f>
        <v/>
      </c>
      <c r="K58" s="27"/>
      <c r="L58" s="27"/>
      <c r="M58" s="27"/>
      <c r="N58" s="27"/>
      <c r="O58" s="27"/>
      <c r="P58" s="27"/>
      <c r="Q58" s="27"/>
      <c r="R58" s="29"/>
      <c r="S58" s="29"/>
      <c r="T58" s="27"/>
      <c r="U58" s="28" t="str">
        <f aca="false">IF(N(T58)=0,"",IF(T58&lt;12,"Under 12 months",IF(T58&lt;36,"12-35 months",IF(T58&lt;60,"36-59 months","≥60 months"))))</f>
        <v/>
      </c>
      <c r="V58" s="27"/>
      <c r="W58" s="30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9"/>
      <c r="AT58" s="30"/>
      <c r="AU58" s="30"/>
      <c r="AV58" s="30"/>
      <c r="AW58" s="27"/>
      <c r="AX58" s="27"/>
      <c r="AY58" s="29"/>
      <c r="AZ58" s="27"/>
      <c r="BA58" s="27"/>
      <c r="BB58" s="29"/>
      <c r="BC58" s="30"/>
      <c r="BD58" s="30"/>
      <c r="BE58" s="30"/>
      <c r="BF58" s="27"/>
      <c r="BG58" s="27"/>
      <c r="BH58" s="28" t="str">
        <f aca="false">IF(COUNT(BC58:BE58)=0,"",IF(MIN(BC58:BE58)&lt;=-2.5,"Yes","No"))</f>
        <v/>
      </c>
      <c r="BI58" s="27"/>
      <c r="BJ58" s="29"/>
      <c r="BK58" s="27"/>
      <c r="BL58" s="27"/>
      <c r="BM58" s="27"/>
      <c r="BN58" s="28" t="str">
        <f aca="false">IF(OR(AX58="Yes",BI58="Yes"),"Yes",IF(AND(AX58="No",BI58="No"),"No",IF(AND(AX58="",BI58=""),"","Unknown")))</f>
        <v/>
      </c>
      <c r="BO58" s="31" t="str">
        <f aca="false">IF(COUNT(AY58,BJ58)=0,"",MIN(AY58,BJ58))</f>
        <v/>
      </c>
      <c r="BP58" s="29"/>
      <c r="BQ58" s="29"/>
      <c r="BR58" s="29"/>
      <c r="BS58" s="28" t="str">
        <f aca="false">IF(AND(N(BP58)&gt;0,N(BR58)&gt;0),BR58-BP58,"")</f>
        <v/>
      </c>
      <c r="BT58" s="28" t="str">
        <f aca="false">IF(BS58="","",ROUND(BS58/365.25,2))</f>
        <v/>
      </c>
      <c r="BU58" s="28" t="str">
        <f aca="false">IF(BS58="","",IF(BS58&gt;=730.5,"Yes","No"))</f>
        <v/>
      </c>
      <c r="BV58" s="27"/>
      <c r="BW58" s="29"/>
      <c r="BX58" s="27"/>
      <c r="BY58" s="27"/>
      <c r="BZ58" s="28" t="str">
        <f aca="false">IF(N(E58)=0,"",IF(E58&lt;65,"Under 65","≥65"))</f>
        <v/>
      </c>
      <c r="CA58" s="28" t="str">
        <f aca="false">IF(OR(AC58="Yes",AC58="No"),AC58,"")</f>
        <v/>
      </c>
      <c r="CB58" s="28" t="str">
        <f aca="false">IF(OR(AD58="Yes",AD58="No"),AD58,"")</f>
        <v/>
      </c>
      <c r="CC58" s="28" t="str">
        <f aca="false">IF(F58="","",F58)</f>
        <v/>
      </c>
      <c r="CD58" s="27"/>
      <c r="CE58" s="27"/>
    </row>
    <row r="59" customFormat="false" ht="15" hidden="false" customHeight="false" outlineLevel="0" collapsed="false">
      <c r="A59" s="27"/>
      <c r="B59" s="27"/>
      <c r="C59" s="27"/>
      <c r="D59" s="27"/>
      <c r="E59" s="27"/>
      <c r="F59" s="27"/>
      <c r="G59" s="27"/>
      <c r="H59" s="27"/>
      <c r="I59" s="27"/>
      <c r="J59" s="28" t="str">
        <f aca="false">IF(AND(N(H59)&gt;0,N(I59)&gt;0),ROUND(I59/(H59/100)^2,1),"")</f>
        <v/>
      </c>
      <c r="K59" s="27"/>
      <c r="L59" s="27"/>
      <c r="M59" s="27"/>
      <c r="N59" s="27"/>
      <c r="O59" s="27"/>
      <c r="P59" s="27"/>
      <c r="Q59" s="27"/>
      <c r="R59" s="29"/>
      <c r="S59" s="29"/>
      <c r="T59" s="27"/>
      <c r="U59" s="28" t="str">
        <f aca="false">IF(N(T59)=0,"",IF(T59&lt;12,"Under 12 months",IF(T59&lt;36,"12-35 months",IF(T59&lt;60,"36-59 months","≥60 months"))))</f>
        <v/>
      </c>
      <c r="V59" s="27"/>
      <c r="W59" s="30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9"/>
      <c r="AT59" s="30"/>
      <c r="AU59" s="30"/>
      <c r="AV59" s="30"/>
      <c r="AW59" s="27"/>
      <c r="AX59" s="27"/>
      <c r="AY59" s="29"/>
      <c r="AZ59" s="27"/>
      <c r="BA59" s="27"/>
      <c r="BB59" s="29"/>
      <c r="BC59" s="30"/>
      <c r="BD59" s="30"/>
      <c r="BE59" s="30"/>
      <c r="BF59" s="27"/>
      <c r="BG59" s="27"/>
      <c r="BH59" s="28" t="str">
        <f aca="false">IF(COUNT(BC59:BE59)=0,"",IF(MIN(BC59:BE59)&lt;=-2.5,"Yes","No"))</f>
        <v/>
      </c>
      <c r="BI59" s="27"/>
      <c r="BJ59" s="29"/>
      <c r="BK59" s="27"/>
      <c r="BL59" s="27"/>
      <c r="BM59" s="27"/>
      <c r="BN59" s="28" t="str">
        <f aca="false">IF(OR(AX59="Yes",BI59="Yes"),"Yes",IF(AND(AX59="No",BI59="No"),"No",IF(AND(AX59="",BI59=""),"","Unknown")))</f>
        <v/>
      </c>
      <c r="BO59" s="31" t="str">
        <f aca="false">IF(COUNT(AY59,BJ59)=0,"",MIN(AY59,BJ59))</f>
        <v/>
      </c>
      <c r="BP59" s="29"/>
      <c r="BQ59" s="29"/>
      <c r="BR59" s="29"/>
      <c r="BS59" s="28" t="str">
        <f aca="false">IF(AND(N(BP59)&gt;0,N(BR59)&gt;0),BR59-BP59,"")</f>
        <v/>
      </c>
      <c r="BT59" s="28" t="str">
        <f aca="false">IF(BS59="","",ROUND(BS59/365.25,2))</f>
        <v/>
      </c>
      <c r="BU59" s="28" t="str">
        <f aca="false">IF(BS59="","",IF(BS59&gt;=730.5,"Yes","No"))</f>
        <v/>
      </c>
      <c r="BV59" s="27"/>
      <c r="BW59" s="29"/>
      <c r="BX59" s="27"/>
      <c r="BY59" s="27"/>
      <c r="BZ59" s="28" t="str">
        <f aca="false">IF(N(E59)=0,"",IF(E59&lt;65,"Under 65","≥65"))</f>
        <v/>
      </c>
      <c r="CA59" s="28" t="str">
        <f aca="false">IF(OR(AC59="Yes",AC59="No"),AC59,"")</f>
        <v/>
      </c>
      <c r="CB59" s="28" t="str">
        <f aca="false">IF(OR(AD59="Yes",AD59="No"),AD59,"")</f>
        <v/>
      </c>
      <c r="CC59" s="28" t="str">
        <f aca="false">IF(F59="","",F59)</f>
        <v/>
      </c>
      <c r="CD59" s="27"/>
      <c r="CE59" s="27"/>
    </row>
    <row r="60" customFormat="false" ht="15" hidden="false" customHeight="false" outlineLevel="0" collapsed="false">
      <c r="A60" s="27"/>
      <c r="B60" s="27"/>
      <c r="C60" s="27"/>
      <c r="D60" s="27"/>
      <c r="E60" s="27"/>
      <c r="F60" s="27"/>
      <c r="G60" s="27"/>
      <c r="H60" s="27"/>
      <c r="I60" s="27"/>
      <c r="J60" s="28" t="str">
        <f aca="false">IF(AND(N(H60)&gt;0,N(I60)&gt;0),ROUND(I60/(H60/100)^2,1),"")</f>
        <v/>
      </c>
      <c r="K60" s="27"/>
      <c r="L60" s="27"/>
      <c r="M60" s="27"/>
      <c r="N60" s="27"/>
      <c r="O60" s="27"/>
      <c r="P60" s="27"/>
      <c r="Q60" s="27"/>
      <c r="R60" s="29"/>
      <c r="S60" s="29"/>
      <c r="T60" s="27"/>
      <c r="U60" s="28" t="str">
        <f aca="false">IF(N(T60)=0,"",IF(T60&lt;12,"Under 12 months",IF(T60&lt;36,"12-35 months",IF(T60&lt;60,"36-59 months","≥60 months"))))</f>
        <v/>
      </c>
      <c r="V60" s="27"/>
      <c r="W60" s="30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9"/>
      <c r="AT60" s="30"/>
      <c r="AU60" s="30"/>
      <c r="AV60" s="30"/>
      <c r="AW60" s="27"/>
      <c r="AX60" s="27"/>
      <c r="AY60" s="29"/>
      <c r="AZ60" s="27"/>
      <c r="BA60" s="27"/>
      <c r="BB60" s="29"/>
      <c r="BC60" s="30"/>
      <c r="BD60" s="30"/>
      <c r="BE60" s="30"/>
      <c r="BF60" s="27"/>
      <c r="BG60" s="27"/>
      <c r="BH60" s="28" t="str">
        <f aca="false">IF(COUNT(BC60:BE60)=0,"",IF(MIN(BC60:BE60)&lt;=-2.5,"Yes","No"))</f>
        <v/>
      </c>
      <c r="BI60" s="27"/>
      <c r="BJ60" s="29"/>
      <c r="BK60" s="27"/>
      <c r="BL60" s="27"/>
      <c r="BM60" s="27"/>
      <c r="BN60" s="28" t="str">
        <f aca="false">IF(OR(AX60="Yes",BI60="Yes"),"Yes",IF(AND(AX60="No",BI60="No"),"No",IF(AND(AX60="",BI60=""),"","Unknown")))</f>
        <v/>
      </c>
      <c r="BO60" s="31" t="str">
        <f aca="false">IF(COUNT(AY60,BJ60)=0,"",MIN(AY60,BJ60))</f>
        <v/>
      </c>
      <c r="BP60" s="29"/>
      <c r="BQ60" s="29"/>
      <c r="BR60" s="29"/>
      <c r="BS60" s="28" t="str">
        <f aca="false">IF(AND(N(BP60)&gt;0,N(BR60)&gt;0),BR60-BP60,"")</f>
        <v/>
      </c>
      <c r="BT60" s="28" t="str">
        <f aca="false">IF(BS60="","",ROUND(BS60/365.25,2))</f>
        <v/>
      </c>
      <c r="BU60" s="28" t="str">
        <f aca="false">IF(BS60="","",IF(BS60&gt;=730.5,"Yes","No"))</f>
        <v/>
      </c>
      <c r="BV60" s="27"/>
      <c r="BW60" s="29"/>
      <c r="BX60" s="27"/>
      <c r="BY60" s="27"/>
      <c r="BZ60" s="28" t="str">
        <f aca="false">IF(N(E60)=0,"",IF(E60&lt;65,"Under 65","≥65"))</f>
        <v/>
      </c>
      <c r="CA60" s="28" t="str">
        <f aca="false">IF(OR(AC60="Yes",AC60="No"),AC60,"")</f>
        <v/>
      </c>
      <c r="CB60" s="28" t="str">
        <f aca="false">IF(OR(AD60="Yes",AD60="No"),AD60,"")</f>
        <v/>
      </c>
      <c r="CC60" s="28" t="str">
        <f aca="false">IF(F60="","",F60)</f>
        <v/>
      </c>
      <c r="CD60" s="27"/>
      <c r="CE60" s="27"/>
    </row>
    <row r="61" customFormat="false" ht="15" hidden="false" customHeight="false" outlineLevel="0" collapsed="false">
      <c r="A61" s="27"/>
      <c r="B61" s="27"/>
      <c r="C61" s="27"/>
      <c r="D61" s="27"/>
      <c r="E61" s="27"/>
      <c r="F61" s="27"/>
      <c r="G61" s="27"/>
      <c r="H61" s="27"/>
      <c r="I61" s="27"/>
      <c r="J61" s="28" t="str">
        <f aca="false">IF(AND(N(H61)&gt;0,N(I61)&gt;0),ROUND(I61/(H61/100)^2,1),"")</f>
        <v/>
      </c>
      <c r="K61" s="27"/>
      <c r="L61" s="27"/>
      <c r="M61" s="27"/>
      <c r="N61" s="27"/>
      <c r="O61" s="27"/>
      <c r="P61" s="27"/>
      <c r="Q61" s="27"/>
      <c r="R61" s="29"/>
      <c r="S61" s="29"/>
      <c r="T61" s="27"/>
      <c r="U61" s="28" t="str">
        <f aca="false">IF(N(T61)=0,"",IF(T61&lt;12,"Under 12 months",IF(T61&lt;36,"12-35 months",IF(T61&lt;60,"36-59 months","≥60 months"))))</f>
        <v/>
      </c>
      <c r="V61" s="27"/>
      <c r="W61" s="30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9"/>
      <c r="AT61" s="30"/>
      <c r="AU61" s="30"/>
      <c r="AV61" s="30"/>
      <c r="AW61" s="27"/>
      <c r="AX61" s="27"/>
      <c r="AY61" s="29"/>
      <c r="AZ61" s="27"/>
      <c r="BA61" s="27"/>
      <c r="BB61" s="29"/>
      <c r="BC61" s="30"/>
      <c r="BD61" s="30"/>
      <c r="BE61" s="30"/>
      <c r="BF61" s="27"/>
      <c r="BG61" s="27"/>
      <c r="BH61" s="28" t="str">
        <f aca="false">IF(COUNT(BC61:BE61)=0,"",IF(MIN(BC61:BE61)&lt;=-2.5,"Yes","No"))</f>
        <v/>
      </c>
      <c r="BI61" s="27"/>
      <c r="BJ61" s="29"/>
      <c r="BK61" s="27"/>
      <c r="BL61" s="27"/>
      <c r="BM61" s="27"/>
      <c r="BN61" s="28" t="str">
        <f aca="false">IF(OR(AX61="Yes",BI61="Yes"),"Yes",IF(AND(AX61="No",BI61="No"),"No",IF(AND(AX61="",BI61=""),"","Unknown")))</f>
        <v/>
      </c>
      <c r="BO61" s="31" t="str">
        <f aca="false">IF(COUNT(AY61,BJ61)=0,"",MIN(AY61,BJ61))</f>
        <v/>
      </c>
      <c r="BP61" s="29"/>
      <c r="BQ61" s="29"/>
      <c r="BR61" s="29"/>
      <c r="BS61" s="28" t="str">
        <f aca="false">IF(AND(N(BP61)&gt;0,N(BR61)&gt;0),BR61-BP61,"")</f>
        <v/>
      </c>
      <c r="BT61" s="28" t="str">
        <f aca="false">IF(BS61="","",ROUND(BS61/365.25,2))</f>
        <v/>
      </c>
      <c r="BU61" s="28" t="str">
        <f aca="false">IF(BS61="","",IF(BS61&gt;=730.5,"Yes","No"))</f>
        <v/>
      </c>
      <c r="BV61" s="27"/>
      <c r="BW61" s="29"/>
      <c r="BX61" s="27"/>
      <c r="BY61" s="27"/>
      <c r="BZ61" s="28" t="str">
        <f aca="false">IF(N(E61)=0,"",IF(E61&lt;65,"Under 65","≥65"))</f>
        <v/>
      </c>
      <c r="CA61" s="28" t="str">
        <f aca="false">IF(OR(AC61="Yes",AC61="No"),AC61,"")</f>
        <v/>
      </c>
      <c r="CB61" s="28" t="str">
        <f aca="false">IF(OR(AD61="Yes",AD61="No"),AD61,"")</f>
        <v/>
      </c>
      <c r="CC61" s="28" t="str">
        <f aca="false">IF(F61="","",F61)</f>
        <v/>
      </c>
      <c r="CD61" s="27"/>
      <c r="CE61" s="27"/>
    </row>
    <row r="62" customFormat="false" ht="15" hidden="false" customHeight="false" outlineLevel="0" collapsed="false">
      <c r="A62" s="27"/>
      <c r="B62" s="27"/>
      <c r="C62" s="27"/>
      <c r="D62" s="27"/>
      <c r="E62" s="27"/>
      <c r="F62" s="27"/>
      <c r="G62" s="27"/>
      <c r="H62" s="27"/>
      <c r="I62" s="27"/>
      <c r="J62" s="28" t="str">
        <f aca="false">IF(AND(N(H62)&gt;0,N(I62)&gt;0),ROUND(I62/(H62/100)^2,1),"")</f>
        <v/>
      </c>
      <c r="K62" s="27"/>
      <c r="L62" s="27"/>
      <c r="M62" s="27"/>
      <c r="N62" s="27"/>
      <c r="O62" s="27"/>
      <c r="P62" s="27"/>
      <c r="Q62" s="27"/>
      <c r="R62" s="29"/>
      <c r="S62" s="29"/>
      <c r="T62" s="27"/>
      <c r="U62" s="28" t="str">
        <f aca="false">IF(N(T62)=0,"",IF(T62&lt;12,"Under 12 months",IF(T62&lt;36,"12-35 months",IF(T62&lt;60,"36-59 months","≥60 months"))))</f>
        <v/>
      </c>
      <c r="V62" s="27"/>
      <c r="W62" s="30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9"/>
      <c r="AT62" s="30"/>
      <c r="AU62" s="30"/>
      <c r="AV62" s="30"/>
      <c r="AW62" s="27"/>
      <c r="AX62" s="27"/>
      <c r="AY62" s="29"/>
      <c r="AZ62" s="27"/>
      <c r="BA62" s="27"/>
      <c r="BB62" s="29"/>
      <c r="BC62" s="30"/>
      <c r="BD62" s="30"/>
      <c r="BE62" s="30"/>
      <c r="BF62" s="27"/>
      <c r="BG62" s="27"/>
      <c r="BH62" s="28" t="str">
        <f aca="false">IF(COUNT(BC62:BE62)=0,"",IF(MIN(BC62:BE62)&lt;=-2.5,"Yes","No"))</f>
        <v/>
      </c>
      <c r="BI62" s="27"/>
      <c r="BJ62" s="29"/>
      <c r="BK62" s="27"/>
      <c r="BL62" s="27"/>
      <c r="BM62" s="27"/>
      <c r="BN62" s="28" t="str">
        <f aca="false">IF(OR(AX62="Yes",BI62="Yes"),"Yes",IF(AND(AX62="No",BI62="No"),"No",IF(AND(AX62="",BI62=""),"","Unknown")))</f>
        <v/>
      </c>
      <c r="BO62" s="31" t="str">
        <f aca="false">IF(COUNT(AY62,BJ62)=0,"",MIN(AY62,BJ62))</f>
        <v/>
      </c>
      <c r="BP62" s="29"/>
      <c r="BQ62" s="29"/>
      <c r="BR62" s="29"/>
      <c r="BS62" s="28" t="str">
        <f aca="false">IF(AND(N(BP62)&gt;0,N(BR62)&gt;0),BR62-BP62,"")</f>
        <v/>
      </c>
      <c r="BT62" s="28" t="str">
        <f aca="false">IF(BS62="","",ROUND(BS62/365.25,2))</f>
        <v/>
      </c>
      <c r="BU62" s="28" t="str">
        <f aca="false">IF(BS62="","",IF(BS62&gt;=730.5,"Yes","No"))</f>
        <v/>
      </c>
      <c r="BV62" s="27"/>
      <c r="BW62" s="29"/>
      <c r="BX62" s="27"/>
      <c r="BY62" s="27"/>
      <c r="BZ62" s="28" t="str">
        <f aca="false">IF(N(E62)=0,"",IF(E62&lt;65,"Under 65","≥65"))</f>
        <v/>
      </c>
      <c r="CA62" s="28" t="str">
        <f aca="false">IF(OR(AC62="Yes",AC62="No"),AC62,"")</f>
        <v/>
      </c>
      <c r="CB62" s="28" t="str">
        <f aca="false">IF(OR(AD62="Yes",AD62="No"),AD62,"")</f>
        <v/>
      </c>
      <c r="CC62" s="28" t="str">
        <f aca="false">IF(F62="","",F62)</f>
        <v/>
      </c>
      <c r="CD62" s="27"/>
      <c r="CE62" s="27"/>
    </row>
    <row r="63" customFormat="false" ht="15" hidden="false" customHeight="false" outlineLevel="0" collapsed="false">
      <c r="A63" s="27"/>
      <c r="B63" s="27"/>
      <c r="C63" s="27"/>
      <c r="D63" s="27"/>
      <c r="E63" s="27"/>
      <c r="F63" s="27"/>
      <c r="G63" s="27"/>
      <c r="H63" s="27"/>
      <c r="I63" s="27"/>
      <c r="J63" s="28" t="str">
        <f aca="false">IF(AND(N(H63)&gt;0,N(I63)&gt;0),ROUND(I63/(H63/100)^2,1),"")</f>
        <v/>
      </c>
      <c r="K63" s="27"/>
      <c r="L63" s="27"/>
      <c r="M63" s="27"/>
      <c r="N63" s="27"/>
      <c r="O63" s="27"/>
      <c r="P63" s="27"/>
      <c r="Q63" s="27"/>
      <c r="R63" s="29"/>
      <c r="S63" s="29"/>
      <c r="T63" s="27"/>
      <c r="U63" s="28" t="str">
        <f aca="false">IF(N(T63)=0,"",IF(T63&lt;12,"Under 12 months",IF(T63&lt;36,"12-35 months",IF(T63&lt;60,"36-59 months","≥60 months"))))</f>
        <v/>
      </c>
      <c r="V63" s="27"/>
      <c r="W63" s="30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9"/>
      <c r="AT63" s="30"/>
      <c r="AU63" s="30"/>
      <c r="AV63" s="30"/>
      <c r="AW63" s="27"/>
      <c r="AX63" s="27"/>
      <c r="AY63" s="29"/>
      <c r="AZ63" s="27"/>
      <c r="BA63" s="27"/>
      <c r="BB63" s="29"/>
      <c r="BC63" s="30"/>
      <c r="BD63" s="30"/>
      <c r="BE63" s="30"/>
      <c r="BF63" s="27"/>
      <c r="BG63" s="27"/>
      <c r="BH63" s="28" t="str">
        <f aca="false">IF(COUNT(BC63:BE63)=0,"",IF(MIN(BC63:BE63)&lt;=-2.5,"Yes","No"))</f>
        <v/>
      </c>
      <c r="BI63" s="27"/>
      <c r="BJ63" s="29"/>
      <c r="BK63" s="27"/>
      <c r="BL63" s="27"/>
      <c r="BM63" s="27"/>
      <c r="BN63" s="28" t="str">
        <f aca="false">IF(OR(AX63="Yes",BI63="Yes"),"Yes",IF(AND(AX63="No",BI63="No"),"No",IF(AND(AX63="",BI63=""),"","Unknown")))</f>
        <v/>
      </c>
      <c r="BO63" s="31" t="str">
        <f aca="false">IF(COUNT(AY63,BJ63)=0,"",MIN(AY63,BJ63))</f>
        <v/>
      </c>
      <c r="BP63" s="29"/>
      <c r="BQ63" s="29"/>
      <c r="BR63" s="29"/>
      <c r="BS63" s="28" t="str">
        <f aca="false">IF(AND(N(BP63)&gt;0,N(BR63)&gt;0),BR63-BP63,"")</f>
        <v/>
      </c>
      <c r="BT63" s="28" t="str">
        <f aca="false">IF(BS63="","",ROUND(BS63/365.25,2))</f>
        <v/>
      </c>
      <c r="BU63" s="28" t="str">
        <f aca="false">IF(BS63="","",IF(BS63&gt;=730.5,"Yes","No"))</f>
        <v/>
      </c>
      <c r="BV63" s="27"/>
      <c r="BW63" s="29"/>
      <c r="BX63" s="27"/>
      <c r="BY63" s="27"/>
      <c r="BZ63" s="28" t="str">
        <f aca="false">IF(N(E63)=0,"",IF(E63&lt;65,"Under 65","≥65"))</f>
        <v/>
      </c>
      <c r="CA63" s="28" t="str">
        <f aca="false">IF(OR(AC63="Yes",AC63="No"),AC63,"")</f>
        <v/>
      </c>
      <c r="CB63" s="28" t="str">
        <f aca="false">IF(OR(AD63="Yes",AD63="No"),AD63,"")</f>
        <v/>
      </c>
      <c r="CC63" s="28" t="str">
        <f aca="false">IF(F63="","",F63)</f>
        <v/>
      </c>
      <c r="CD63" s="27"/>
      <c r="CE63" s="27"/>
    </row>
    <row r="64" customFormat="false" ht="15" hidden="false" customHeight="false" outlineLevel="0" collapsed="false">
      <c r="A64" s="27"/>
      <c r="B64" s="27"/>
      <c r="C64" s="27"/>
      <c r="D64" s="27"/>
      <c r="E64" s="27"/>
      <c r="F64" s="27"/>
      <c r="G64" s="27"/>
      <c r="H64" s="27"/>
      <c r="I64" s="27"/>
      <c r="J64" s="28" t="str">
        <f aca="false">IF(AND(N(H64)&gt;0,N(I64)&gt;0),ROUND(I64/(H64/100)^2,1),"")</f>
        <v/>
      </c>
      <c r="K64" s="27"/>
      <c r="L64" s="27"/>
      <c r="M64" s="27"/>
      <c r="N64" s="27"/>
      <c r="O64" s="27"/>
      <c r="P64" s="27"/>
      <c r="Q64" s="27"/>
      <c r="R64" s="29"/>
      <c r="S64" s="29"/>
      <c r="T64" s="27"/>
      <c r="U64" s="28" t="str">
        <f aca="false">IF(N(T64)=0,"",IF(T64&lt;12,"Under 12 months",IF(T64&lt;36,"12-35 months",IF(T64&lt;60,"36-59 months","≥60 months"))))</f>
        <v/>
      </c>
      <c r="V64" s="27"/>
      <c r="W64" s="30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9"/>
      <c r="AT64" s="30"/>
      <c r="AU64" s="30"/>
      <c r="AV64" s="30"/>
      <c r="AW64" s="27"/>
      <c r="AX64" s="27"/>
      <c r="AY64" s="29"/>
      <c r="AZ64" s="27"/>
      <c r="BA64" s="27"/>
      <c r="BB64" s="29"/>
      <c r="BC64" s="30"/>
      <c r="BD64" s="30"/>
      <c r="BE64" s="30"/>
      <c r="BF64" s="27"/>
      <c r="BG64" s="27"/>
      <c r="BH64" s="28" t="str">
        <f aca="false">IF(COUNT(BC64:BE64)=0,"",IF(MIN(BC64:BE64)&lt;=-2.5,"Yes","No"))</f>
        <v/>
      </c>
      <c r="BI64" s="27"/>
      <c r="BJ64" s="29"/>
      <c r="BK64" s="27"/>
      <c r="BL64" s="27"/>
      <c r="BM64" s="27"/>
      <c r="BN64" s="28" t="str">
        <f aca="false">IF(OR(AX64="Yes",BI64="Yes"),"Yes",IF(AND(AX64="No",BI64="No"),"No",IF(AND(AX64="",BI64=""),"","Unknown")))</f>
        <v/>
      </c>
      <c r="BO64" s="31" t="str">
        <f aca="false">IF(COUNT(AY64,BJ64)=0,"",MIN(AY64,BJ64))</f>
        <v/>
      </c>
      <c r="BP64" s="29"/>
      <c r="BQ64" s="29"/>
      <c r="BR64" s="29"/>
      <c r="BS64" s="28" t="str">
        <f aca="false">IF(AND(N(BP64)&gt;0,N(BR64)&gt;0),BR64-BP64,"")</f>
        <v/>
      </c>
      <c r="BT64" s="28" t="str">
        <f aca="false">IF(BS64="","",ROUND(BS64/365.25,2))</f>
        <v/>
      </c>
      <c r="BU64" s="28" t="str">
        <f aca="false">IF(BS64="","",IF(BS64&gt;=730.5,"Yes","No"))</f>
        <v/>
      </c>
      <c r="BV64" s="27"/>
      <c r="BW64" s="29"/>
      <c r="BX64" s="27"/>
      <c r="BY64" s="27"/>
      <c r="BZ64" s="28" t="str">
        <f aca="false">IF(N(E64)=0,"",IF(E64&lt;65,"Under 65","≥65"))</f>
        <v/>
      </c>
      <c r="CA64" s="28" t="str">
        <f aca="false">IF(OR(AC64="Yes",AC64="No"),AC64,"")</f>
        <v/>
      </c>
      <c r="CB64" s="28" t="str">
        <f aca="false">IF(OR(AD64="Yes",AD64="No"),AD64,"")</f>
        <v/>
      </c>
      <c r="CC64" s="28" t="str">
        <f aca="false">IF(F64="","",F64)</f>
        <v/>
      </c>
      <c r="CD64" s="27"/>
      <c r="CE64" s="27"/>
    </row>
    <row r="65" customFormat="false" ht="15" hidden="false" customHeight="false" outlineLevel="0" collapsed="false">
      <c r="A65" s="27"/>
      <c r="B65" s="27"/>
      <c r="C65" s="27"/>
      <c r="D65" s="27"/>
      <c r="E65" s="27"/>
      <c r="F65" s="27"/>
      <c r="G65" s="27"/>
      <c r="H65" s="27"/>
      <c r="I65" s="27"/>
      <c r="J65" s="28" t="str">
        <f aca="false">IF(AND(N(H65)&gt;0,N(I65)&gt;0),ROUND(I65/(H65/100)^2,1),"")</f>
        <v/>
      </c>
      <c r="K65" s="27"/>
      <c r="L65" s="27"/>
      <c r="M65" s="27"/>
      <c r="N65" s="27"/>
      <c r="O65" s="27"/>
      <c r="P65" s="27"/>
      <c r="Q65" s="27"/>
      <c r="R65" s="29"/>
      <c r="S65" s="29"/>
      <c r="T65" s="27"/>
      <c r="U65" s="28" t="str">
        <f aca="false">IF(N(T65)=0,"",IF(T65&lt;12,"Under 12 months",IF(T65&lt;36,"12-35 months",IF(T65&lt;60,"36-59 months","≥60 months"))))</f>
        <v/>
      </c>
      <c r="V65" s="27"/>
      <c r="W65" s="30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9"/>
      <c r="AT65" s="30"/>
      <c r="AU65" s="30"/>
      <c r="AV65" s="30"/>
      <c r="AW65" s="27"/>
      <c r="AX65" s="27"/>
      <c r="AY65" s="29"/>
      <c r="AZ65" s="27"/>
      <c r="BA65" s="27"/>
      <c r="BB65" s="29"/>
      <c r="BC65" s="30"/>
      <c r="BD65" s="30"/>
      <c r="BE65" s="30"/>
      <c r="BF65" s="27"/>
      <c r="BG65" s="27"/>
      <c r="BH65" s="28" t="str">
        <f aca="false">IF(COUNT(BC65:BE65)=0,"",IF(MIN(BC65:BE65)&lt;=-2.5,"Yes","No"))</f>
        <v/>
      </c>
      <c r="BI65" s="27"/>
      <c r="BJ65" s="29"/>
      <c r="BK65" s="27"/>
      <c r="BL65" s="27"/>
      <c r="BM65" s="27"/>
      <c r="BN65" s="28" t="str">
        <f aca="false">IF(OR(AX65="Yes",BI65="Yes"),"Yes",IF(AND(AX65="No",BI65="No"),"No",IF(AND(AX65="",BI65=""),"","Unknown")))</f>
        <v/>
      </c>
      <c r="BO65" s="31" t="str">
        <f aca="false">IF(COUNT(AY65,BJ65)=0,"",MIN(AY65,BJ65))</f>
        <v/>
      </c>
      <c r="BP65" s="29"/>
      <c r="BQ65" s="29"/>
      <c r="BR65" s="29"/>
      <c r="BS65" s="28" t="str">
        <f aca="false">IF(AND(N(BP65)&gt;0,N(BR65)&gt;0),BR65-BP65,"")</f>
        <v/>
      </c>
      <c r="BT65" s="28" t="str">
        <f aca="false">IF(BS65="","",ROUND(BS65/365.25,2))</f>
        <v/>
      </c>
      <c r="BU65" s="28" t="str">
        <f aca="false">IF(BS65="","",IF(BS65&gt;=730.5,"Yes","No"))</f>
        <v/>
      </c>
      <c r="BV65" s="27"/>
      <c r="BW65" s="29"/>
      <c r="BX65" s="27"/>
      <c r="BY65" s="27"/>
      <c r="BZ65" s="28" t="str">
        <f aca="false">IF(N(E65)=0,"",IF(E65&lt;65,"Under 65","≥65"))</f>
        <v/>
      </c>
      <c r="CA65" s="28" t="str">
        <f aca="false">IF(OR(AC65="Yes",AC65="No"),AC65,"")</f>
        <v/>
      </c>
      <c r="CB65" s="28" t="str">
        <f aca="false">IF(OR(AD65="Yes",AD65="No"),AD65,"")</f>
        <v/>
      </c>
      <c r="CC65" s="28" t="str">
        <f aca="false">IF(F65="","",F65)</f>
        <v/>
      </c>
      <c r="CD65" s="27"/>
      <c r="CE65" s="27"/>
    </row>
    <row r="66" customFormat="false" ht="15" hidden="false" customHeight="false" outlineLevel="0" collapsed="false">
      <c r="A66" s="27"/>
      <c r="B66" s="27"/>
      <c r="C66" s="27"/>
      <c r="D66" s="27"/>
      <c r="E66" s="27"/>
      <c r="F66" s="27"/>
      <c r="G66" s="27"/>
      <c r="H66" s="27"/>
      <c r="I66" s="27"/>
      <c r="J66" s="28" t="str">
        <f aca="false">IF(AND(N(H66)&gt;0,N(I66)&gt;0),ROUND(I66/(H66/100)^2,1),"")</f>
        <v/>
      </c>
      <c r="K66" s="27"/>
      <c r="L66" s="27"/>
      <c r="M66" s="27"/>
      <c r="N66" s="27"/>
      <c r="O66" s="27"/>
      <c r="P66" s="27"/>
      <c r="Q66" s="27"/>
      <c r="R66" s="29"/>
      <c r="S66" s="29"/>
      <c r="T66" s="27"/>
      <c r="U66" s="28" t="str">
        <f aca="false">IF(N(T66)=0,"",IF(T66&lt;12,"Under 12 months",IF(T66&lt;36,"12-35 months",IF(T66&lt;60,"36-59 months","≥60 months"))))</f>
        <v/>
      </c>
      <c r="V66" s="27"/>
      <c r="W66" s="30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9"/>
      <c r="AT66" s="30"/>
      <c r="AU66" s="30"/>
      <c r="AV66" s="30"/>
      <c r="AW66" s="27"/>
      <c r="AX66" s="27"/>
      <c r="AY66" s="29"/>
      <c r="AZ66" s="27"/>
      <c r="BA66" s="27"/>
      <c r="BB66" s="29"/>
      <c r="BC66" s="30"/>
      <c r="BD66" s="30"/>
      <c r="BE66" s="30"/>
      <c r="BF66" s="27"/>
      <c r="BG66" s="27"/>
      <c r="BH66" s="28" t="str">
        <f aca="false">IF(COUNT(BC66:BE66)=0,"",IF(MIN(BC66:BE66)&lt;=-2.5,"Yes","No"))</f>
        <v/>
      </c>
      <c r="BI66" s="27"/>
      <c r="BJ66" s="29"/>
      <c r="BK66" s="27"/>
      <c r="BL66" s="27"/>
      <c r="BM66" s="27"/>
      <c r="BN66" s="28" t="str">
        <f aca="false">IF(OR(AX66="Yes",BI66="Yes"),"Yes",IF(AND(AX66="No",BI66="No"),"No",IF(AND(AX66="",BI66=""),"","Unknown")))</f>
        <v/>
      </c>
      <c r="BO66" s="31" t="str">
        <f aca="false">IF(COUNT(AY66,BJ66)=0,"",MIN(AY66,BJ66))</f>
        <v/>
      </c>
      <c r="BP66" s="29"/>
      <c r="BQ66" s="29"/>
      <c r="BR66" s="29"/>
      <c r="BS66" s="28" t="str">
        <f aca="false">IF(AND(N(BP66)&gt;0,N(BR66)&gt;0),BR66-BP66,"")</f>
        <v/>
      </c>
      <c r="BT66" s="28" t="str">
        <f aca="false">IF(BS66="","",ROUND(BS66/365.25,2))</f>
        <v/>
      </c>
      <c r="BU66" s="28" t="str">
        <f aca="false">IF(BS66="","",IF(BS66&gt;=730.5,"Yes","No"))</f>
        <v/>
      </c>
      <c r="BV66" s="27"/>
      <c r="BW66" s="29"/>
      <c r="BX66" s="27"/>
      <c r="BY66" s="27"/>
      <c r="BZ66" s="28" t="str">
        <f aca="false">IF(N(E66)=0,"",IF(E66&lt;65,"Under 65","≥65"))</f>
        <v/>
      </c>
      <c r="CA66" s="28" t="str">
        <f aca="false">IF(OR(AC66="Yes",AC66="No"),AC66,"")</f>
        <v/>
      </c>
      <c r="CB66" s="28" t="str">
        <f aca="false">IF(OR(AD66="Yes",AD66="No"),AD66,"")</f>
        <v/>
      </c>
      <c r="CC66" s="28" t="str">
        <f aca="false">IF(F66="","",F66)</f>
        <v/>
      </c>
      <c r="CD66" s="27"/>
      <c r="CE66" s="27"/>
    </row>
    <row r="67" customFormat="false" ht="15" hidden="false" customHeight="false" outlineLevel="0" collapsed="false">
      <c r="A67" s="27"/>
      <c r="B67" s="27"/>
      <c r="C67" s="27"/>
      <c r="D67" s="27"/>
      <c r="E67" s="27"/>
      <c r="F67" s="27"/>
      <c r="G67" s="27"/>
      <c r="H67" s="27"/>
      <c r="I67" s="27"/>
      <c r="J67" s="28" t="str">
        <f aca="false">IF(AND(N(H67)&gt;0,N(I67)&gt;0),ROUND(I67/(H67/100)^2,1),"")</f>
        <v/>
      </c>
      <c r="K67" s="27"/>
      <c r="L67" s="27"/>
      <c r="M67" s="27"/>
      <c r="N67" s="27"/>
      <c r="O67" s="27"/>
      <c r="P67" s="27"/>
      <c r="Q67" s="27"/>
      <c r="R67" s="29"/>
      <c r="S67" s="29"/>
      <c r="T67" s="27"/>
      <c r="U67" s="28" t="str">
        <f aca="false">IF(N(T67)=0,"",IF(T67&lt;12,"Under 12 months",IF(T67&lt;36,"12-35 months",IF(T67&lt;60,"36-59 months","≥60 months"))))</f>
        <v/>
      </c>
      <c r="V67" s="27"/>
      <c r="W67" s="30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9"/>
      <c r="AT67" s="30"/>
      <c r="AU67" s="30"/>
      <c r="AV67" s="30"/>
      <c r="AW67" s="27"/>
      <c r="AX67" s="27"/>
      <c r="AY67" s="29"/>
      <c r="AZ67" s="27"/>
      <c r="BA67" s="27"/>
      <c r="BB67" s="29"/>
      <c r="BC67" s="30"/>
      <c r="BD67" s="30"/>
      <c r="BE67" s="30"/>
      <c r="BF67" s="27"/>
      <c r="BG67" s="27"/>
      <c r="BH67" s="28" t="str">
        <f aca="false">IF(COUNT(BC67:BE67)=0,"",IF(MIN(BC67:BE67)&lt;=-2.5,"Yes","No"))</f>
        <v/>
      </c>
      <c r="BI67" s="27"/>
      <c r="BJ67" s="29"/>
      <c r="BK67" s="27"/>
      <c r="BL67" s="27"/>
      <c r="BM67" s="27"/>
      <c r="BN67" s="28" t="str">
        <f aca="false">IF(OR(AX67="Yes",BI67="Yes"),"Yes",IF(AND(AX67="No",BI67="No"),"No",IF(AND(AX67="",BI67=""),"","Unknown")))</f>
        <v/>
      </c>
      <c r="BO67" s="31" t="str">
        <f aca="false">IF(COUNT(AY67,BJ67)=0,"",MIN(AY67,BJ67))</f>
        <v/>
      </c>
      <c r="BP67" s="29"/>
      <c r="BQ67" s="29"/>
      <c r="BR67" s="29"/>
      <c r="BS67" s="28" t="str">
        <f aca="false">IF(AND(N(BP67)&gt;0,N(BR67)&gt;0),BR67-BP67,"")</f>
        <v/>
      </c>
      <c r="BT67" s="28" t="str">
        <f aca="false">IF(BS67="","",ROUND(BS67/365.25,2))</f>
        <v/>
      </c>
      <c r="BU67" s="28" t="str">
        <f aca="false">IF(BS67="","",IF(BS67&gt;=730.5,"Yes","No"))</f>
        <v/>
      </c>
      <c r="BV67" s="27"/>
      <c r="BW67" s="29"/>
      <c r="BX67" s="27"/>
      <c r="BY67" s="27"/>
      <c r="BZ67" s="28" t="str">
        <f aca="false">IF(N(E67)=0,"",IF(E67&lt;65,"Under 65","≥65"))</f>
        <v/>
      </c>
      <c r="CA67" s="28" t="str">
        <f aca="false">IF(OR(AC67="Yes",AC67="No"),AC67,"")</f>
        <v/>
      </c>
      <c r="CB67" s="28" t="str">
        <f aca="false">IF(OR(AD67="Yes",AD67="No"),AD67,"")</f>
        <v/>
      </c>
      <c r="CC67" s="28" t="str">
        <f aca="false">IF(F67="","",F67)</f>
        <v/>
      </c>
      <c r="CD67" s="27"/>
      <c r="CE67" s="27"/>
    </row>
    <row r="68" customFormat="false" ht="15" hidden="false" customHeight="false" outlineLevel="0" collapsed="false">
      <c r="A68" s="27"/>
      <c r="B68" s="27"/>
      <c r="C68" s="27"/>
      <c r="D68" s="27"/>
      <c r="E68" s="27"/>
      <c r="F68" s="27"/>
      <c r="G68" s="27"/>
      <c r="H68" s="27"/>
      <c r="I68" s="27"/>
      <c r="J68" s="28" t="str">
        <f aca="false">IF(AND(N(H68)&gt;0,N(I68)&gt;0),ROUND(I68/(H68/100)^2,1),"")</f>
        <v/>
      </c>
      <c r="K68" s="27"/>
      <c r="L68" s="27"/>
      <c r="M68" s="27"/>
      <c r="N68" s="27"/>
      <c r="O68" s="27"/>
      <c r="P68" s="27"/>
      <c r="Q68" s="27"/>
      <c r="R68" s="29"/>
      <c r="S68" s="29"/>
      <c r="T68" s="27"/>
      <c r="U68" s="28" t="str">
        <f aca="false">IF(N(T68)=0,"",IF(T68&lt;12,"Under 12 months",IF(T68&lt;36,"12-35 months",IF(T68&lt;60,"36-59 months","≥60 months"))))</f>
        <v/>
      </c>
      <c r="V68" s="27"/>
      <c r="W68" s="30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9"/>
      <c r="AT68" s="30"/>
      <c r="AU68" s="30"/>
      <c r="AV68" s="30"/>
      <c r="AW68" s="27"/>
      <c r="AX68" s="27"/>
      <c r="AY68" s="29"/>
      <c r="AZ68" s="27"/>
      <c r="BA68" s="27"/>
      <c r="BB68" s="29"/>
      <c r="BC68" s="30"/>
      <c r="BD68" s="30"/>
      <c r="BE68" s="30"/>
      <c r="BF68" s="27"/>
      <c r="BG68" s="27"/>
      <c r="BH68" s="28" t="str">
        <f aca="false">IF(COUNT(BC68:BE68)=0,"",IF(MIN(BC68:BE68)&lt;=-2.5,"Yes","No"))</f>
        <v/>
      </c>
      <c r="BI68" s="27"/>
      <c r="BJ68" s="29"/>
      <c r="BK68" s="27"/>
      <c r="BL68" s="27"/>
      <c r="BM68" s="27"/>
      <c r="BN68" s="28" t="str">
        <f aca="false">IF(OR(AX68="Yes",BI68="Yes"),"Yes",IF(AND(AX68="No",BI68="No"),"No",IF(AND(AX68="",BI68=""),"","Unknown")))</f>
        <v/>
      </c>
      <c r="BO68" s="31" t="str">
        <f aca="false">IF(COUNT(AY68,BJ68)=0,"",MIN(AY68,BJ68))</f>
        <v/>
      </c>
      <c r="BP68" s="29"/>
      <c r="BQ68" s="29"/>
      <c r="BR68" s="29"/>
      <c r="BS68" s="28" t="str">
        <f aca="false">IF(AND(N(BP68)&gt;0,N(BR68)&gt;0),BR68-BP68,"")</f>
        <v/>
      </c>
      <c r="BT68" s="28" t="str">
        <f aca="false">IF(BS68="","",ROUND(BS68/365.25,2))</f>
        <v/>
      </c>
      <c r="BU68" s="28" t="str">
        <f aca="false">IF(BS68="","",IF(BS68&gt;=730.5,"Yes","No"))</f>
        <v/>
      </c>
      <c r="BV68" s="27"/>
      <c r="BW68" s="29"/>
      <c r="BX68" s="27"/>
      <c r="BY68" s="27"/>
      <c r="BZ68" s="28" t="str">
        <f aca="false">IF(N(E68)=0,"",IF(E68&lt;65,"Under 65","≥65"))</f>
        <v/>
      </c>
      <c r="CA68" s="28" t="str">
        <f aca="false">IF(OR(AC68="Yes",AC68="No"),AC68,"")</f>
        <v/>
      </c>
      <c r="CB68" s="28" t="str">
        <f aca="false">IF(OR(AD68="Yes",AD68="No"),AD68,"")</f>
        <v/>
      </c>
      <c r="CC68" s="28" t="str">
        <f aca="false">IF(F68="","",F68)</f>
        <v/>
      </c>
      <c r="CD68" s="27"/>
      <c r="CE68" s="27"/>
    </row>
    <row r="69" customFormat="false" ht="15" hidden="false" customHeight="false" outlineLevel="0" collapsed="false">
      <c r="A69" s="27"/>
      <c r="B69" s="27"/>
      <c r="C69" s="27"/>
      <c r="D69" s="27"/>
      <c r="E69" s="27"/>
      <c r="F69" s="27"/>
      <c r="G69" s="27"/>
      <c r="H69" s="27"/>
      <c r="I69" s="27"/>
      <c r="J69" s="28" t="str">
        <f aca="false">IF(AND(N(H69)&gt;0,N(I69)&gt;0),ROUND(I69/(H69/100)^2,1),"")</f>
        <v/>
      </c>
      <c r="K69" s="27"/>
      <c r="L69" s="27"/>
      <c r="M69" s="27"/>
      <c r="N69" s="27"/>
      <c r="O69" s="27"/>
      <c r="P69" s="27"/>
      <c r="Q69" s="27"/>
      <c r="R69" s="29"/>
      <c r="S69" s="29"/>
      <c r="T69" s="27"/>
      <c r="U69" s="28" t="str">
        <f aca="false">IF(N(T69)=0,"",IF(T69&lt;12,"Under 12 months",IF(T69&lt;36,"12-35 months",IF(T69&lt;60,"36-59 months","≥60 months"))))</f>
        <v/>
      </c>
      <c r="V69" s="27"/>
      <c r="W69" s="30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9"/>
      <c r="AT69" s="30"/>
      <c r="AU69" s="30"/>
      <c r="AV69" s="30"/>
      <c r="AW69" s="27"/>
      <c r="AX69" s="27"/>
      <c r="AY69" s="29"/>
      <c r="AZ69" s="27"/>
      <c r="BA69" s="27"/>
      <c r="BB69" s="29"/>
      <c r="BC69" s="30"/>
      <c r="BD69" s="30"/>
      <c r="BE69" s="30"/>
      <c r="BF69" s="27"/>
      <c r="BG69" s="27"/>
      <c r="BH69" s="28" t="str">
        <f aca="false">IF(COUNT(BC69:BE69)=0,"",IF(MIN(BC69:BE69)&lt;=-2.5,"Yes","No"))</f>
        <v/>
      </c>
      <c r="BI69" s="27"/>
      <c r="BJ69" s="29"/>
      <c r="BK69" s="27"/>
      <c r="BL69" s="27"/>
      <c r="BM69" s="27"/>
      <c r="BN69" s="28" t="str">
        <f aca="false">IF(OR(AX69="Yes",BI69="Yes"),"Yes",IF(AND(AX69="No",BI69="No"),"No",IF(AND(AX69="",BI69=""),"","Unknown")))</f>
        <v/>
      </c>
      <c r="BO69" s="31" t="str">
        <f aca="false">IF(COUNT(AY69,BJ69)=0,"",MIN(AY69,BJ69))</f>
        <v/>
      </c>
      <c r="BP69" s="29"/>
      <c r="BQ69" s="29"/>
      <c r="BR69" s="29"/>
      <c r="BS69" s="28" t="str">
        <f aca="false">IF(AND(N(BP69)&gt;0,N(BR69)&gt;0),BR69-BP69,"")</f>
        <v/>
      </c>
      <c r="BT69" s="28" t="str">
        <f aca="false">IF(BS69="","",ROUND(BS69/365.25,2))</f>
        <v/>
      </c>
      <c r="BU69" s="28" t="str">
        <f aca="false">IF(BS69="","",IF(BS69&gt;=730.5,"Yes","No"))</f>
        <v/>
      </c>
      <c r="BV69" s="27"/>
      <c r="BW69" s="29"/>
      <c r="BX69" s="27"/>
      <c r="BY69" s="27"/>
      <c r="BZ69" s="28" t="str">
        <f aca="false">IF(N(E69)=0,"",IF(E69&lt;65,"Under 65","≥65"))</f>
        <v/>
      </c>
      <c r="CA69" s="28" t="str">
        <f aca="false">IF(OR(AC69="Yes",AC69="No"),AC69,"")</f>
        <v/>
      </c>
      <c r="CB69" s="28" t="str">
        <f aca="false">IF(OR(AD69="Yes",AD69="No"),AD69,"")</f>
        <v/>
      </c>
      <c r="CC69" s="28" t="str">
        <f aca="false">IF(F69="","",F69)</f>
        <v/>
      </c>
      <c r="CD69" s="27"/>
      <c r="CE69" s="27"/>
    </row>
    <row r="70" customFormat="false" ht="15" hidden="false" customHeight="false" outlineLevel="0" collapsed="false">
      <c r="A70" s="27"/>
      <c r="B70" s="27"/>
      <c r="C70" s="27"/>
      <c r="D70" s="27"/>
      <c r="E70" s="27"/>
      <c r="F70" s="27"/>
      <c r="G70" s="27"/>
      <c r="H70" s="27"/>
      <c r="I70" s="27"/>
      <c r="J70" s="28" t="str">
        <f aca="false">IF(AND(N(H70)&gt;0,N(I70)&gt;0),ROUND(I70/(H70/100)^2,1),"")</f>
        <v/>
      </c>
      <c r="K70" s="27"/>
      <c r="L70" s="27"/>
      <c r="M70" s="27"/>
      <c r="N70" s="27"/>
      <c r="O70" s="27"/>
      <c r="P70" s="27"/>
      <c r="Q70" s="27"/>
      <c r="R70" s="29"/>
      <c r="S70" s="29"/>
      <c r="T70" s="27"/>
      <c r="U70" s="28" t="str">
        <f aca="false">IF(N(T70)=0,"",IF(T70&lt;12,"Under 12 months",IF(T70&lt;36,"12-35 months",IF(T70&lt;60,"36-59 months","≥60 months"))))</f>
        <v/>
      </c>
      <c r="V70" s="27"/>
      <c r="W70" s="30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9"/>
      <c r="AT70" s="30"/>
      <c r="AU70" s="30"/>
      <c r="AV70" s="30"/>
      <c r="AW70" s="27"/>
      <c r="AX70" s="27"/>
      <c r="AY70" s="29"/>
      <c r="AZ70" s="27"/>
      <c r="BA70" s="27"/>
      <c r="BB70" s="29"/>
      <c r="BC70" s="30"/>
      <c r="BD70" s="30"/>
      <c r="BE70" s="30"/>
      <c r="BF70" s="27"/>
      <c r="BG70" s="27"/>
      <c r="BH70" s="28" t="str">
        <f aca="false">IF(COUNT(BC70:BE70)=0,"",IF(MIN(BC70:BE70)&lt;=-2.5,"Yes","No"))</f>
        <v/>
      </c>
      <c r="BI70" s="27"/>
      <c r="BJ70" s="29"/>
      <c r="BK70" s="27"/>
      <c r="BL70" s="27"/>
      <c r="BM70" s="27"/>
      <c r="BN70" s="28" t="str">
        <f aca="false">IF(OR(AX70="Yes",BI70="Yes"),"Yes",IF(AND(AX70="No",BI70="No"),"No",IF(AND(AX70="",BI70=""),"","Unknown")))</f>
        <v/>
      </c>
      <c r="BO70" s="31" t="str">
        <f aca="false">IF(COUNT(AY70,BJ70)=0,"",MIN(AY70,BJ70))</f>
        <v/>
      </c>
      <c r="BP70" s="29"/>
      <c r="BQ70" s="29"/>
      <c r="BR70" s="29"/>
      <c r="BS70" s="28" t="str">
        <f aca="false">IF(AND(N(BP70)&gt;0,N(BR70)&gt;0),BR70-BP70,"")</f>
        <v/>
      </c>
      <c r="BT70" s="28" t="str">
        <f aca="false">IF(BS70="","",ROUND(BS70/365.25,2))</f>
        <v/>
      </c>
      <c r="BU70" s="28" t="str">
        <f aca="false">IF(BS70="","",IF(BS70&gt;=730.5,"Yes","No"))</f>
        <v/>
      </c>
      <c r="BV70" s="27"/>
      <c r="BW70" s="29"/>
      <c r="BX70" s="27"/>
      <c r="BY70" s="27"/>
      <c r="BZ70" s="28" t="str">
        <f aca="false">IF(N(E70)=0,"",IF(E70&lt;65,"Under 65","≥65"))</f>
        <v/>
      </c>
      <c r="CA70" s="28" t="str">
        <f aca="false">IF(OR(AC70="Yes",AC70="No"),AC70,"")</f>
        <v/>
      </c>
      <c r="CB70" s="28" t="str">
        <f aca="false">IF(OR(AD70="Yes",AD70="No"),AD70,"")</f>
        <v/>
      </c>
      <c r="CC70" s="28" t="str">
        <f aca="false">IF(F70="","",F70)</f>
        <v/>
      </c>
      <c r="CD70" s="27"/>
      <c r="CE70" s="27"/>
    </row>
    <row r="71" customFormat="false" ht="15" hidden="false" customHeight="false" outlineLevel="0" collapsed="false">
      <c r="A71" s="27"/>
      <c r="B71" s="27"/>
      <c r="C71" s="27"/>
      <c r="D71" s="27"/>
      <c r="E71" s="27"/>
      <c r="F71" s="27"/>
      <c r="G71" s="27"/>
      <c r="H71" s="27"/>
      <c r="I71" s="27"/>
      <c r="J71" s="28" t="str">
        <f aca="false">IF(AND(N(H71)&gt;0,N(I71)&gt;0),ROUND(I71/(H71/100)^2,1),"")</f>
        <v/>
      </c>
      <c r="K71" s="27"/>
      <c r="L71" s="27"/>
      <c r="M71" s="27"/>
      <c r="N71" s="27"/>
      <c r="O71" s="27"/>
      <c r="P71" s="27"/>
      <c r="Q71" s="27"/>
      <c r="R71" s="29"/>
      <c r="S71" s="29"/>
      <c r="T71" s="27"/>
      <c r="U71" s="28" t="str">
        <f aca="false">IF(N(T71)=0,"",IF(T71&lt;12,"Under 12 months",IF(T71&lt;36,"12-35 months",IF(T71&lt;60,"36-59 months","≥60 months"))))</f>
        <v/>
      </c>
      <c r="V71" s="27"/>
      <c r="W71" s="30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9"/>
      <c r="AT71" s="30"/>
      <c r="AU71" s="30"/>
      <c r="AV71" s="30"/>
      <c r="AW71" s="27"/>
      <c r="AX71" s="27"/>
      <c r="AY71" s="29"/>
      <c r="AZ71" s="27"/>
      <c r="BA71" s="27"/>
      <c r="BB71" s="29"/>
      <c r="BC71" s="30"/>
      <c r="BD71" s="30"/>
      <c r="BE71" s="30"/>
      <c r="BF71" s="27"/>
      <c r="BG71" s="27"/>
      <c r="BH71" s="28" t="str">
        <f aca="false">IF(COUNT(BC71:BE71)=0,"",IF(MIN(BC71:BE71)&lt;=-2.5,"Yes","No"))</f>
        <v/>
      </c>
      <c r="BI71" s="27"/>
      <c r="BJ71" s="29"/>
      <c r="BK71" s="27"/>
      <c r="BL71" s="27"/>
      <c r="BM71" s="27"/>
      <c r="BN71" s="28" t="str">
        <f aca="false">IF(OR(AX71="Yes",BI71="Yes"),"Yes",IF(AND(AX71="No",BI71="No"),"No",IF(AND(AX71="",BI71=""),"","Unknown")))</f>
        <v/>
      </c>
      <c r="BO71" s="31" t="str">
        <f aca="false">IF(COUNT(AY71,BJ71)=0,"",MIN(AY71,BJ71))</f>
        <v/>
      </c>
      <c r="BP71" s="29"/>
      <c r="BQ71" s="29"/>
      <c r="BR71" s="29"/>
      <c r="BS71" s="28" t="str">
        <f aca="false">IF(AND(N(BP71)&gt;0,N(BR71)&gt;0),BR71-BP71,"")</f>
        <v/>
      </c>
      <c r="BT71" s="28" t="str">
        <f aca="false">IF(BS71="","",ROUND(BS71/365.25,2))</f>
        <v/>
      </c>
      <c r="BU71" s="28" t="str">
        <f aca="false">IF(BS71="","",IF(BS71&gt;=730.5,"Yes","No"))</f>
        <v/>
      </c>
      <c r="BV71" s="27"/>
      <c r="BW71" s="29"/>
      <c r="BX71" s="27"/>
      <c r="BY71" s="27"/>
      <c r="BZ71" s="28" t="str">
        <f aca="false">IF(N(E71)=0,"",IF(E71&lt;65,"Under 65","≥65"))</f>
        <v/>
      </c>
      <c r="CA71" s="28" t="str">
        <f aca="false">IF(OR(AC71="Yes",AC71="No"),AC71,"")</f>
        <v/>
      </c>
      <c r="CB71" s="28" t="str">
        <f aca="false">IF(OR(AD71="Yes",AD71="No"),AD71,"")</f>
        <v/>
      </c>
      <c r="CC71" s="28" t="str">
        <f aca="false">IF(F71="","",F71)</f>
        <v/>
      </c>
      <c r="CD71" s="27"/>
      <c r="CE71" s="27"/>
    </row>
    <row r="72" customFormat="false" ht="15" hidden="false" customHeight="false" outlineLevel="0" collapsed="false">
      <c r="A72" s="27"/>
      <c r="B72" s="27"/>
      <c r="C72" s="27"/>
      <c r="D72" s="27"/>
      <c r="E72" s="27"/>
      <c r="F72" s="27"/>
      <c r="G72" s="27"/>
      <c r="H72" s="27"/>
      <c r="I72" s="27"/>
      <c r="J72" s="28" t="str">
        <f aca="false">IF(AND(N(H72)&gt;0,N(I72)&gt;0),ROUND(I72/(H72/100)^2,1),"")</f>
        <v/>
      </c>
      <c r="K72" s="27"/>
      <c r="L72" s="27"/>
      <c r="M72" s="27"/>
      <c r="N72" s="27"/>
      <c r="O72" s="27"/>
      <c r="P72" s="27"/>
      <c r="Q72" s="27"/>
      <c r="R72" s="29"/>
      <c r="S72" s="29"/>
      <c r="T72" s="27"/>
      <c r="U72" s="28" t="str">
        <f aca="false">IF(N(T72)=0,"",IF(T72&lt;12,"Under 12 months",IF(T72&lt;36,"12-35 months",IF(T72&lt;60,"36-59 months","≥60 months"))))</f>
        <v/>
      </c>
      <c r="V72" s="27"/>
      <c r="W72" s="30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9"/>
      <c r="AT72" s="30"/>
      <c r="AU72" s="30"/>
      <c r="AV72" s="30"/>
      <c r="AW72" s="27"/>
      <c r="AX72" s="27"/>
      <c r="AY72" s="29"/>
      <c r="AZ72" s="27"/>
      <c r="BA72" s="27"/>
      <c r="BB72" s="29"/>
      <c r="BC72" s="30"/>
      <c r="BD72" s="30"/>
      <c r="BE72" s="30"/>
      <c r="BF72" s="27"/>
      <c r="BG72" s="27"/>
      <c r="BH72" s="28" t="str">
        <f aca="false">IF(COUNT(BC72:BE72)=0,"",IF(MIN(BC72:BE72)&lt;=-2.5,"Yes","No"))</f>
        <v/>
      </c>
      <c r="BI72" s="27"/>
      <c r="BJ72" s="29"/>
      <c r="BK72" s="27"/>
      <c r="BL72" s="27"/>
      <c r="BM72" s="27"/>
      <c r="BN72" s="28" t="str">
        <f aca="false">IF(OR(AX72="Yes",BI72="Yes"),"Yes",IF(AND(AX72="No",BI72="No"),"No",IF(AND(AX72="",BI72=""),"","Unknown")))</f>
        <v/>
      </c>
      <c r="BO72" s="31" t="str">
        <f aca="false">IF(COUNT(AY72,BJ72)=0,"",MIN(AY72,BJ72))</f>
        <v/>
      </c>
      <c r="BP72" s="29"/>
      <c r="BQ72" s="29"/>
      <c r="BR72" s="29"/>
      <c r="BS72" s="28" t="str">
        <f aca="false">IF(AND(N(BP72)&gt;0,N(BR72)&gt;0),BR72-BP72,"")</f>
        <v/>
      </c>
      <c r="BT72" s="28" t="str">
        <f aca="false">IF(BS72="","",ROUND(BS72/365.25,2))</f>
        <v/>
      </c>
      <c r="BU72" s="28" t="str">
        <f aca="false">IF(BS72="","",IF(BS72&gt;=730.5,"Yes","No"))</f>
        <v/>
      </c>
      <c r="BV72" s="27"/>
      <c r="BW72" s="29"/>
      <c r="BX72" s="27"/>
      <c r="BY72" s="27"/>
      <c r="BZ72" s="28" t="str">
        <f aca="false">IF(N(E72)=0,"",IF(E72&lt;65,"Under 65","≥65"))</f>
        <v/>
      </c>
      <c r="CA72" s="28" t="str">
        <f aca="false">IF(OR(AC72="Yes",AC72="No"),AC72,"")</f>
        <v/>
      </c>
      <c r="CB72" s="28" t="str">
        <f aca="false">IF(OR(AD72="Yes",AD72="No"),AD72,"")</f>
        <v/>
      </c>
      <c r="CC72" s="28" t="str">
        <f aca="false">IF(F72="","",F72)</f>
        <v/>
      </c>
      <c r="CD72" s="27"/>
      <c r="CE72" s="27"/>
    </row>
    <row r="73" customFormat="false" ht="15" hidden="false" customHeight="false" outlineLevel="0" collapsed="false">
      <c r="A73" s="27"/>
      <c r="B73" s="27"/>
      <c r="C73" s="27"/>
      <c r="D73" s="27"/>
      <c r="E73" s="27"/>
      <c r="F73" s="27"/>
      <c r="G73" s="27"/>
      <c r="H73" s="27"/>
      <c r="I73" s="27"/>
      <c r="J73" s="28" t="str">
        <f aca="false">IF(AND(N(H73)&gt;0,N(I73)&gt;0),ROUND(I73/(H73/100)^2,1),"")</f>
        <v/>
      </c>
      <c r="K73" s="27"/>
      <c r="L73" s="27"/>
      <c r="M73" s="27"/>
      <c r="N73" s="27"/>
      <c r="O73" s="27"/>
      <c r="P73" s="27"/>
      <c r="Q73" s="27"/>
      <c r="R73" s="29"/>
      <c r="S73" s="29"/>
      <c r="T73" s="27"/>
      <c r="U73" s="28" t="str">
        <f aca="false">IF(N(T73)=0,"",IF(T73&lt;12,"Under 12 months",IF(T73&lt;36,"12-35 months",IF(T73&lt;60,"36-59 months","≥60 months"))))</f>
        <v/>
      </c>
      <c r="V73" s="27"/>
      <c r="W73" s="30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9"/>
      <c r="AT73" s="30"/>
      <c r="AU73" s="30"/>
      <c r="AV73" s="30"/>
      <c r="AW73" s="27"/>
      <c r="AX73" s="27"/>
      <c r="AY73" s="29"/>
      <c r="AZ73" s="27"/>
      <c r="BA73" s="27"/>
      <c r="BB73" s="29"/>
      <c r="BC73" s="30"/>
      <c r="BD73" s="30"/>
      <c r="BE73" s="30"/>
      <c r="BF73" s="27"/>
      <c r="BG73" s="27"/>
      <c r="BH73" s="28" t="str">
        <f aca="false">IF(COUNT(BC73:BE73)=0,"",IF(MIN(BC73:BE73)&lt;=-2.5,"Yes","No"))</f>
        <v/>
      </c>
      <c r="BI73" s="27"/>
      <c r="BJ73" s="29"/>
      <c r="BK73" s="27"/>
      <c r="BL73" s="27"/>
      <c r="BM73" s="27"/>
      <c r="BN73" s="28" t="str">
        <f aca="false">IF(OR(AX73="Yes",BI73="Yes"),"Yes",IF(AND(AX73="No",BI73="No"),"No",IF(AND(AX73="",BI73=""),"","Unknown")))</f>
        <v/>
      </c>
      <c r="BO73" s="31" t="str">
        <f aca="false">IF(COUNT(AY73,BJ73)=0,"",MIN(AY73,BJ73))</f>
        <v/>
      </c>
      <c r="BP73" s="29"/>
      <c r="BQ73" s="29"/>
      <c r="BR73" s="29"/>
      <c r="BS73" s="28" t="str">
        <f aca="false">IF(AND(N(BP73)&gt;0,N(BR73)&gt;0),BR73-BP73,"")</f>
        <v/>
      </c>
      <c r="BT73" s="28" t="str">
        <f aca="false">IF(BS73="","",ROUND(BS73/365.25,2))</f>
        <v/>
      </c>
      <c r="BU73" s="28" t="str">
        <f aca="false">IF(BS73="","",IF(BS73&gt;=730.5,"Yes","No"))</f>
        <v/>
      </c>
      <c r="BV73" s="27"/>
      <c r="BW73" s="29"/>
      <c r="BX73" s="27"/>
      <c r="BY73" s="27"/>
      <c r="BZ73" s="28" t="str">
        <f aca="false">IF(N(E73)=0,"",IF(E73&lt;65,"Under 65","≥65"))</f>
        <v/>
      </c>
      <c r="CA73" s="28" t="str">
        <f aca="false">IF(OR(AC73="Yes",AC73="No"),AC73,"")</f>
        <v/>
      </c>
      <c r="CB73" s="28" t="str">
        <f aca="false">IF(OR(AD73="Yes",AD73="No"),AD73,"")</f>
        <v/>
      </c>
      <c r="CC73" s="28" t="str">
        <f aca="false">IF(F73="","",F73)</f>
        <v/>
      </c>
      <c r="CD73" s="27"/>
      <c r="CE73" s="27"/>
    </row>
    <row r="74" customFormat="false" ht="15" hidden="false" customHeight="false" outlineLevel="0" collapsed="false">
      <c r="A74" s="27"/>
      <c r="B74" s="27"/>
      <c r="C74" s="27"/>
      <c r="D74" s="27"/>
      <c r="E74" s="27"/>
      <c r="F74" s="27"/>
      <c r="G74" s="27"/>
      <c r="H74" s="27"/>
      <c r="I74" s="27"/>
      <c r="J74" s="28" t="str">
        <f aca="false">IF(AND(N(H74)&gt;0,N(I74)&gt;0),ROUND(I74/(H74/100)^2,1),"")</f>
        <v/>
      </c>
      <c r="K74" s="27"/>
      <c r="L74" s="27"/>
      <c r="M74" s="27"/>
      <c r="N74" s="27"/>
      <c r="O74" s="27"/>
      <c r="P74" s="27"/>
      <c r="Q74" s="27"/>
      <c r="R74" s="29"/>
      <c r="S74" s="29"/>
      <c r="T74" s="27"/>
      <c r="U74" s="28" t="str">
        <f aca="false">IF(N(T74)=0,"",IF(T74&lt;12,"Under 12 months",IF(T74&lt;36,"12-35 months",IF(T74&lt;60,"36-59 months","≥60 months"))))</f>
        <v/>
      </c>
      <c r="V74" s="27"/>
      <c r="W74" s="30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9"/>
      <c r="AT74" s="30"/>
      <c r="AU74" s="30"/>
      <c r="AV74" s="30"/>
      <c r="AW74" s="27"/>
      <c r="AX74" s="27"/>
      <c r="AY74" s="29"/>
      <c r="AZ74" s="27"/>
      <c r="BA74" s="27"/>
      <c r="BB74" s="29"/>
      <c r="BC74" s="30"/>
      <c r="BD74" s="30"/>
      <c r="BE74" s="30"/>
      <c r="BF74" s="27"/>
      <c r="BG74" s="27"/>
      <c r="BH74" s="28" t="str">
        <f aca="false">IF(COUNT(BC74:BE74)=0,"",IF(MIN(BC74:BE74)&lt;=-2.5,"Yes","No"))</f>
        <v/>
      </c>
      <c r="BI74" s="27"/>
      <c r="BJ74" s="29"/>
      <c r="BK74" s="27"/>
      <c r="BL74" s="27"/>
      <c r="BM74" s="27"/>
      <c r="BN74" s="28" t="str">
        <f aca="false">IF(OR(AX74="Yes",BI74="Yes"),"Yes",IF(AND(AX74="No",BI74="No"),"No",IF(AND(AX74="",BI74=""),"","Unknown")))</f>
        <v/>
      </c>
      <c r="BO74" s="31" t="str">
        <f aca="false">IF(COUNT(AY74,BJ74)=0,"",MIN(AY74,BJ74))</f>
        <v/>
      </c>
      <c r="BP74" s="29"/>
      <c r="BQ74" s="29"/>
      <c r="BR74" s="29"/>
      <c r="BS74" s="28" t="str">
        <f aca="false">IF(AND(N(BP74)&gt;0,N(BR74)&gt;0),BR74-BP74,"")</f>
        <v/>
      </c>
      <c r="BT74" s="28" t="str">
        <f aca="false">IF(BS74="","",ROUND(BS74/365.25,2))</f>
        <v/>
      </c>
      <c r="BU74" s="28" t="str">
        <f aca="false">IF(BS74="","",IF(BS74&gt;=730.5,"Yes","No"))</f>
        <v/>
      </c>
      <c r="BV74" s="27"/>
      <c r="BW74" s="29"/>
      <c r="BX74" s="27"/>
      <c r="BY74" s="27"/>
      <c r="BZ74" s="28" t="str">
        <f aca="false">IF(N(E74)=0,"",IF(E74&lt;65,"Under 65","≥65"))</f>
        <v/>
      </c>
      <c r="CA74" s="28" t="str">
        <f aca="false">IF(OR(AC74="Yes",AC74="No"),AC74,"")</f>
        <v/>
      </c>
      <c r="CB74" s="28" t="str">
        <f aca="false">IF(OR(AD74="Yes",AD74="No"),AD74,"")</f>
        <v/>
      </c>
      <c r="CC74" s="28" t="str">
        <f aca="false">IF(F74="","",F74)</f>
        <v/>
      </c>
      <c r="CD74" s="27"/>
      <c r="CE74" s="27"/>
    </row>
    <row r="75" customFormat="false" ht="15" hidden="false" customHeight="false" outlineLevel="0" collapsed="false">
      <c r="A75" s="27"/>
      <c r="B75" s="27"/>
      <c r="C75" s="27"/>
      <c r="D75" s="27"/>
      <c r="E75" s="27"/>
      <c r="F75" s="27"/>
      <c r="G75" s="27"/>
      <c r="H75" s="27"/>
      <c r="I75" s="27"/>
      <c r="J75" s="28" t="str">
        <f aca="false">IF(AND(N(H75)&gt;0,N(I75)&gt;0),ROUND(I75/(H75/100)^2,1),"")</f>
        <v/>
      </c>
      <c r="K75" s="27"/>
      <c r="L75" s="27"/>
      <c r="M75" s="27"/>
      <c r="N75" s="27"/>
      <c r="O75" s="27"/>
      <c r="P75" s="27"/>
      <c r="Q75" s="27"/>
      <c r="R75" s="29"/>
      <c r="S75" s="29"/>
      <c r="T75" s="27"/>
      <c r="U75" s="28" t="str">
        <f aca="false">IF(N(T75)=0,"",IF(T75&lt;12,"Under 12 months",IF(T75&lt;36,"12-35 months",IF(T75&lt;60,"36-59 months","≥60 months"))))</f>
        <v/>
      </c>
      <c r="V75" s="27"/>
      <c r="W75" s="30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9"/>
      <c r="AT75" s="30"/>
      <c r="AU75" s="30"/>
      <c r="AV75" s="30"/>
      <c r="AW75" s="27"/>
      <c r="AX75" s="27"/>
      <c r="AY75" s="29"/>
      <c r="AZ75" s="27"/>
      <c r="BA75" s="27"/>
      <c r="BB75" s="29"/>
      <c r="BC75" s="30"/>
      <c r="BD75" s="30"/>
      <c r="BE75" s="30"/>
      <c r="BF75" s="27"/>
      <c r="BG75" s="27"/>
      <c r="BH75" s="28" t="str">
        <f aca="false">IF(COUNT(BC75:BE75)=0,"",IF(MIN(BC75:BE75)&lt;=-2.5,"Yes","No"))</f>
        <v/>
      </c>
      <c r="BI75" s="27"/>
      <c r="BJ75" s="29"/>
      <c r="BK75" s="27"/>
      <c r="BL75" s="27"/>
      <c r="BM75" s="27"/>
      <c r="BN75" s="28" t="str">
        <f aca="false">IF(OR(AX75="Yes",BI75="Yes"),"Yes",IF(AND(AX75="No",BI75="No"),"No",IF(AND(AX75="",BI75=""),"","Unknown")))</f>
        <v/>
      </c>
      <c r="BO75" s="31" t="str">
        <f aca="false">IF(COUNT(AY75,BJ75)=0,"",MIN(AY75,BJ75))</f>
        <v/>
      </c>
      <c r="BP75" s="29"/>
      <c r="BQ75" s="29"/>
      <c r="BR75" s="29"/>
      <c r="BS75" s="28" t="str">
        <f aca="false">IF(AND(N(BP75)&gt;0,N(BR75)&gt;0),BR75-BP75,"")</f>
        <v/>
      </c>
      <c r="BT75" s="28" t="str">
        <f aca="false">IF(BS75="","",ROUND(BS75/365.25,2))</f>
        <v/>
      </c>
      <c r="BU75" s="28" t="str">
        <f aca="false">IF(BS75="","",IF(BS75&gt;=730.5,"Yes","No"))</f>
        <v/>
      </c>
      <c r="BV75" s="27"/>
      <c r="BW75" s="29"/>
      <c r="BX75" s="27"/>
      <c r="BY75" s="27"/>
      <c r="BZ75" s="28" t="str">
        <f aca="false">IF(N(E75)=0,"",IF(E75&lt;65,"Under 65","≥65"))</f>
        <v/>
      </c>
      <c r="CA75" s="28" t="str">
        <f aca="false">IF(OR(AC75="Yes",AC75="No"),AC75,"")</f>
        <v/>
      </c>
      <c r="CB75" s="28" t="str">
        <f aca="false">IF(OR(AD75="Yes",AD75="No"),AD75,"")</f>
        <v/>
      </c>
      <c r="CC75" s="28" t="str">
        <f aca="false">IF(F75="","",F75)</f>
        <v/>
      </c>
      <c r="CD75" s="27"/>
      <c r="CE75" s="27"/>
    </row>
    <row r="76" customFormat="false" ht="15" hidden="false" customHeight="false" outlineLevel="0" collapsed="false">
      <c r="A76" s="27"/>
      <c r="B76" s="27"/>
      <c r="C76" s="27"/>
      <c r="D76" s="27"/>
      <c r="E76" s="27"/>
      <c r="F76" s="27"/>
      <c r="G76" s="27"/>
      <c r="H76" s="27"/>
      <c r="I76" s="27"/>
      <c r="J76" s="28" t="str">
        <f aca="false">IF(AND(N(H76)&gt;0,N(I76)&gt;0),ROUND(I76/(H76/100)^2,1),"")</f>
        <v/>
      </c>
      <c r="K76" s="27"/>
      <c r="L76" s="27"/>
      <c r="M76" s="27"/>
      <c r="N76" s="27"/>
      <c r="O76" s="27"/>
      <c r="P76" s="27"/>
      <c r="Q76" s="27"/>
      <c r="R76" s="29"/>
      <c r="S76" s="29"/>
      <c r="T76" s="27"/>
      <c r="U76" s="28" t="str">
        <f aca="false">IF(N(T76)=0,"",IF(T76&lt;12,"Under 12 months",IF(T76&lt;36,"12-35 months",IF(T76&lt;60,"36-59 months","≥60 months"))))</f>
        <v/>
      </c>
      <c r="V76" s="27"/>
      <c r="W76" s="30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9"/>
      <c r="AT76" s="30"/>
      <c r="AU76" s="30"/>
      <c r="AV76" s="30"/>
      <c r="AW76" s="27"/>
      <c r="AX76" s="27"/>
      <c r="AY76" s="29"/>
      <c r="AZ76" s="27"/>
      <c r="BA76" s="27"/>
      <c r="BB76" s="29"/>
      <c r="BC76" s="30"/>
      <c r="BD76" s="30"/>
      <c r="BE76" s="30"/>
      <c r="BF76" s="27"/>
      <c r="BG76" s="27"/>
      <c r="BH76" s="28" t="str">
        <f aca="false">IF(COUNT(BC76:BE76)=0,"",IF(MIN(BC76:BE76)&lt;=-2.5,"Yes","No"))</f>
        <v/>
      </c>
      <c r="BI76" s="27"/>
      <c r="BJ76" s="29"/>
      <c r="BK76" s="27"/>
      <c r="BL76" s="27"/>
      <c r="BM76" s="27"/>
      <c r="BN76" s="28" t="str">
        <f aca="false">IF(OR(AX76="Yes",BI76="Yes"),"Yes",IF(AND(AX76="No",BI76="No"),"No",IF(AND(AX76="",BI76=""),"","Unknown")))</f>
        <v/>
      </c>
      <c r="BO76" s="31" t="str">
        <f aca="false">IF(COUNT(AY76,BJ76)=0,"",MIN(AY76,BJ76))</f>
        <v/>
      </c>
      <c r="BP76" s="29"/>
      <c r="BQ76" s="29"/>
      <c r="BR76" s="29"/>
      <c r="BS76" s="28" t="str">
        <f aca="false">IF(AND(N(BP76)&gt;0,N(BR76)&gt;0),BR76-BP76,"")</f>
        <v/>
      </c>
      <c r="BT76" s="28" t="str">
        <f aca="false">IF(BS76="","",ROUND(BS76/365.25,2))</f>
        <v/>
      </c>
      <c r="BU76" s="28" t="str">
        <f aca="false">IF(BS76="","",IF(BS76&gt;=730.5,"Yes","No"))</f>
        <v/>
      </c>
      <c r="BV76" s="27"/>
      <c r="BW76" s="29"/>
      <c r="BX76" s="27"/>
      <c r="BY76" s="27"/>
      <c r="BZ76" s="28" t="str">
        <f aca="false">IF(N(E76)=0,"",IF(E76&lt;65,"Under 65","≥65"))</f>
        <v/>
      </c>
      <c r="CA76" s="28" t="str">
        <f aca="false">IF(OR(AC76="Yes",AC76="No"),AC76,"")</f>
        <v/>
      </c>
      <c r="CB76" s="28" t="str">
        <f aca="false">IF(OR(AD76="Yes",AD76="No"),AD76,"")</f>
        <v/>
      </c>
      <c r="CC76" s="28" t="str">
        <f aca="false">IF(F76="","",F76)</f>
        <v/>
      </c>
      <c r="CD76" s="27"/>
      <c r="CE76" s="27"/>
    </row>
    <row r="77" customFormat="false" ht="15" hidden="false" customHeight="false" outlineLevel="0" collapsed="false">
      <c r="A77" s="27"/>
      <c r="B77" s="27"/>
      <c r="C77" s="27"/>
      <c r="D77" s="27"/>
      <c r="E77" s="27"/>
      <c r="F77" s="27"/>
      <c r="G77" s="27"/>
      <c r="H77" s="27"/>
      <c r="I77" s="27"/>
      <c r="J77" s="28" t="str">
        <f aca="false">IF(AND(N(H77)&gt;0,N(I77)&gt;0),ROUND(I77/(H77/100)^2,1),"")</f>
        <v/>
      </c>
      <c r="K77" s="27"/>
      <c r="L77" s="27"/>
      <c r="M77" s="27"/>
      <c r="N77" s="27"/>
      <c r="O77" s="27"/>
      <c r="P77" s="27"/>
      <c r="Q77" s="27"/>
      <c r="R77" s="29"/>
      <c r="S77" s="29"/>
      <c r="T77" s="27"/>
      <c r="U77" s="28" t="str">
        <f aca="false">IF(N(T77)=0,"",IF(T77&lt;12,"Under 12 months",IF(T77&lt;36,"12-35 months",IF(T77&lt;60,"36-59 months","≥60 months"))))</f>
        <v/>
      </c>
      <c r="V77" s="27"/>
      <c r="W77" s="30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9"/>
      <c r="AT77" s="30"/>
      <c r="AU77" s="30"/>
      <c r="AV77" s="30"/>
      <c r="AW77" s="27"/>
      <c r="AX77" s="27"/>
      <c r="AY77" s="29"/>
      <c r="AZ77" s="27"/>
      <c r="BA77" s="27"/>
      <c r="BB77" s="29"/>
      <c r="BC77" s="30"/>
      <c r="BD77" s="30"/>
      <c r="BE77" s="30"/>
      <c r="BF77" s="27"/>
      <c r="BG77" s="27"/>
      <c r="BH77" s="28" t="str">
        <f aca="false">IF(COUNT(BC77:BE77)=0,"",IF(MIN(BC77:BE77)&lt;=-2.5,"Yes","No"))</f>
        <v/>
      </c>
      <c r="BI77" s="27"/>
      <c r="BJ77" s="29"/>
      <c r="BK77" s="27"/>
      <c r="BL77" s="27"/>
      <c r="BM77" s="27"/>
      <c r="BN77" s="28" t="str">
        <f aca="false">IF(OR(AX77="Yes",BI77="Yes"),"Yes",IF(AND(AX77="No",BI77="No"),"No",IF(AND(AX77="",BI77=""),"","Unknown")))</f>
        <v/>
      </c>
      <c r="BO77" s="31" t="str">
        <f aca="false">IF(COUNT(AY77,BJ77)=0,"",MIN(AY77,BJ77))</f>
        <v/>
      </c>
      <c r="BP77" s="29"/>
      <c r="BQ77" s="29"/>
      <c r="BR77" s="29"/>
      <c r="BS77" s="28" t="str">
        <f aca="false">IF(AND(N(BP77)&gt;0,N(BR77)&gt;0),BR77-BP77,"")</f>
        <v/>
      </c>
      <c r="BT77" s="28" t="str">
        <f aca="false">IF(BS77="","",ROUND(BS77/365.25,2))</f>
        <v/>
      </c>
      <c r="BU77" s="28" t="str">
        <f aca="false">IF(BS77="","",IF(BS77&gt;=730.5,"Yes","No"))</f>
        <v/>
      </c>
      <c r="BV77" s="27"/>
      <c r="BW77" s="29"/>
      <c r="BX77" s="27"/>
      <c r="BY77" s="27"/>
      <c r="BZ77" s="28" t="str">
        <f aca="false">IF(N(E77)=0,"",IF(E77&lt;65,"Under 65","≥65"))</f>
        <v/>
      </c>
      <c r="CA77" s="28" t="str">
        <f aca="false">IF(OR(AC77="Yes",AC77="No"),AC77,"")</f>
        <v/>
      </c>
      <c r="CB77" s="28" t="str">
        <f aca="false">IF(OR(AD77="Yes",AD77="No"),AD77,"")</f>
        <v/>
      </c>
      <c r="CC77" s="28" t="str">
        <f aca="false">IF(F77="","",F77)</f>
        <v/>
      </c>
      <c r="CD77" s="27"/>
      <c r="CE77" s="27"/>
    </row>
    <row r="78" customFormat="false" ht="15" hidden="false" customHeight="false" outlineLevel="0" collapsed="false">
      <c r="A78" s="27"/>
      <c r="B78" s="27"/>
      <c r="C78" s="27"/>
      <c r="D78" s="27"/>
      <c r="E78" s="27"/>
      <c r="F78" s="27"/>
      <c r="G78" s="27"/>
      <c r="H78" s="27"/>
      <c r="I78" s="27"/>
      <c r="J78" s="28" t="str">
        <f aca="false">IF(AND(N(H78)&gt;0,N(I78)&gt;0),ROUND(I78/(H78/100)^2,1),"")</f>
        <v/>
      </c>
      <c r="K78" s="27"/>
      <c r="L78" s="27"/>
      <c r="M78" s="27"/>
      <c r="N78" s="27"/>
      <c r="O78" s="27"/>
      <c r="P78" s="27"/>
      <c r="Q78" s="27"/>
      <c r="R78" s="29"/>
      <c r="S78" s="29"/>
      <c r="T78" s="27"/>
      <c r="U78" s="28" t="str">
        <f aca="false">IF(N(T78)=0,"",IF(T78&lt;12,"Under 12 months",IF(T78&lt;36,"12-35 months",IF(T78&lt;60,"36-59 months","≥60 months"))))</f>
        <v/>
      </c>
      <c r="V78" s="27"/>
      <c r="W78" s="30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9"/>
      <c r="AT78" s="30"/>
      <c r="AU78" s="30"/>
      <c r="AV78" s="30"/>
      <c r="AW78" s="27"/>
      <c r="AX78" s="27"/>
      <c r="AY78" s="29"/>
      <c r="AZ78" s="27"/>
      <c r="BA78" s="27"/>
      <c r="BB78" s="29"/>
      <c r="BC78" s="30"/>
      <c r="BD78" s="30"/>
      <c r="BE78" s="30"/>
      <c r="BF78" s="27"/>
      <c r="BG78" s="27"/>
      <c r="BH78" s="28" t="str">
        <f aca="false">IF(COUNT(BC78:BE78)=0,"",IF(MIN(BC78:BE78)&lt;=-2.5,"Yes","No"))</f>
        <v/>
      </c>
      <c r="BI78" s="27"/>
      <c r="BJ78" s="29"/>
      <c r="BK78" s="27"/>
      <c r="BL78" s="27"/>
      <c r="BM78" s="27"/>
      <c r="BN78" s="28" t="str">
        <f aca="false">IF(OR(AX78="Yes",BI78="Yes"),"Yes",IF(AND(AX78="No",BI78="No"),"No",IF(AND(AX78="",BI78=""),"","Unknown")))</f>
        <v/>
      </c>
      <c r="BO78" s="31" t="str">
        <f aca="false">IF(COUNT(AY78,BJ78)=0,"",MIN(AY78,BJ78))</f>
        <v/>
      </c>
      <c r="BP78" s="29"/>
      <c r="BQ78" s="29"/>
      <c r="BR78" s="29"/>
      <c r="BS78" s="28" t="str">
        <f aca="false">IF(AND(N(BP78)&gt;0,N(BR78)&gt;0),BR78-BP78,"")</f>
        <v/>
      </c>
      <c r="BT78" s="28" t="str">
        <f aca="false">IF(BS78="","",ROUND(BS78/365.25,2))</f>
        <v/>
      </c>
      <c r="BU78" s="28" t="str">
        <f aca="false">IF(BS78="","",IF(BS78&gt;=730.5,"Yes","No"))</f>
        <v/>
      </c>
      <c r="BV78" s="27"/>
      <c r="BW78" s="29"/>
      <c r="BX78" s="27"/>
      <c r="BY78" s="27"/>
      <c r="BZ78" s="28" t="str">
        <f aca="false">IF(N(E78)=0,"",IF(E78&lt;65,"Under 65","≥65"))</f>
        <v/>
      </c>
      <c r="CA78" s="28" t="str">
        <f aca="false">IF(OR(AC78="Yes",AC78="No"),AC78,"")</f>
        <v/>
      </c>
      <c r="CB78" s="28" t="str">
        <f aca="false">IF(OR(AD78="Yes",AD78="No"),AD78,"")</f>
        <v/>
      </c>
      <c r="CC78" s="28" t="str">
        <f aca="false">IF(F78="","",F78)</f>
        <v/>
      </c>
      <c r="CD78" s="27"/>
      <c r="CE78" s="27"/>
    </row>
    <row r="79" customFormat="false" ht="15" hidden="false" customHeight="false" outlineLevel="0" collapsed="false">
      <c r="A79" s="27"/>
      <c r="B79" s="27"/>
      <c r="C79" s="27"/>
      <c r="D79" s="27"/>
      <c r="E79" s="27"/>
      <c r="F79" s="27"/>
      <c r="G79" s="27"/>
      <c r="H79" s="27"/>
      <c r="I79" s="27"/>
      <c r="J79" s="28" t="str">
        <f aca="false">IF(AND(N(H79)&gt;0,N(I79)&gt;0),ROUND(I79/(H79/100)^2,1),"")</f>
        <v/>
      </c>
      <c r="K79" s="27"/>
      <c r="L79" s="27"/>
      <c r="M79" s="27"/>
      <c r="N79" s="27"/>
      <c r="O79" s="27"/>
      <c r="P79" s="27"/>
      <c r="Q79" s="27"/>
      <c r="R79" s="29"/>
      <c r="S79" s="29"/>
      <c r="T79" s="27"/>
      <c r="U79" s="28" t="str">
        <f aca="false">IF(N(T79)=0,"",IF(T79&lt;12,"Under 12 months",IF(T79&lt;36,"12-35 months",IF(T79&lt;60,"36-59 months","≥60 months"))))</f>
        <v/>
      </c>
      <c r="V79" s="27"/>
      <c r="W79" s="30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9"/>
      <c r="AT79" s="30"/>
      <c r="AU79" s="30"/>
      <c r="AV79" s="30"/>
      <c r="AW79" s="27"/>
      <c r="AX79" s="27"/>
      <c r="AY79" s="29"/>
      <c r="AZ79" s="27"/>
      <c r="BA79" s="27"/>
      <c r="BB79" s="29"/>
      <c r="BC79" s="30"/>
      <c r="BD79" s="30"/>
      <c r="BE79" s="30"/>
      <c r="BF79" s="27"/>
      <c r="BG79" s="27"/>
      <c r="BH79" s="28" t="str">
        <f aca="false">IF(COUNT(BC79:BE79)=0,"",IF(MIN(BC79:BE79)&lt;=-2.5,"Yes","No"))</f>
        <v/>
      </c>
      <c r="BI79" s="27"/>
      <c r="BJ79" s="29"/>
      <c r="BK79" s="27"/>
      <c r="BL79" s="27"/>
      <c r="BM79" s="27"/>
      <c r="BN79" s="28" t="str">
        <f aca="false">IF(OR(AX79="Yes",BI79="Yes"),"Yes",IF(AND(AX79="No",BI79="No"),"No",IF(AND(AX79="",BI79=""),"","Unknown")))</f>
        <v/>
      </c>
      <c r="BO79" s="31" t="str">
        <f aca="false">IF(COUNT(AY79,BJ79)=0,"",MIN(AY79,BJ79))</f>
        <v/>
      </c>
      <c r="BP79" s="29"/>
      <c r="BQ79" s="29"/>
      <c r="BR79" s="29"/>
      <c r="BS79" s="28" t="str">
        <f aca="false">IF(AND(N(BP79)&gt;0,N(BR79)&gt;0),BR79-BP79,"")</f>
        <v/>
      </c>
      <c r="BT79" s="28" t="str">
        <f aca="false">IF(BS79="","",ROUND(BS79/365.25,2))</f>
        <v/>
      </c>
      <c r="BU79" s="28" t="str">
        <f aca="false">IF(BS79="","",IF(BS79&gt;=730.5,"Yes","No"))</f>
        <v/>
      </c>
      <c r="BV79" s="27"/>
      <c r="BW79" s="29"/>
      <c r="BX79" s="27"/>
      <c r="BY79" s="27"/>
      <c r="BZ79" s="28" t="str">
        <f aca="false">IF(N(E79)=0,"",IF(E79&lt;65,"Under 65","≥65"))</f>
        <v/>
      </c>
      <c r="CA79" s="28" t="str">
        <f aca="false">IF(OR(AC79="Yes",AC79="No"),AC79,"")</f>
        <v/>
      </c>
      <c r="CB79" s="28" t="str">
        <f aca="false">IF(OR(AD79="Yes",AD79="No"),AD79,"")</f>
        <v/>
      </c>
      <c r="CC79" s="28" t="str">
        <f aca="false">IF(F79="","",F79)</f>
        <v/>
      </c>
      <c r="CD79" s="27"/>
      <c r="CE79" s="27"/>
    </row>
    <row r="80" customFormat="false" ht="15" hidden="false" customHeight="false" outlineLevel="0" collapsed="false">
      <c r="A80" s="27"/>
      <c r="B80" s="27"/>
      <c r="C80" s="27"/>
      <c r="D80" s="27"/>
      <c r="E80" s="27"/>
      <c r="F80" s="27"/>
      <c r="G80" s="27"/>
      <c r="H80" s="27"/>
      <c r="I80" s="27"/>
      <c r="J80" s="28" t="str">
        <f aca="false">IF(AND(N(H80)&gt;0,N(I80)&gt;0),ROUND(I80/(H80/100)^2,1),"")</f>
        <v/>
      </c>
      <c r="K80" s="27"/>
      <c r="L80" s="27"/>
      <c r="M80" s="27"/>
      <c r="N80" s="27"/>
      <c r="O80" s="27"/>
      <c r="P80" s="27"/>
      <c r="Q80" s="27"/>
      <c r="R80" s="29"/>
      <c r="S80" s="29"/>
      <c r="T80" s="27"/>
      <c r="U80" s="28" t="str">
        <f aca="false">IF(N(T80)=0,"",IF(T80&lt;12,"Under 12 months",IF(T80&lt;36,"12-35 months",IF(T80&lt;60,"36-59 months","≥60 months"))))</f>
        <v/>
      </c>
      <c r="V80" s="27"/>
      <c r="W80" s="30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9"/>
      <c r="AT80" s="30"/>
      <c r="AU80" s="30"/>
      <c r="AV80" s="30"/>
      <c r="AW80" s="27"/>
      <c r="AX80" s="27"/>
      <c r="AY80" s="29"/>
      <c r="AZ80" s="27"/>
      <c r="BA80" s="27"/>
      <c r="BB80" s="29"/>
      <c r="BC80" s="30"/>
      <c r="BD80" s="30"/>
      <c r="BE80" s="30"/>
      <c r="BF80" s="27"/>
      <c r="BG80" s="27"/>
      <c r="BH80" s="28" t="str">
        <f aca="false">IF(COUNT(BC80:BE80)=0,"",IF(MIN(BC80:BE80)&lt;=-2.5,"Yes","No"))</f>
        <v/>
      </c>
      <c r="BI80" s="27"/>
      <c r="BJ80" s="29"/>
      <c r="BK80" s="27"/>
      <c r="BL80" s="27"/>
      <c r="BM80" s="27"/>
      <c r="BN80" s="28" t="str">
        <f aca="false">IF(OR(AX80="Yes",BI80="Yes"),"Yes",IF(AND(AX80="No",BI80="No"),"No",IF(AND(AX80="",BI80=""),"","Unknown")))</f>
        <v/>
      </c>
      <c r="BO80" s="31" t="str">
        <f aca="false">IF(COUNT(AY80,BJ80)=0,"",MIN(AY80,BJ80))</f>
        <v/>
      </c>
      <c r="BP80" s="29"/>
      <c r="BQ80" s="29"/>
      <c r="BR80" s="29"/>
      <c r="BS80" s="28" t="str">
        <f aca="false">IF(AND(N(BP80)&gt;0,N(BR80)&gt;0),BR80-BP80,"")</f>
        <v/>
      </c>
      <c r="BT80" s="28" t="str">
        <f aca="false">IF(BS80="","",ROUND(BS80/365.25,2))</f>
        <v/>
      </c>
      <c r="BU80" s="28" t="str">
        <f aca="false">IF(BS80="","",IF(BS80&gt;=730.5,"Yes","No"))</f>
        <v/>
      </c>
      <c r="BV80" s="27"/>
      <c r="BW80" s="29"/>
      <c r="BX80" s="27"/>
      <c r="BY80" s="27"/>
      <c r="BZ80" s="28" t="str">
        <f aca="false">IF(N(E80)=0,"",IF(E80&lt;65,"Under 65","≥65"))</f>
        <v/>
      </c>
      <c r="CA80" s="28" t="str">
        <f aca="false">IF(OR(AC80="Yes",AC80="No"),AC80,"")</f>
        <v/>
      </c>
      <c r="CB80" s="28" t="str">
        <f aca="false">IF(OR(AD80="Yes",AD80="No"),AD80,"")</f>
        <v/>
      </c>
      <c r="CC80" s="28" t="str">
        <f aca="false">IF(F80="","",F80)</f>
        <v/>
      </c>
      <c r="CD80" s="27"/>
      <c r="CE80" s="27"/>
    </row>
    <row r="81" customFormat="false" ht="15" hidden="false" customHeight="false" outlineLevel="0" collapsed="false">
      <c r="A81" s="27"/>
      <c r="B81" s="27"/>
      <c r="C81" s="27"/>
      <c r="D81" s="27"/>
      <c r="E81" s="27"/>
      <c r="F81" s="27"/>
      <c r="G81" s="27"/>
      <c r="H81" s="27"/>
      <c r="I81" s="27"/>
      <c r="J81" s="28" t="str">
        <f aca="false">IF(AND(N(H81)&gt;0,N(I81)&gt;0),ROUND(I81/(H81/100)^2,1),"")</f>
        <v/>
      </c>
      <c r="K81" s="27"/>
      <c r="L81" s="27"/>
      <c r="M81" s="27"/>
      <c r="N81" s="27"/>
      <c r="O81" s="27"/>
      <c r="P81" s="27"/>
      <c r="Q81" s="27"/>
      <c r="R81" s="29"/>
      <c r="S81" s="29"/>
      <c r="T81" s="27"/>
      <c r="U81" s="28" t="str">
        <f aca="false">IF(N(T81)=0,"",IF(T81&lt;12,"Under 12 months",IF(T81&lt;36,"12-35 months",IF(T81&lt;60,"36-59 months","≥60 months"))))</f>
        <v/>
      </c>
      <c r="V81" s="27"/>
      <c r="W81" s="30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9"/>
      <c r="AT81" s="30"/>
      <c r="AU81" s="30"/>
      <c r="AV81" s="30"/>
      <c r="AW81" s="27"/>
      <c r="AX81" s="27"/>
      <c r="AY81" s="29"/>
      <c r="AZ81" s="27"/>
      <c r="BA81" s="27"/>
      <c r="BB81" s="29"/>
      <c r="BC81" s="30"/>
      <c r="BD81" s="30"/>
      <c r="BE81" s="30"/>
      <c r="BF81" s="27"/>
      <c r="BG81" s="27"/>
      <c r="BH81" s="28" t="str">
        <f aca="false">IF(COUNT(BC81:BE81)=0,"",IF(MIN(BC81:BE81)&lt;=-2.5,"Yes","No"))</f>
        <v/>
      </c>
      <c r="BI81" s="27"/>
      <c r="BJ81" s="29"/>
      <c r="BK81" s="27"/>
      <c r="BL81" s="27"/>
      <c r="BM81" s="27"/>
      <c r="BN81" s="28" t="str">
        <f aca="false">IF(OR(AX81="Yes",BI81="Yes"),"Yes",IF(AND(AX81="No",BI81="No"),"No",IF(AND(AX81="",BI81=""),"","Unknown")))</f>
        <v/>
      </c>
      <c r="BO81" s="31" t="str">
        <f aca="false">IF(COUNT(AY81,BJ81)=0,"",MIN(AY81,BJ81))</f>
        <v/>
      </c>
      <c r="BP81" s="29"/>
      <c r="BQ81" s="29"/>
      <c r="BR81" s="29"/>
      <c r="BS81" s="28" t="str">
        <f aca="false">IF(AND(N(BP81)&gt;0,N(BR81)&gt;0),BR81-BP81,"")</f>
        <v/>
      </c>
      <c r="BT81" s="28" t="str">
        <f aca="false">IF(BS81="","",ROUND(BS81/365.25,2))</f>
        <v/>
      </c>
      <c r="BU81" s="28" t="str">
        <f aca="false">IF(BS81="","",IF(BS81&gt;=730.5,"Yes","No"))</f>
        <v/>
      </c>
      <c r="BV81" s="27"/>
      <c r="BW81" s="29"/>
      <c r="BX81" s="27"/>
      <c r="BY81" s="27"/>
      <c r="BZ81" s="28" t="str">
        <f aca="false">IF(N(E81)=0,"",IF(E81&lt;65,"Under 65","≥65"))</f>
        <v/>
      </c>
      <c r="CA81" s="28" t="str">
        <f aca="false">IF(OR(AC81="Yes",AC81="No"),AC81,"")</f>
        <v/>
      </c>
      <c r="CB81" s="28" t="str">
        <f aca="false">IF(OR(AD81="Yes",AD81="No"),AD81,"")</f>
        <v/>
      </c>
      <c r="CC81" s="28" t="str">
        <f aca="false">IF(F81="","",F81)</f>
        <v/>
      </c>
      <c r="CD81" s="27"/>
      <c r="CE81" s="27"/>
    </row>
    <row r="82" customFormat="false" ht="15" hidden="false" customHeight="false" outlineLevel="0" collapsed="false">
      <c r="A82" s="27"/>
      <c r="B82" s="27"/>
      <c r="C82" s="27"/>
      <c r="D82" s="27"/>
      <c r="E82" s="27"/>
      <c r="F82" s="27"/>
      <c r="G82" s="27"/>
      <c r="H82" s="27"/>
      <c r="I82" s="27"/>
      <c r="J82" s="28" t="str">
        <f aca="false">IF(AND(N(H82)&gt;0,N(I82)&gt;0),ROUND(I82/(H82/100)^2,1),"")</f>
        <v/>
      </c>
      <c r="K82" s="27"/>
      <c r="L82" s="27"/>
      <c r="M82" s="27"/>
      <c r="N82" s="27"/>
      <c r="O82" s="27"/>
      <c r="P82" s="27"/>
      <c r="Q82" s="27"/>
      <c r="R82" s="29"/>
      <c r="S82" s="29"/>
      <c r="T82" s="27"/>
      <c r="U82" s="28" t="str">
        <f aca="false">IF(N(T82)=0,"",IF(T82&lt;12,"Under 12 months",IF(T82&lt;36,"12-35 months",IF(T82&lt;60,"36-59 months","≥60 months"))))</f>
        <v/>
      </c>
      <c r="V82" s="27"/>
      <c r="W82" s="30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9"/>
      <c r="AT82" s="30"/>
      <c r="AU82" s="30"/>
      <c r="AV82" s="30"/>
      <c r="AW82" s="27"/>
      <c r="AX82" s="27"/>
      <c r="AY82" s="29"/>
      <c r="AZ82" s="27"/>
      <c r="BA82" s="27"/>
      <c r="BB82" s="29"/>
      <c r="BC82" s="30"/>
      <c r="BD82" s="30"/>
      <c r="BE82" s="30"/>
      <c r="BF82" s="27"/>
      <c r="BG82" s="27"/>
      <c r="BH82" s="28" t="str">
        <f aca="false">IF(COUNT(BC82:BE82)=0,"",IF(MIN(BC82:BE82)&lt;=-2.5,"Yes","No"))</f>
        <v/>
      </c>
      <c r="BI82" s="27"/>
      <c r="BJ82" s="29"/>
      <c r="BK82" s="27"/>
      <c r="BL82" s="27"/>
      <c r="BM82" s="27"/>
      <c r="BN82" s="28" t="str">
        <f aca="false">IF(OR(AX82="Yes",BI82="Yes"),"Yes",IF(AND(AX82="No",BI82="No"),"No",IF(AND(AX82="",BI82=""),"","Unknown")))</f>
        <v/>
      </c>
      <c r="BO82" s="31" t="str">
        <f aca="false">IF(COUNT(AY82,BJ82)=0,"",MIN(AY82,BJ82))</f>
        <v/>
      </c>
      <c r="BP82" s="29"/>
      <c r="BQ82" s="29"/>
      <c r="BR82" s="29"/>
      <c r="BS82" s="28" t="str">
        <f aca="false">IF(AND(N(BP82)&gt;0,N(BR82)&gt;0),BR82-BP82,"")</f>
        <v/>
      </c>
      <c r="BT82" s="28" t="str">
        <f aca="false">IF(BS82="","",ROUND(BS82/365.25,2))</f>
        <v/>
      </c>
      <c r="BU82" s="28" t="str">
        <f aca="false">IF(BS82="","",IF(BS82&gt;=730.5,"Yes","No"))</f>
        <v/>
      </c>
      <c r="BV82" s="27"/>
      <c r="BW82" s="29"/>
      <c r="BX82" s="27"/>
      <c r="BY82" s="27"/>
      <c r="BZ82" s="28" t="str">
        <f aca="false">IF(N(E82)=0,"",IF(E82&lt;65,"Under 65","≥65"))</f>
        <v/>
      </c>
      <c r="CA82" s="28" t="str">
        <f aca="false">IF(OR(AC82="Yes",AC82="No"),AC82,"")</f>
        <v/>
      </c>
      <c r="CB82" s="28" t="str">
        <f aca="false">IF(OR(AD82="Yes",AD82="No"),AD82,"")</f>
        <v/>
      </c>
      <c r="CC82" s="28" t="str">
        <f aca="false">IF(F82="","",F82)</f>
        <v/>
      </c>
      <c r="CD82" s="27"/>
      <c r="CE82" s="27"/>
    </row>
    <row r="83" customFormat="false" ht="15" hidden="false" customHeight="false" outlineLevel="0" collapsed="false">
      <c r="A83" s="27"/>
      <c r="B83" s="27"/>
      <c r="C83" s="27"/>
      <c r="D83" s="27"/>
      <c r="E83" s="27"/>
      <c r="F83" s="27"/>
      <c r="G83" s="27"/>
      <c r="H83" s="27"/>
      <c r="I83" s="27"/>
      <c r="J83" s="28" t="str">
        <f aca="false">IF(AND(N(H83)&gt;0,N(I83)&gt;0),ROUND(I83/(H83/100)^2,1),"")</f>
        <v/>
      </c>
      <c r="K83" s="27"/>
      <c r="L83" s="27"/>
      <c r="M83" s="27"/>
      <c r="N83" s="27"/>
      <c r="O83" s="27"/>
      <c r="P83" s="27"/>
      <c r="Q83" s="27"/>
      <c r="R83" s="29"/>
      <c r="S83" s="29"/>
      <c r="T83" s="27"/>
      <c r="U83" s="28" t="str">
        <f aca="false">IF(N(T83)=0,"",IF(T83&lt;12,"Under 12 months",IF(T83&lt;36,"12-35 months",IF(T83&lt;60,"36-59 months","≥60 months"))))</f>
        <v/>
      </c>
      <c r="V83" s="27"/>
      <c r="W83" s="30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9"/>
      <c r="AT83" s="30"/>
      <c r="AU83" s="30"/>
      <c r="AV83" s="30"/>
      <c r="AW83" s="27"/>
      <c r="AX83" s="27"/>
      <c r="AY83" s="29"/>
      <c r="AZ83" s="27"/>
      <c r="BA83" s="27"/>
      <c r="BB83" s="29"/>
      <c r="BC83" s="30"/>
      <c r="BD83" s="30"/>
      <c r="BE83" s="30"/>
      <c r="BF83" s="27"/>
      <c r="BG83" s="27"/>
      <c r="BH83" s="28" t="str">
        <f aca="false">IF(COUNT(BC83:BE83)=0,"",IF(MIN(BC83:BE83)&lt;=-2.5,"Yes","No"))</f>
        <v/>
      </c>
      <c r="BI83" s="27"/>
      <c r="BJ83" s="29"/>
      <c r="BK83" s="27"/>
      <c r="BL83" s="27"/>
      <c r="BM83" s="27"/>
      <c r="BN83" s="28" t="str">
        <f aca="false">IF(OR(AX83="Yes",BI83="Yes"),"Yes",IF(AND(AX83="No",BI83="No"),"No",IF(AND(AX83="",BI83=""),"","Unknown")))</f>
        <v/>
      </c>
      <c r="BO83" s="31" t="str">
        <f aca="false">IF(COUNT(AY83,BJ83)=0,"",MIN(AY83,BJ83))</f>
        <v/>
      </c>
      <c r="BP83" s="29"/>
      <c r="BQ83" s="29"/>
      <c r="BR83" s="29"/>
      <c r="BS83" s="28" t="str">
        <f aca="false">IF(AND(N(BP83)&gt;0,N(BR83)&gt;0),BR83-BP83,"")</f>
        <v/>
      </c>
      <c r="BT83" s="28" t="str">
        <f aca="false">IF(BS83="","",ROUND(BS83/365.25,2))</f>
        <v/>
      </c>
      <c r="BU83" s="28" t="str">
        <f aca="false">IF(BS83="","",IF(BS83&gt;=730.5,"Yes","No"))</f>
        <v/>
      </c>
      <c r="BV83" s="27"/>
      <c r="BW83" s="29"/>
      <c r="BX83" s="27"/>
      <c r="BY83" s="27"/>
      <c r="BZ83" s="28" t="str">
        <f aca="false">IF(N(E83)=0,"",IF(E83&lt;65,"Under 65","≥65"))</f>
        <v/>
      </c>
      <c r="CA83" s="28" t="str">
        <f aca="false">IF(OR(AC83="Yes",AC83="No"),AC83,"")</f>
        <v/>
      </c>
      <c r="CB83" s="28" t="str">
        <f aca="false">IF(OR(AD83="Yes",AD83="No"),AD83,"")</f>
        <v/>
      </c>
      <c r="CC83" s="28" t="str">
        <f aca="false">IF(F83="","",F83)</f>
        <v/>
      </c>
      <c r="CD83" s="27"/>
      <c r="CE83" s="27"/>
    </row>
    <row r="84" customFormat="false" ht="15" hidden="false" customHeight="false" outlineLevel="0" collapsed="false">
      <c r="A84" s="27"/>
      <c r="B84" s="27"/>
      <c r="C84" s="27"/>
      <c r="D84" s="27"/>
      <c r="E84" s="27"/>
      <c r="F84" s="27"/>
      <c r="G84" s="27"/>
      <c r="H84" s="27"/>
      <c r="I84" s="27"/>
      <c r="J84" s="28" t="str">
        <f aca="false">IF(AND(N(H84)&gt;0,N(I84)&gt;0),ROUND(I84/(H84/100)^2,1),"")</f>
        <v/>
      </c>
      <c r="K84" s="27"/>
      <c r="L84" s="27"/>
      <c r="M84" s="27"/>
      <c r="N84" s="27"/>
      <c r="O84" s="27"/>
      <c r="P84" s="27"/>
      <c r="Q84" s="27"/>
      <c r="R84" s="29"/>
      <c r="S84" s="29"/>
      <c r="T84" s="27"/>
      <c r="U84" s="28" t="str">
        <f aca="false">IF(N(T84)=0,"",IF(T84&lt;12,"Under 12 months",IF(T84&lt;36,"12-35 months",IF(T84&lt;60,"36-59 months","≥60 months"))))</f>
        <v/>
      </c>
      <c r="V84" s="27"/>
      <c r="W84" s="30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9"/>
      <c r="AT84" s="30"/>
      <c r="AU84" s="30"/>
      <c r="AV84" s="30"/>
      <c r="AW84" s="27"/>
      <c r="AX84" s="27"/>
      <c r="AY84" s="29"/>
      <c r="AZ84" s="27"/>
      <c r="BA84" s="27"/>
      <c r="BB84" s="29"/>
      <c r="BC84" s="30"/>
      <c r="BD84" s="30"/>
      <c r="BE84" s="30"/>
      <c r="BF84" s="27"/>
      <c r="BG84" s="27"/>
      <c r="BH84" s="28" t="str">
        <f aca="false">IF(COUNT(BC84:BE84)=0,"",IF(MIN(BC84:BE84)&lt;=-2.5,"Yes","No"))</f>
        <v/>
      </c>
      <c r="BI84" s="27"/>
      <c r="BJ84" s="29"/>
      <c r="BK84" s="27"/>
      <c r="BL84" s="27"/>
      <c r="BM84" s="27"/>
      <c r="BN84" s="28" t="str">
        <f aca="false">IF(OR(AX84="Yes",BI84="Yes"),"Yes",IF(AND(AX84="No",BI84="No"),"No",IF(AND(AX84="",BI84=""),"","Unknown")))</f>
        <v/>
      </c>
      <c r="BO84" s="31" t="str">
        <f aca="false">IF(COUNT(AY84,BJ84)=0,"",MIN(AY84,BJ84))</f>
        <v/>
      </c>
      <c r="BP84" s="29"/>
      <c r="BQ84" s="29"/>
      <c r="BR84" s="29"/>
      <c r="BS84" s="28" t="str">
        <f aca="false">IF(AND(N(BP84)&gt;0,N(BR84)&gt;0),BR84-BP84,"")</f>
        <v/>
      </c>
      <c r="BT84" s="28" t="str">
        <f aca="false">IF(BS84="","",ROUND(BS84/365.25,2))</f>
        <v/>
      </c>
      <c r="BU84" s="28" t="str">
        <f aca="false">IF(BS84="","",IF(BS84&gt;=730.5,"Yes","No"))</f>
        <v/>
      </c>
      <c r="BV84" s="27"/>
      <c r="BW84" s="29"/>
      <c r="BX84" s="27"/>
      <c r="BY84" s="27"/>
      <c r="BZ84" s="28" t="str">
        <f aca="false">IF(N(E84)=0,"",IF(E84&lt;65,"Under 65","≥65"))</f>
        <v/>
      </c>
      <c r="CA84" s="28" t="str">
        <f aca="false">IF(OR(AC84="Yes",AC84="No"),AC84,"")</f>
        <v/>
      </c>
      <c r="CB84" s="28" t="str">
        <f aca="false">IF(OR(AD84="Yes",AD84="No"),AD84,"")</f>
        <v/>
      </c>
      <c r="CC84" s="28" t="str">
        <f aca="false">IF(F84="","",F84)</f>
        <v/>
      </c>
      <c r="CD84" s="27"/>
      <c r="CE84" s="27"/>
    </row>
    <row r="85" customFormat="false" ht="15" hidden="false" customHeight="false" outlineLevel="0" collapsed="false">
      <c r="A85" s="27"/>
      <c r="B85" s="27"/>
      <c r="C85" s="27"/>
      <c r="D85" s="27"/>
      <c r="E85" s="27"/>
      <c r="F85" s="27"/>
      <c r="G85" s="27"/>
      <c r="H85" s="27"/>
      <c r="I85" s="27"/>
      <c r="J85" s="28" t="str">
        <f aca="false">IF(AND(N(H85)&gt;0,N(I85)&gt;0),ROUND(I85/(H85/100)^2,1),"")</f>
        <v/>
      </c>
      <c r="K85" s="27"/>
      <c r="L85" s="27"/>
      <c r="M85" s="27"/>
      <c r="N85" s="27"/>
      <c r="O85" s="27"/>
      <c r="P85" s="27"/>
      <c r="Q85" s="27"/>
      <c r="R85" s="29"/>
      <c r="S85" s="29"/>
      <c r="T85" s="27"/>
      <c r="U85" s="28" t="str">
        <f aca="false">IF(N(T85)=0,"",IF(T85&lt;12,"Under 12 months",IF(T85&lt;36,"12-35 months",IF(T85&lt;60,"36-59 months","≥60 months"))))</f>
        <v/>
      </c>
      <c r="V85" s="27"/>
      <c r="W85" s="30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9"/>
      <c r="AT85" s="30"/>
      <c r="AU85" s="30"/>
      <c r="AV85" s="30"/>
      <c r="AW85" s="27"/>
      <c r="AX85" s="27"/>
      <c r="AY85" s="29"/>
      <c r="AZ85" s="27"/>
      <c r="BA85" s="27"/>
      <c r="BB85" s="29"/>
      <c r="BC85" s="30"/>
      <c r="BD85" s="30"/>
      <c r="BE85" s="30"/>
      <c r="BF85" s="27"/>
      <c r="BG85" s="27"/>
      <c r="BH85" s="28" t="str">
        <f aca="false">IF(COUNT(BC85:BE85)=0,"",IF(MIN(BC85:BE85)&lt;=-2.5,"Yes","No"))</f>
        <v/>
      </c>
      <c r="BI85" s="27"/>
      <c r="BJ85" s="29"/>
      <c r="BK85" s="27"/>
      <c r="BL85" s="27"/>
      <c r="BM85" s="27"/>
      <c r="BN85" s="28" t="str">
        <f aca="false">IF(OR(AX85="Yes",BI85="Yes"),"Yes",IF(AND(AX85="No",BI85="No"),"No",IF(AND(AX85="",BI85=""),"","Unknown")))</f>
        <v/>
      </c>
      <c r="BO85" s="31" t="str">
        <f aca="false">IF(COUNT(AY85,BJ85)=0,"",MIN(AY85,BJ85))</f>
        <v/>
      </c>
      <c r="BP85" s="29"/>
      <c r="BQ85" s="29"/>
      <c r="BR85" s="29"/>
      <c r="BS85" s="28" t="str">
        <f aca="false">IF(AND(N(BP85)&gt;0,N(BR85)&gt;0),BR85-BP85,"")</f>
        <v/>
      </c>
      <c r="BT85" s="28" t="str">
        <f aca="false">IF(BS85="","",ROUND(BS85/365.25,2))</f>
        <v/>
      </c>
      <c r="BU85" s="28" t="str">
        <f aca="false">IF(BS85="","",IF(BS85&gt;=730.5,"Yes","No"))</f>
        <v/>
      </c>
      <c r="BV85" s="27"/>
      <c r="BW85" s="29"/>
      <c r="BX85" s="27"/>
      <c r="BY85" s="27"/>
      <c r="BZ85" s="28" t="str">
        <f aca="false">IF(N(E85)=0,"",IF(E85&lt;65,"Under 65","≥65"))</f>
        <v/>
      </c>
      <c r="CA85" s="28" t="str">
        <f aca="false">IF(OR(AC85="Yes",AC85="No"),AC85,"")</f>
        <v/>
      </c>
      <c r="CB85" s="28" t="str">
        <f aca="false">IF(OR(AD85="Yes",AD85="No"),AD85,"")</f>
        <v/>
      </c>
      <c r="CC85" s="28" t="str">
        <f aca="false">IF(F85="","",F85)</f>
        <v/>
      </c>
      <c r="CD85" s="27"/>
      <c r="CE85" s="27"/>
    </row>
    <row r="86" customFormat="false" ht="15" hidden="false" customHeight="false" outlineLevel="0" collapsed="false">
      <c r="A86" s="27"/>
      <c r="B86" s="27"/>
      <c r="C86" s="27"/>
      <c r="D86" s="27"/>
      <c r="E86" s="27"/>
      <c r="F86" s="27"/>
      <c r="G86" s="27"/>
      <c r="H86" s="27"/>
      <c r="I86" s="27"/>
      <c r="J86" s="28" t="str">
        <f aca="false">IF(AND(N(H86)&gt;0,N(I86)&gt;0),ROUND(I86/(H86/100)^2,1),"")</f>
        <v/>
      </c>
      <c r="K86" s="27"/>
      <c r="L86" s="27"/>
      <c r="M86" s="27"/>
      <c r="N86" s="27"/>
      <c r="O86" s="27"/>
      <c r="P86" s="27"/>
      <c r="Q86" s="27"/>
      <c r="R86" s="29"/>
      <c r="S86" s="29"/>
      <c r="T86" s="27"/>
      <c r="U86" s="28" t="str">
        <f aca="false">IF(N(T86)=0,"",IF(T86&lt;12,"Under 12 months",IF(T86&lt;36,"12-35 months",IF(T86&lt;60,"36-59 months","≥60 months"))))</f>
        <v/>
      </c>
      <c r="V86" s="27"/>
      <c r="W86" s="30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9"/>
      <c r="AT86" s="30"/>
      <c r="AU86" s="30"/>
      <c r="AV86" s="30"/>
      <c r="AW86" s="27"/>
      <c r="AX86" s="27"/>
      <c r="AY86" s="29"/>
      <c r="AZ86" s="27"/>
      <c r="BA86" s="27"/>
      <c r="BB86" s="29"/>
      <c r="BC86" s="30"/>
      <c r="BD86" s="30"/>
      <c r="BE86" s="30"/>
      <c r="BF86" s="27"/>
      <c r="BG86" s="27"/>
      <c r="BH86" s="28" t="str">
        <f aca="false">IF(COUNT(BC86:BE86)=0,"",IF(MIN(BC86:BE86)&lt;=-2.5,"Yes","No"))</f>
        <v/>
      </c>
      <c r="BI86" s="27"/>
      <c r="BJ86" s="29"/>
      <c r="BK86" s="27"/>
      <c r="BL86" s="27"/>
      <c r="BM86" s="27"/>
      <c r="BN86" s="28" t="str">
        <f aca="false">IF(OR(AX86="Yes",BI86="Yes"),"Yes",IF(AND(AX86="No",BI86="No"),"No",IF(AND(AX86="",BI86=""),"","Unknown")))</f>
        <v/>
      </c>
      <c r="BO86" s="31" t="str">
        <f aca="false">IF(COUNT(AY86,BJ86)=0,"",MIN(AY86,BJ86))</f>
        <v/>
      </c>
      <c r="BP86" s="29"/>
      <c r="BQ86" s="29"/>
      <c r="BR86" s="29"/>
      <c r="BS86" s="28" t="str">
        <f aca="false">IF(AND(N(BP86)&gt;0,N(BR86)&gt;0),BR86-BP86,"")</f>
        <v/>
      </c>
      <c r="BT86" s="28" t="str">
        <f aca="false">IF(BS86="","",ROUND(BS86/365.25,2))</f>
        <v/>
      </c>
      <c r="BU86" s="28" t="str">
        <f aca="false">IF(BS86="","",IF(BS86&gt;=730.5,"Yes","No"))</f>
        <v/>
      </c>
      <c r="BV86" s="27"/>
      <c r="BW86" s="29"/>
      <c r="BX86" s="27"/>
      <c r="BY86" s="27"/>
      <c r="BZ86" s="28" t="str">
        <f aca="false">IF(N(E86)=0,"",IF(E86&lt;65,"Under 65","≥65"))</f>
        <v/>
      </c>
      <c r="CA86" s="28" t="str">
        <f aca="false">IF(OR(AC86="Yes",AC86="No"),AC86,"")</f>
        <v/>
      </c>
      <c r="CB86" s="28" t="str">
        <f aca="false">IF(OR(AD86="Yes",AD86="No"),AD86,"")</f>
        <v/>
      </c>
      <c r="CC86" s="28" t="str">
        <f aca="false">IF(F86="","",F86)</f>
        <v/>
      </c>
      <c r="CD86" s="27"/>
      <c r="CE86" s="27"/>
    </row>
    <row r="87" customFormat="false" ht="15" hidden="false" customHeight="false" outlineLevel="0" collapsed="false">
      <c r="A87" s="27"/>
      <c r="B87" s="27"/>
      <c r="C87" s="27"/>
      <c r="D87" s="27"/>
      <c r="E87" s="27"/>
      <c r="F87" s="27"/>
      <c r="G87" s="27"/>
      <c r="H87" s="27"/>
      <c r="I87" s="27"/>
      <c r="J87" s="28" t="str">
        <f aca="false">IF(AND(N(H87)&gt;0,N(I87)&gt;0),ROUND(I87/(H87/100)^2,1),"")</f>
        <v/>
      </c>
      <c r="K87" s="27"/>
      <c r="L87" s="27"/>
      <c r="M87" s="27"/>
      <c r="N87" s="27"/>
      <c r="O87" s="27"/>
      <c r="P87" s="27"/>
      <c r="Q87" s="27"/>
      <c r="R87" s="29"/>
      <c r="S87" s="29"/>
      <c r="T87" s="27"/>
      <c r="U87" s="28" t="str">
        <f aca="false">IF(N(T87)=0,"",IF(T87&lt;12,"Under 12 months",IF(T87&lt;36,"12-35 months",IF(T87&lt;60,"36-59 months","≥60 months"))))</f>
        <v/>
      </c>
      <c r="V87" s="27"/>
      <c r="W87" s="30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9"/>
      <c r="AT87" s="30"/>
      <c r="AU87" s="30"/>
      <c r="AV87" s="30"/>
      <c r="AW87" s="27"/>
      <c r="AX87" s="27"/>
      <c r="AY87" s="29"/>
      <c r="AZ87" s="27"/>
      <c r="BA87" s="27"/>
      <c r="BB87" s="29"/>
      <c r="BC87" s="30"/>
      <c r="BD87" s="30"/>
      <c r="BE87" s="30"/>
      <c r="BF87" s="27"/>
      <c r="BG87" s="27"/>
      <c r="BH87" s="28" t="str">
        <f aca="false">IF(COUNT(BC87:BE87)=0,"",IF(MIN(BC87:BE87)&lt;=-2.5,"Yes","No"))</f>
        <v/>
      </c>
      <c r="BI87" s="27"/>
      <c r="BJ87" s="29"/>
      <c r="BK87" s="27"/>
      <c r="BL87" s="27"/>
      <c r="BM87" s="27"/>
      <c r="BN87" s="28" t="str">
        <f aca="false">IF(OR(AX87="Yes",BI87="Yes"),"Yes",IF(AND(AX87="No",BI87="No"),"No",IF(AND(AX87="",BI87=""),"","Unknown")))</f>
        <v/>
      </c>
      <c r="BO87" s="31" t="str">
        <f aca="false">IF(COUNT(AY87,BJ87)=0,"",MIN(AY87,BJ87))</f>
        <v/>
      </c>
      <c r="BP87" s="29"/>
      <c r="BQ87" s="29"/>
      <c r="BR87" s="29"/>
      <c r="BS87" s="28" t="str">
        <f aca="false">IF(AND(N(BP87)&gt;0,N(BR87)&gt;0),BR87-BP87,"")</f>
        <v/>
      </c>
      <c r="BT87" s="28" t="str">
        <f aca="false">IF(BS87="","",ROUND(BS87/365.25,2))</f>
        <v/>
      </c>
      <c r="BU87" s="28" t="str">
        <f aca="false">IF(BS87="","",IF(BS87&gt;=730.5,"Yes","No"))</f>
        <v/>
      </c>
      <c r="BV87" s="27"/>
      <c r="BW87" s="29"/>
      <c r="BX87" s="27"/>
      <c r="BY87" s="27"/>
      <c r="BZ87" s="28" t="str">
        <f aca="false">IF(N(E87)=0,"",IF(E87&lt;65,"Under 65","≥65"))</f>
        <v/>
      </c>
      <c r="CA87" s="28" t="str">
        <f aca="false">IF(OR(AC87="Yes",AC87="No"),AC87,"")</f>
        <v/>
      </c>
      <c r="CB87" s="28" t="str">
        <f aca="false">IF(OR(AD87="Yes",AD87="No"),AD87,"")</f>
        <v/>
      </c>
      <c r="CC87" s="28" t="str">
        <f aca="false">IF(F87="","",F87)</f>
        <v/>
      </c>
      <c r="CD87" s="27"/>
      <c r="CE87" s="27"/>
    </row>
    <row r="88" customFormat="false" ht="15" hidden="false" customHeight="false" outlineLevel="0" collapsed="false">
      <c r="A88" s="27"/>
      <c r="B88" s="27"/>
      <c r="C88" s="27"/>
      <c r="D88" s="27"/>
      <c r="E88" s="27"/>
      <c r="F88" s="27"/>
      <c r="G88" s="27"/>
      <c r="H88" s="27"/>
      <c r="I88" s="27"/>
      <c r="J88" s="28" t="str">
        <f aca="false">IF(AND(N(H88)&gt;0,N(I88)&gt;0),ROUND(I88/(H88/100)^2,1),"")</f>
        <v/>
      </c>
      <c r="K88" s="27"/>
      <c r="L88" s="27"/>
      <c r="M88" s="27"/>
      <c r="N88" s="27"/>
      <c r="O88" s="27"/>
      <c r="P88" s="27"/>
      <c r="Q88" s="27"/>
      <c r="R88" s="29"/>
      <c r="S88" s="29"/>
      <c r="T88" s="27"/>
      <c r="U88" s="28" t="str">
        <f aca="false">IF(N(T88)=0,"",IF(T88&lt;12,"Under 12 months",IF(T88&lt;36,"12-35 months",IF(T88&lt;60,"36-59 months","≥60 months"))))</f>
        <v/>
      </c>
      <c r="V88" s="27"/>
      <c r="W88" s="30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9"/>
      <c r="AT88" s="30"/>
      <c r="AU88" s="30"/>
      <c r="AV88" s="30"/>
      <c r="AW88" s="27"/>
      <c r="AX88" s="27"/>
      <c r="AY88" s="29"/>
      <c r="AZ88" s="27"/>
      <c r="BA88" s="27"/>
      <c r="BB88" s="29"/>
      <c r="BC88" s="30"/>
      <c r="BD88" s="30"/>
      <c r="BE88" s="30"/>
      <c r="BF88" s="27"/>
      <c r="BG88" s="27"/>
      <c r="BH88" s="28" t="str">
        <f aca="false">IF(COUNT(BC88:BE88)=0,"",IF(MIN(BC88:BE88)&lt;=-2.5,"Yes","No"))</f>
        <v/>
      </c>
      <c r="BI88" s="27"/>
      <c r="BJ88" s="29"/>
      <c r="BK88" s="27"/>
      <c r="BL88" s="27"/>
      <c r="BM88" s="27"/>
      <c r="BN88" s="28" t="str">
        <f aca="false">IF(OR(AX88="Yes",BI88="Yes"),"Yes",IF(AND(AX88="No",BI88="No"),"No",IF(AND(AX88="",BI88=""),"","Unknown")))</f>
        <v/>
      </c>
      <c r="BO88" s="31" t="str">
        <f aca="false">IF(COUNT(AY88,BJ88)=0,"",MIN(AY88,BJ88))</f>
        <v/>
      </c>
      <c r="BP88" s="29"/>
      <c r="BQ88" s="29"/>
      <c r="BR88" s="29"/>
      <c r="BS88" s="28" t="str">
        <f aca="false">IF(AND(N(BP88)&gt;0,N(BR88)&gt;0),BR88-BP88,"")</f>
        <v/>
      </c>
      <c r="BT88" s="28" t="str">
        <f aca="false">IF(BS88="","",ROUND(BS88/365.25,2))</f>
        <v/>
      </c>
      <c r="BU88" s="28" t="str">
        <f aca="false">IF(BS88="","",IF(BS88&gt;=730.5,"Yes","No"))</f>
        <v/>
      </c>
      <c r="BV88" s="27"/>
      <c r="BW88" s="29"/>
      <c r="BX88" s="27"/>
      <c r="BY88" s="27"/>
      <c r="BZ88" s="28" t="str">
        <f aca="false">IF(N(E88)=0,"",IF(E88&lt;65,"Under 65","≥65"))</f>
        <v/>
      </c>
      <c r="CA88" s="28" t="str">
        <f aca="false">IF(OR(AC88="Yes",AC88="No"),AC88,"")</f>
        <v/>
      </c>
      <c r="CB88" s="28" t="str">
        <f aca="false">IF(OR(AD88="Yes",AD88="No"),AD88,"")</f>
        <v/>
      </c>
      <c r="CC88" s="28" t="str">
        <f aca="false">IF(F88="","",F88)</f>
        <v/>
      </c>
      <c r="CD88" s="27"/>
      <c r="CE88" s="27"/>
    </row>
    <row r="89" customFormat="false" ht="15" hidden="false" customHeight="false" outlineLevel="0" collapsed="false">
      <c r="A89" s="27"/>
      <c r="B89" s="27"/>
      <c r="C89" s="27"/>
      <c r="D89" s="27"/>
      <c r="E89" s="27"/>
      <c r="F89" s="27"/>
      <c r="G89" s="27"/>
      <c r="H89" s="27"/>
      <c r="I89" s="27"/>
      <c r="J89" s="28" t="str">
        <f aca="false">IF(AND(N(H89)&gt;0,N(I89)&gt;0),ROUND(I89/(H89/100)^2,1),"")</f>
        <v/>
      </c>
      <c r="K89" s="27"/>
      <c r="L89" s="27"/>
      <c r="M89" s="27"/>
      <c r="N89" s="27"/>
      <c r="O89" s="27"/>
      <c r="P89" s="27"/>
      <c r="Q89" s="27"/>
      <c r="R89" s="29"/>
      <c r="S89" s="29"/>
      <c r="T89" s="27"/>
      <c r="U89" s="28" t="str">
        <f aca="false">IF(N(T89)=0,"",IF(T89&lt;12,"Under 12 months",IF(T89&lt;36,"12-35 months",IF(T89&lt;60,"36-59 months","≥60 months"))))</f>
        <v/>
      </c>
      <c r="V89" s="27"/>
      <c r="W89" s="30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9"/>
      <c r="AT89" s="30"/>
      <c r="AU89" s="30"/>
      <c r="AV89" s="30"/>
      <c r="AW89" s="27"/>
      <c r="AX89" s="27"/>
      <c r="AY89" s="29"/>
      <c r="AZ89" s="27"/>
      <c r="BA89" s="27"/>
      <c r="BB89" s="29"/>
      <c r="BC89" s="30"/>
      <c r="BD89" s="30"/>
      <c r="BE89" s="30"/>
      <c r="BF89" s="27"/>
      <c r="BG89" s="27"/>
      <c r="BH89" s="28" t="str">
        <f aca="false">IF(COUNT(BC89:BE89)=0,"",IF(MIN(BC89:BE89)&lt;=-2.5,"Yes","No"))</f>
        <v/>
      </c>
      <c r="BI89" s="27"/>
      <c r="BJ89" s="29"/>
      <c r="BK89" s="27"/>
      <c r="BL89" s="27"/>
      <c r="BM89" s="27"/>
      <c r="BN89" s="28" t="str">
        <f aca="false">IF(OR(AX89="Yes",BI89="Yes"),"Yes",IF(AND(AX89="No",BI89="No"),"No",IF(AND(AX89="",BI89=""),"","Unknown")))</f>
        <v/>
      </c>
      <c r="BO89" s="31" t="str">
        <f aca="false">IF(COUNT(AY89,BJ89)=0,"",MIN(AY89,BJ89))</f>
        <v/>
      </c>
      <c r="BP89" s="29"/>
      <c r="BQ89" s="29"/>
      <c r="BR89" s="29"/>
      <c r="BS89" s="28" t="str">
        <f aca="false">IF(AND(N(BP89)&gt;0,N(BR89)&gt;0),BR89-BP89,"")</f>
        <v/>
      </c>
      <c r="BT89" s="28" t="str">
        <f aca="false">IF(BS89="","",ROUND(BS89/365.25,2))</f>
        <v/>
      </c>
      <c r="BU89" s="28" t="str">
        <f aca="false">IF(BS89="","",IF(BS89&gt;=730.5,"Yes","No"))</f>
        <v/>
      </c>
      <c r="BV89" s="27"/>
      <c r="BW89" s="29"/>
      <c r="BX89" s="27"/>
      <c r="BY89" s="27"/>
      <c r="BZ89" s="28" t="str">
        <f aca="false">IF(N(E89)=0,"",IF(E89&lt;65,"Under 65","≥65"))</f>
        <v/>
      </c>
      <c r="CA89" s="28" t="str">
        <f aca="false">IF(OR(AC89="Yes",AC89="No"),AC89,"")</f>
        <v/>
      </c>
      <c r="CB89" s="28" t="str">
        <f aca="false">IF(OR(AD89="Yes",AD89="No"),AD89,"")</f>
        <v/>
      </c>
      <c r="CC89" s="28" t="str">
        <f aca="false">IF(F89="","",F89)</f>
        <v/>
      </c>
      <c r="CD89" s="27"/>
      <c r="CE89" s="27"/>
    </row>
    <row r="90" customFormat="false" ht="15" hidden="false" customHeight="false" outlineLevel="0" collapsed="false">
      <c r="A90" s="27"/>
      <c r="B90" s="27"/>
      <c r="C90" s="27"/>
      <c r="D90" s="27"/>
      <c r="E90" s="27"/>
      <c r="F90" s="27"/>
      <c r="G90" s="27"/>
      <c r="H90" s="27"/>
      <c r="I90" s="27"/>
      <c r="J90" s="28" t="str">
        <f aca="false">IF(AND(N(H90)&gt;0,N(I90)&gt;0),ROUND(I90/(H90/100)^2,1),"")</f>
        <v/>
      </c>
      <c r="K90" s="27"/>
      <c r="L90" s="27"/>
      <c r="M90" s="27"/>
      <c r="N90" s="27"/>
      <c r="O90" s="27"/>
      <c r="P90" s="27"/>
      <c r="Q90" s="27"/>
      <c r="R90" s="29"/>
      <c r="S90" s="29"/>
      <c r="T90" s="27"/>
      <c r="U90" s="28" t="str">
        <f aca="false">IF(N(T90)=0,"",IF(T90&lt;12,"Under 12 months",IF(T90&lt;36,"12-35 months",IF(T90&lt;60,"36-59 months","≥60 months"))))</f>
        <v/>
      </c>
      <c r="V90" s="27"/>
      <c r="W90" s="30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9"/>
      <c r="AT90" s="30"/>
      <c r="AU90" s="30"/>
      <c r="AV90" s="30"/>
      <c r="AW90" s="27"/>
      <c r="AX90" s="27"/>
      <c r="AY90" s="29"/>
      <c r="AZ90" s="27"/>
      <c r="BA90" s="27"/>
      <c r="BB90" s="29"/>
      <c r="BC90" s="30"/>
      <c r="BD90" s="30"/>
      <c r="BE90" s="30"/>
      <c r="BF90" s="27"/>
      <c r="BG90" s="27"/>
      <c r="BH90" s="28" t="str">
        <f aca="false">IF(COUNT(BC90:BE90)=0,"",IF(MIN(BC90:BE90)&lt;=-2.5,"Yes","No"))</f>
        <v/>
      </c>
      <c r="BI90" s="27"/>
      <c r="BJ90" s="29"/>
      <c r="BK90" s="27"/>
      <c r="BL90" s="27"/>
      <c r="BM90" s="27"/>
      <c r="BN90" s="28" t="str">
        <f aca="false">IF(OR(AX90="Yes",BI90="Yes"),"Yes",IF(AND(AX90="No",BI90="No"),"No",IF(AND(AX90="",BI90=""),"","Unknown")))</f>
        <v/>
      </c>
      <c r="BO90" s="31" t="str">
        <f aca="false">IF(COUNT(AY90,BJ90)=0,"",MIN(AY90,BJ90))</f>
        <v/>
      </c>
      <c r="BP90" s="29"/>
      <c r="BQ90" s="29"/>
      <c r="BR90" s="29"/>
      <c r="BS90" s="28" t="str">
        <f aca="false">IF(AND(N(BP90)&gt;0,N(BR90)&gt;0),BR90-BP90,"")</f>
        <v/>
      </c>
      <c r="BT90" s="28" t="str">
        <f aca="false">IF(BS90="","",ROUND(BS90/365.25,2))</f>
        <v/>
      </c>
      <c r="BU90" s="28" t="str">
        <f aca="false">IF(BS90="","",IF(BS90&gt;=730.5,"Yes","No"))</f>
        <v/>
      </c>
      <c r="BV90" s="27"/>
      <c r="BW90" s="29"/>
      <c r="BX90" s="27"/>
      <c r="BY90" s="27"/>
      <c r="BZ90" s="28" t="str">
        <f aca="false">IF(N(E90)=0,"",IF(E90&lt;65,"Under 65","≥65"))</f>
        <v/>
      </c>
      <c r="CA90" s="28" t="str">
        <f aca="false">IF(OR(AC90="Yes",AC90="No"),AC90,"")</f>
        <v/>
      </c>
      <c r="CB90" s="28" t="str">
        <f aca="false">IF(OR(AD90="Yes",AD90="No"),AD90,"")</f>
        <v/>
      </c>
      <c r="CC90" s="28" t="str">
        <f aca="false">IF(F90="","",F90)</f>
        <v/>
      </c>
      <c r="CD90" s="27"/>
      <c r="CE90" s="27"/>
    </row>
    <row r="91" customFormat="false" ht="15" hidden="false" customHeight="false" outlineLevel="0" collapsed="false">
      <c r="A91" s="27"/>
      <c r="B91" s="27"/>
      <c r="C91" s="27"/>
      <c r="D91" s="27"/>
      <c r="E91" s="27"/>
      <c r="F91" s="27"/>
      <c r="G91" s="27"/>
      <c r="H91" s="27"/>
      <c r="I91" s="27"/>
      <c r="J91" s="28" t="str">
        <f aca="false">IF(AND(N(H91)&gt;0,N(I91)&gt;0),ROUND(I91/(H91/100)^2,1),"")</f>
        <v/>
      </c>
      <c r="K91" s="27"/>
      <c r="L91" s="27"/>
      <c r="M91" s="27"/>
      <c r="N91" s="27"/>
      <c r="O91" s="27"/>
      <c r="P91" s="27"/>
      <c r="Q91" s="27"/>
      <c r="R91" s="29"/>
      <c r="S91" s="29"/>
      <c r="T91" s="27"/>
      <c r="U91" s="28" t="str">
        <f aca="false">IF(N(T91)=0,"",IF(T91&lt;12,"Under 12 months",IF(T91&lt;36,"12-35 months",IF(T91&lt;60,"36-59 months","≥60 months"))))</f>
        <v/>
      </c>
      <c r="V91" s="27"/>
      <c r="W91" s="30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9"/>
      <c r="AT91" s="30"/>
      <c r="AU91" s="30"/>
      <c r="AV91" s="30"/>
      <c r="AW91" s="27"/>
      <c r="AX91" s="27"/>
      <c r="AY91" s="29"/>
      <c r="AZ91" s="27"/>
      <c r="BA91" s="27"/>
      <c r="BB91" s="29"/>
      <c r="BC91" s="30"/>
      <c r="BD91" s="30"/>
      <c r="BE91" s="30"/>
      <c r="BF91" s="27"/>
      <c r="BG91" s="27"/>
      <c r="BH91" s="28" t="str">
        <f aca="false">IF(COUNT(BC91:BE91)=0,"",IF(MIN(BC91:BE91)&lt;=-2.5,"Yes","No"))</f>
        <v/>
      </c>
      <c r="BI91" s="27"/>
      <c r="BJ91" s="29"/>
      <c r="BK91" s="27"/>
      <c r="BL91" s="27"/>
      <c r="BM91" s="27"/>
      <c r="BN91" s="28" t="str">
        <f aca="false">IF(OR(AX91="Yes",BI91="Yes"),"Yes",IF(AND(AX91="No",BI91="No"),"No",IF(AND(AX91="",BI91=""),"","Unknown")))</f>
        <v/>
      </c>
      <c r="BO91" s="31" t="str">
        <f aca="false">IF(COUNT(AY91,BJ91)=0,"",MIN(AY91,BJ91))</f>
        <v/>
      </c>
      <c r="BP91" s="29"/>
      <c r="BQ91" s="29"/>
      <c r="BR91" s="29"/>
      <c r="BS91" s="28" t="str">
        <f aca="false">IF(AND(N(BP91)&gt;0,N(BR91)&gt;0),BR91-BP91,"")</f>
        <v/>
      </c>
      <c r="BT91" s="28" t="str">
        <f aca="false">IF(BS91="","",ROUND(BS91/365.25,2))</f>
        <v/>
      </c>
      <c r="BU91" s="28" t="str">
        <f aca="false">IF(BS91="","",IF(BS91&gt;=730.5,"Yes","No"))</f>
        <v/>
      </c>
      <c r="BV91" s="27"/>
      <c r="BW91" s="29"/>
      <c r="BX91" s="27"/>
      <c r="BY91" s="27"/>
      <c r="BZ91" s="28" t="str">
        <f aca="false">IF(N(E91)=0,"",IF(E91&lt;65,"Under 65","≥65"))</f>
        <v/>
      </c>
      <c r="CA91" s="28" t="str">
        <f aca="false">IF(OR(AC91="Yes",AC91="No"),AC91,"")</f>
        <v/>
      </c>
      <c r="CB91" s="28" t="str">
        <f aca="false">IF(OR(AD91="Yes",AD91="No"),AD91,"")</f>
        <v/>
      </c>
      <c r="CC91" s="28" t="str">
        <f aca="false">IF(F91="","",F91)</f>
        <v/>
      </c>
      <c r="CD91" s="27"/>
      <c r="CE91" s="27"/>
    </row>
    <row r="92" customFormat="false" ht="15" hidden="false" customHeight="false" outlineLevel="0" collapsed="false">
      <c r="A92" s="27"/>
      <c r="B92" s="27"/>
      <c r="C92" s="27"/>
      <c r="D92" s="27"/>
      <c r="E92" s="27"/>
      <c r="F92" s="27"/>
      <c r="G92" s="27"/>
      <c r="H92" s="27"/>
      <c r="I92" s="27"/>
      <c r="J92" s="28" t="str">
        <f aca="false">IF(AND(N(H92)&gt;0,N(I92)&gt;0),ROUND(I92/(H92/100)^2,1),"")</f>
        <v/>
      </c>
      <c r="K92" s="27"/>
      <c r="L92" s="27"/>
      <c r="M92" s="27"/>
      <c r="N92" s="27"/>
      <c r="O92" s="27"/>
      <c r="P92" s="27"/>
      <c r="Q92" s="27"/>
      <c r="R92" s="29"/>
      <c r="S92" s="29"/>
      <c r="T92" s="27"/>
      <c r="U92" s="28" t="str">
        <f aca="false">IF(N(T92)=0,"",IF(T92&lt;12,"Under 12 months",IF(T92&lt;36,"12-35 months",IF(T92&lt;60,"36-59 months","≥60 months"))))</f>
        <v/>
      </c>
      <c r="V92" s="27"/>
      <c r="W92" s="30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9"/>
      <c r="AT92" s="30"/>
      <c r="AU92" s="30"/>
      <c r="AV92" s="30"/>
      <c r="AW92" s="27"/>
      <c r="AX92" s="27"/>
      <c r="AY92" s="29"/>
      <c r="AZ92" s="27"/>
      <c r="BA92" s="27"/>
      <c r="BB92" s="29"/>
      <c r="BC92" s="30"/>
      <c r="BD92" s="30"/>
      <c r="BE92" s="30"/>
      <c r="BF92" s="27"/>
      <c r="BG92" s="27"/>
      <c r="BH92" s="28" t="str">
        <f aca="false">IF(COUNT(BC92:BE92)=0,"",IF(MIN(BC92:BE92)&lt;=-2.5,"Yes","No"))</f>
        <v/>
      </c>
      <c r="BI92" s="27"/>
      <c r="BJ92" s="29"/>
      <c r="BK92" s="27"/>
      <c r="BL92" s="27"/>
      <c r="BM92" s="27"/>
      <c r="BN92" s="28" t="str">
        <f aca="false">IF(OR(AX92="Yes",BI92="Yes"),"Yes",IF(AND(AX92="No",BI92="No"),"No",IF(AND(AX92="",BI92=""),"","Unknown")))</f>
        <v/>
      </c>
      <c r="BO92" s="31" t="str">
        <f aca="false">IF(COUNT(AY92,BJ92)=0,"",MIN(AY92,BJ92))</f>
        <v/>
      </c>
      <c r="BP92" s="29"/>
      <c r="BQ92" s="29"/>
      <c r="BR92" s="29"/>
      <c r="BS92" s="28" t="str">
        <f aca="false">IF(AND(N(BP92)&gt;0,N(BR92)&gt;0),BR92-BP92,"")</f>
        <v/>
      </c>
      <c r="BT92" s="28" t="str">
        <f aca="false">IF(BS92="","",ROUND(BS92/365.25,2))</f>
        <v/>
      </c>
      <c r="BU92" s="28" t="str">
        <f aca="false">IF(BS92="","",IF(BS92&gt;=730.5,"Yes","No"))</f>
        <v/>
      </c>
      <c r="BV92" s="27"/>
      <c r="BW92" s="29"/>
      <c r="BX92" s="27"/>
      <c r="BY92" s="27"/>
      <c r="BZ92" s="28" t="str">
        <f aca="false">IF(N(E92)=0,"",IF(E92&lt;65,"Under 65","≥65"))</f>
        <v/>
      </c>
      <c r="CA92" s="28" t="str">
        <f aca="false">IF(OR(AC92="Yes",AC92="No"),AC92,"")</f>
        <v/>
      </c>
      <c r="CB92" s="28" t="str">
        <f aca="false">IF(OR(AD92="Yes",AD92="No"),AD92,"")</f>
        <v/>
      </c>
      <c r="CC92" s="28" t="str">
        <f aca="false">IF(F92="","",F92)</f>
        <v/>
      </c>
      <c r="CD92" s="27"/>
      <c r="CE92" s="27"/>
    </row>
    <row r="93" customFormat="false" ht="15" hidden="false" customHeight="false" outlineLevel="0" collapsed="false">
      <c r="A93" s="27"/>
      <c r="B93" s="27"/>
      <c r="C93" s="27"/>
      <c r="D93" s="27"/>
      <c r="E93" s="27"/>
      <c r="F93" s="27"/>
      <c r="G93" s="27"/>
      <c r="H93" s="27"/>
      <c r="I93" s="27"/>
      <c r="J93" s="28" t="str">
        <f aca="false">IF(AND(N(H93)&gt;0,N(I93)&gt;0),ROUND(I93/(H93/100)^2,1),"")</f>
        <v/>
      </c>
      <c r="K93" s="27"/>
      <c r="L93" s="27"/>
      <c r="M93" s="27"/>
      <c r="N93" s="27"/>
      <c r="O93" s="27"/>
      <c r="P93" s="27"/>
      <c r="Q93" s="27"/>
      <c r="R93" s="29"/>
      <c r="S93" s="29"/>
      <c r="T93" s="27"/>
      <c r="U93" s="28" t="str">
        <f aca="false">IF(N(T93)=0,"",IF(T93&lt;12,"Under 12 months",IF(T93&lt;36,"12-35 months",IF(T93&lt;60,"36-59 months","≥60 months"))))</f>
        <v/>
      </c>
      <c r="V93" s="27"/>
      <c r="W93" s="30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9"/>
      <c r="AT93" s="30"/>
      <c r="AU93" s="30"/>
      <c r="AV93" s="30"/>
      <c r="AW93" s="27"/>
      <c r="AX93" s="27"/>
      <c r="AY93" s="29"/>
      <c r="AZ93" s="27"/>
      <c r="BA93" s="27"/>
      <c r="BB93" s="29"/>
      <c r="BC93" s="30"/>
      <c r="BD93" s="30"/>
      <c r="BE93" s="30"/>
      <c r="BF93" s="27"/>
      <c r="BG93" s="27"/>
      <c r="BH93" s="28" t="str">
        <f aca="false">IF(COUNT(BC93:BE93)=0,"",IF(MIN(BC93:BE93)&lt;=-2.5,"Yes","No"))</f>
        <v/>
      </c>
      <c r="BI93" s="27"/>
      <c r="BJ93" s="29"/>
      <c r="BK93" s="27"/>
      <c r="BL93" s="27"/>
      <c r="BM93" s="27"/>
      <c r="BN93" s="28" t="str">
        <f aca="false">IF(OR(AX93="Yes",BI93="Yes"),"Yes",IF(AND(AX93="No",BI93="No"),"No",IF(AND(AX93="",BI93=""),"","Unknown")))</f>
        <v/>
      </c>
      <c r="BO93" s="31" t="str">
        <f aca="false">IF(COUNT(AY93,BJ93)=0,"",MIN(AY93,BJ93))</f>
        <v/>
      </c>
      <c r="BP93" s="29"/>
      <c r="BQ93" s="29"/>
      <c r="BR93" s="29"/>
      <c r="BS93" s="28" t="str">
        <f aca="false">IF(AND(N(BP93)&gt;0,N(BR93)&gt;0),BR93-BP93,"")</f>
        <v/>
      </c>
      <c r="BT93" s="28" t="str">
        <f aca="false">IF(BS93="","",ROUND(BS93/365.25,2))</f>
        <v/>
      </c>
      <c r="BU93" s="28" t="str">
        <f aca="false">IF(BS93="","",IF(BS93&gt;=730.5,"Yes","No"))</f>
        <v/>
      </c>
      <c r="BV93" s="27"/>
      <c r="BW93" s="29"/>
      <c r="BX93" s="27"/>
      <c r="BY93" s="27"/>
      <c r="BZ93" s="28" t="str">
        <f aca="false">IF(N(E93)=0,"",IF(E93&lt;65,"Under 65","≥65"))</f>
        <v/>
      </c>
      <c r="CA93" s="28" t="str">
        <f aca="false">IF(OR(AC93="Yes",AC93="No"),AC93,"")</f>
        <v/>
      </c>
      <c r="CB93" s="28" t="str">
        <f aca="false">IF(OR(AD93="Yes",AD93="No"),AD93,"")</f>
        <v/>
      </c>
      <c r="CC93" s="28" t="str">
        <f aca="false">IF(F93="","",F93)</f>
        <v/>
      </c>
      <c r="CD93" s="27"/>
      <c r="CE93" s="27"/>
    </row>
    <row r="94" customFormat="false" ht="15" hidden="false" customHeight="false" outlineLevel="0" collapsed="false">
      <c r="A94" s="27"/>
      <c r="B94" s="27"/>
      <c r="C94" s="27"/>
      <c r="D94" s="27"/>
      <c r="E94" s="27"/>
      <c r="F94" s="27"/>
      <c r="G94" s="27"/>
      <c r="H94" s="27"/>
      <c r="I94" s="27"/>
      <c r="J94" s="28" t="str">
        <f aca="false">IF(AND(N(H94)&gt;0,N(I94)&gt;0),ROUND(I94/(H94/100)^2,1),"")</f>
        <v/>
      </c>
      <c r="K94" s="27"/>
      <c r="L94" s="27"/>
      <c r="M94" s="27"/>
      <c r="N94" s="27"/>
      <c r="O94" s="27"/>
      <c r="P94" s="27"/>
      <c r="Q94" s="27"/>
      <c r="R94" s="29"/>
      <c r="S94" s="29"/>
      <c r="T94" s="27"/>
      <c r="U94" s="28" t="str">
        <f aca="false">IF(N(T94)=0,"",IF(T94&lt;12,"Under 12 months",IF(T94&lt;36,"12-35 months",IF(T94&lt;60,"36-59 months","≥60 months"))))</f>
        <v/>
      </c>
      <c r="V94" s="27"/>
      <c r="W94" s="30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9"/>
      <c r="AT94" s="30"/>
      <c r="AU94" s="30"/>
      <c r="AV94" s="30"/>
      <c r="AW94" s="27"/>
      <c r="AX94" s="27"/>
      <c r="AY94" s="29"/>
      <c r="AZ94" s="27"/>
      <c r="BA94" s="27"/>
      <c r="BB94" s="29"/>
      <c r="BC94" s="30"/>
      <c r="BD94" s="30"/>
      <c r="BE94" s="30"/>
      <c r="BF94" s="27"/>
      <c r="BG94" s="27"/>
      <c r="BH94" s="28" t="str">
        <f aca="false">IF(COUNT(BC94:BE94)=0,"",IF(MIN(BC94:BE94)&lt;=-2.5,"Yes","No"))</f>
        <v/>
      </c>
      <c r="BI94" s="27"/>
      <c r="BJ94" s="29"/>
      <c r="BK94" s="27"/>
      <c r="BL94" s="27"/>
      <c r="BM94" s="27"/>
      <c r="BN94" s="28" t="str">
        <f aca="false">IF(OR(AX94="Yes",BI94="Yes"),"Yes",IF(AND(AX94="No",BI94="No"),"No",IF(AND(AX94="",BI94=""),"","Unknown")))</f>
        <v/>
      </c>
      <c r="BO94" s="31" t="str">
        <f aca="false">IF(COUNT(AY94,BJ94)=0,"",MIN(AY94,BJ94))</f>
        <v/>
      </c>
      <c r="BP94" s="29"/>
      <c r="BQ94" s="29"/>
      <c r="BR94" s="29"/>
      <c r="BS94" s="28" t="str">
        <f aca="false">IF(AND(N(BP94)&gt;0,N(BR94)&gt;0),BR94-BP94,"")</f>
        <v/>
      </c>
      <c r="BT94" s="28" t="str">
        <f aca="false">IF(BS94="","",ROUND(BS94/365.25,2))</f>
        <v/>
      </c>
      <c r="BU94" s="28" t="str">
        <f aca="false">IF(BS94="","",IF(BS94&gt;=730.5,"Yes","No"))</f>
        <v/>
      </c>
      <c r="BV94" s="27"/>
      <c r="BW94" s="29"/>
      <c r="BX94" s="27"/>
      <c r="BY94" s="27"/>
      <c r="BZ94" s="28" t="str">
        <f aca="false">IF(N(E94)=0,"",IF(E94&lt;65,"Under 65","≥65"))</f>
        <v/>
      </c>
      <c r="CA94" s="28" t="str">
        <f aca="false">IF(OR(AC94="Yes",AC94="No"),AC94,"")</f>
        <v/>
      </c>
      <c r="CB94" s="28" t="str">
        <f aca="false">IF(OR(AD94="Yes",AD94="No"),AD94,"")</f>
        <v/>
      </c>
      <c r="CC94" s="28" t="str">
        <f aca="false">IF(F94="","",F94)</f>
        <v/>
      </c>
      <c r="CD94" s="27"/>
      <c r="CE94" s="27"/>
    </row>
    <row r="95" customFormat="false" ht="15" hidden="false" customHeight="false" outlineLevel="0" collapsed="false">
      <c r="A95" s="27"/>
      <c r="B95" s="27"/>
      <c r="C95" s="27"/>
      <c r="D95" s="27"/>
      <c r="E95" s="27"/>
      <c r="F95" s="27"/>
      <c r="G95" s="27"/>
      <c r="H95" s="27"/>
      <c r="I95" s="27"/>
      <c r="J95" s="28" t="str">
        <f aca="false">IF(AND(N(H95)&gt;0,N(I95)&gt;0),ROUND(I95/(H95/100)^2,1),"")</f>
        <v/>
      </c>
      <c r="K95" s="27"/>
      <c r="L95" s="27"/>
      <c r="M95" s="27"/>
      <c r="N95" s="27"/>
      <c r="O95" s="27"/>
      <c r="P95" s="27"/>
      <c r="Q95" s="27"/>
      <c r="R95" s="29"/>
      <c r="S95" s="29"/>
      <c r="T95" s="27"/>
      <c r="U95" s="28" t="str">
        <f aca="false">IF(N(T95)=0,"",IF(T95&lt;12,"Under 12 months",IF(T95&lt;36,"12-35 months",IF(T95&lt;60,"36-59 months","≥60 months"))))</f>
        <v/>
      </c>
      <c r="V95" s="27"/>
      <c r="W95" s="30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9"/>
      <c r="AT95" s="30"/>
      <c r="AU95" s="30"/>
      <c r="AV95" s="30"/>
      <c r="AW95" s="27"/>
      <c r="AX95" s="27"/>
      <c r="AY95" s="29"/>
      <c r="AZ95" s="27"/>
      <c r="BA95" s="27"/>
      <c r="BB95" s="29"/>
      <c r="BC95" s="30"/>
      <c r="BD95" s="30"/>
      <c r="BE95" s="30"/>
      <c r="BF95" s="27"/>
      <c r="BG95" s="27"/>
      <c r="BH95" s="28" t="str">
        <f aca="false">IF(COUNT(BC95:BE95)=0,"",IF(MIN(BC95:BE95)&lt;=-2.5,"Yes","No"))</f>
        <v/>
      </c>
      <c r="BI95" s="27"/>
      <c r="BJ95" s="29"/>
      <c r="BK95" s="27"/>
      <c r="BL95" s="27"/>
      <c r="BM95" s="27"/>
      <c r="BN95" s="28" t="str">
        <f aca="false">IF(OR(AX95="Yes",BI95="Yes"),"Yes",IF(AND(AX95="No",BI95="No"),"No",IF(AND(AX95="",BI95=""),"","Unknown")))</f>
        <v/>
      </c>
      <c r="BO95" s="31" t="str">
        <f aca="false">IF(COUNT(AY95,BJ95)=0,"",MIN(AY95,BJ95))</f>
        <v/>
      </c>
      <c r="BP95" s="29"/>
      <c r="BQ95" s="29"/>
      <c r="BR95" s="29"/>
      <c r="BS95" s="28" t="str">
        <f aca="false">IF(AND(N(BP95)&gt;0,N(BR95)&gt;0),BR95-BP95,"")</f>
        <v/>
      </c>
      <c r="BT95" s="28" t="str">
        <f aca="false">IF(BS95="","",ROUND(BS95/365.25,2))</f>
        <v/>
      </c>
      <c r="BU95" s="28" t="str">
        <f aca="false">IF(BS95="","",IF(BS95&gt;=730.5,"Yes","No"))</f>
        <v/>
      </c>
      <c r="BV95" s="27"/>
      <c r="BW95" s="29"/>
      <c r="BX95" s="27"/>
      <c r="BY95" s="27"/>
      <c r="BZ95" s="28" t="str">
        <f aca="false">IF(N(E95)=0,"",IF(E95&lt;65,"Under 65","≥65"))</f>
        <v/>
      </c>
      <c r="CA95" s="28" t="str">
        <f aca="false">IF(OR(AC95="Yes",AC95="No"),AC95,"")</f>
        <v/>
      </c>
      <c r="CB95" s="28" t="str">
        <f aca="false">IF(OR(AD95="Yes",AD95="No"),AD95,"")</f>
        <v/>
      </c>
      <c r="CC95" s="28" t="str">
        <f aca="false">IF(F95="","",F95)</f>
        <v/>
      </c>
      <c r="CD95" s="27"/>
      <c r="CE95" s="27"/>
    </row>
    <row r="96" customFormat="false" ht="15" hidden="false" customHeight="false" outlineLevel="0" collapsed="false">
      <c r="A96" s="27"/>
      <c r="B96" s="27"/>
      <c r="C96" s="27"/>
      <c r="D96" s="27"/>
      <c r="E96" s="27"/>
      <c r="F96" s="27"/>
      <c r="G96" s="27"/>
      <c r="H96" s="27"/>
      <c r="I96" s="27"/>
      <c r="J96" s="28" t="str">
        <f aca="false">IF(AND(N(H96)&gt;0,N(I96)&gt;0),ROUND(I96/(H96/100)^2,1),"")</f>
        <v/>
      </c>
      <c r="K96" s="27"/>
      <c r="L96" s="27"/>
      <c r="M96" s="27"/>
      <c r="N96" s="27"/>
      <c r="O96" s="27"/>
      <c r="P96" s="27"/>
      <c r="Q96" s="27"/>
      <c r="R96" s="29"/>
      <c r="S96" s="29"/>
      <c r="T96" s="27"/>
      <c r="U96" s="28" t="str">
        <f aca="false">IF(N(T96)=0,"",IF(T96&lt;12,"Under 12 months",IF(T96&lt;36,"12-35 months",IF(T96&lt;60,"36-59 months","≥60 months"))))</f>
        <v/>
      </c>
      <c r="V96" s="27"/>
      <c r="W96" s="30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9"/>
      <c r="AT96" s="30"/>
      <c r="AU96" s="30"/>
      <c r="AV96" s="30"/>
      <c r="AW96" s="27"/>
      <c r="AX96" s="27"/>
      <c r="AY96" s="29"/>
      <c r="AZ96" s="27"/>
      <c r="BA96" s="27"/>
      <c r="BB96" s="29"/>
      <c r="BC96" s="30"/>
      <c r="BD96" s="30"/>
      <c r="BE96" s="30"/>
      <c r="BF96" s="27"/>
      <c r="BG96" s="27"/>
      <c r="BH96" s="28" t="str">
        <f aca="false">IF(COUNT(BC96:BE96)=0,"",IF(MIN(BC96:BE96)&lt;=-2.5,"Yes","No"))</f>
        <v/>
      </c>
      <c r="BI96" s="27"/>
      <c r="BJ96" s="29"/>
      <c r="BK96" s="27"/>
      <c r="BL96" s="27"/>
      <c r="BM96" s="27"/>
      <c r="BN96" s="28" t="str">
        <f aca="false">IF(OR(AX96="Yes",BI96="Yes"),"Yes",IF(AND(AX96="No",BI96="No"),"No",IF(AND(AX96="",BI96=""),"","Unknown")))</f>
        <v/>
      </c>
      <c r="BO96" s="31" t="str">
        <f aca="false">IF(COUNT(AY96,BJ96)=0,"",MIN(AY96,BJ96))</f>
        <v/>
      </c>
      <c r="BP96" s="29"/>
      <c r="BQ96" s="29"/>
      <c r="BR96" s="29"/>
      <c r="BS96" s="28" t="str">
        <f aca="false">IF(AND(N(BP96)&gt;0,N(BR96)&gt;0),BR96-BP96,"")</f>
        <v/>
      </c>
      <c r="BT96" s="28" t="str">
        <f aca="false">IF(BS96="","",ROUND(BS96/365.25,2))</f>
        <v/>
      </c>
      <c r="BU96" s="28" t="str">
        <f aca="false">IF(BS96="","",IF(BS96&gt;=730.5,"Yes","No"))</f>
        <v/>
      </c>
      <c r="BV96" s="27"/>
      <c r="BW96" s="29"/>
      <c r="BX96" s="27"/>
      <c r="BY96" s="27"/>
      <c r="BZ96" s="28" t="str">
        <f aca="false">IF(N(E96)=0,"",IF(E96&lt;65,"Under 65","≥65"))</f>
        <v/>
      </c>
      <c r="CA96" s="28" t="str">
        <f aca="false">IF(OR(AC96="Yes",AC96="No"),AC96,"")</f>
        <v/>
      </c>
      <c r="CB96" s="28" t="str">
        <f aca="false">IF(OR(AD96="Yes",AD96="No"),AD96,"")</f>
        <v/>
      </c>
      <c r="CC96" s="28" t="str">
        <f aca="false">IF(F96="","",F96)</f>
        <v/>
      </c>
      <c r="CD96" s="27"/>
      <c r="CE96" s="27"/>
    </row>
    <row r="97" customFormat="false" ht="15" hidden="false" customHeight="false" outlineLevel="0" collapsed="false">
      <c r="A97" s="27"/>
      <c r="B97" s="27"/>
      <c r="C97" s="27"/>
      <c r="D97" s="27"/>
      <c r="E97" s="27"/>
      <c r="F97" s="27"/>
      <c r="G97" s="27"/>
      <c r="H97" s="27"/>
      <c r="I97" s="27"/>
      <c r="J97" s="28" t="str">
        <f aca="false">IF(AND(N(H97)&gt;0,N(I97)&gt;0),ROUND(I97/(H97/100)^2,1),"")</f>
        <v/>
      </c>
      <c r="K97" s="27"/>
      <c r="L97" s="27"/>
      <c r="M97" s="27"/>
      <c r="N97" s="27"/>
      <c r="O97" s="27"/>
      <c r="P97" s="27"/>
      <c r="Q97" s="27"/>
      <c r="R97" s="29"/>
      <c r="S97" s="29"/>
      <c r="T97" s="27"/>
      <c r="U97" s="28" t="str">
        <f aca="false">IF(N(T97)=0,"",IF(T97&lt;12,"Under 12 months",IF(T97&lt;36,"12-35 months",IF(T97&lt;60,"36-59 months","≥60 months"))))</f>
        <v/>
      </c>
      <c r="V97" s="27"/>
      <c r="W97" s="30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9"/>
      <c r="AT97" s="30"/>
      <c r="AU97" s="30"/>
      <c r="AV97" s="30"/>
      <c r="AW97" s="27"/>
      <c r="AX97" s="27"/>
      <c r="AY97" s="29"/>
      <c r="AZ97" s="27"/>
      <c r="BA97" s="27"/>
      <c r="BB97" s="29"/>
      <c r="BC97" s="30"/>
      <c r="BD97" s="30"/>
      <c r="BE97" s="30"/>
      <c r="BF97" s="27"/>
      <c r="BG97" s="27"/>
      <c r="BH97" s="28" t="str">
        <f aca="false">IF(COUNT(BC97:BE97)=0,"",IF(MIN(BC97:BE97)&lt;=-2.5,"Yes","No"))</f>
        <v/>
      </c>
      <c r="BI97" s="27"/>
      <c r="BJ97" s="29"/>
      <c r="BK97" s="27"/>
      <c r="BL97" s="27"/>
      <c r="BM97" s="27"/>
      <c r="BN97" s="28" t="str">
        <f aca="false">IF(OR(AX97="Yes",BI97="Yes"),"Yes",IF(AND(AX97="No",BI97="No"),"No",IF(AND(AX97="",BI97=""),"","Unknown")))</f>
        <v/>
      </c>
      <c r="BO97" s="31" t="str">
        <f aca="false">IF(COUNT(AY97,BJ97)=0,"",MIN(AY97,BJ97))</f>
        <v/>
      </c>
      <c r="BP97" s="29"/>
      <c r="BQ97" s="29"/>
      <c r="BR97" s="29"/>
      <c r="BS97" s="28" t="str">
        <f aca="false">IF(AND(N(BP97)&gt;0,N(BR97)&gt;0),BR97-BP97,"")</f>
        <v/>
      </c>
      <c r="BT97" s="28" t="str">
        <f aca="false">IF(BS97="","",ROUND(BS97/365.25,2))</f>
        <v/>
      </c>
      <c r="BU97" s="28" t="str">
        <f aca="false">IF(BS97="","",IF(BS97&gt;=730.5,"Yes","No"))</f>
        <v/>
      </c>
      <c r="BV97" s="27"/>
      <c r="BW97" s="29"/>
      <c r="BX97" s="27"/>
      <c r="BY97" s="27"/>
      <c r="BZ97" s="28" t="str">
        <f aca="false">IF(N(E97)=0,"",IF(E97&lt;65,"Under 65","≥65"))</f>
        <v/>
      </c>
      <c r="CA97" s="28" t="str">
        <f aca="false">IF(OR(AC97="Yes",AC97="No"),AC97,"")</f>
        <v/>
      </c>
      <c r="CB97" s="28" t="str">
        <f aca="false">IF(OR(AD97="Yes",AD97="No"),AD97,"")</f>
        <v/>
      </c>
      <c r="CC97" s="28" t="str">
        <f aca="false">IF(F97="","",F97)</f>
        <v/>
      </c>
      <c r="CD97" s="27"/>
      <c r="CE97" s="27"/>
    </row>
    <row r="98" customFormat="false" ht="15" hidden="false" customHeight="false" outlineLevel="0" collapsed="false">
      <c r="A98" s="27"/>
      <c r="B98" s="27"/>
      <c r="C98" s="27"/>
      <c r="D98" s="27"/>
      <c r="E98" s="27"/>
      <c r="F98" s="27"/>
      <c r="G98" s="27"/>
      <c r="H98" s="27"/>
      <c r="I98" s="27"/>
      <c r="J98" s="28" t="str">
        <f aca="false">IF(AND(N(H98)&gt;0,N(I98)&gt;0),ROUND(I98/(H98/100)^2,1),"")</f>
        <v/>
      </c>
      <c r="K98" s="27"/>
      <c r="L98" s="27"/>
      <c r="M98" s="27"/>
      <c r="N98" s="27"/>
      <c r="O98" s="27"/>
      <c r="P98" s="27"/>
      <c r="Q98" s="27"/>
      <c r="R98" s="29"/>
      <c r="S98" s="29"/>
      <c r="T98" s="27"/>
      <c r="U98" s="28" t="str">
        <f aca="false">IF(N(T98)=0,"",IF(T98&lt;12,"Under 12 months",IF(T98&lt;36,"12-35 months",IF(T98&lt;60,"36-59 months","≥60 months"))))</f>
        <v/>
      </c>
      <c r="V98" s="27"/>
      <c r="W98" s="30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9"/>
      <c r="AT98" s="30"/>
      <c r="AU98" s="30"/>
      <c r="AV98" s="30"/>
      <c r="AW98" s="27"/>
      <c r="AX98" s="27"/>
      <c r="AY98" s="29"/>
      <c r="AZ98" s="27"/>
      <c r="BA98" s="27"/>
      <c r="BB98" s="29"/>
      <c r="BC98" s="30"/>
      <c r="BD98" s="30"/>
      <c r="BE98" s="30"/>
      <c r="BF98" s="27"/>
      <c r="BG98" s="27"/>
      <c r="BH98" s="28" t="str">
        <f aca="false">IF(COUNT(BC98:BE98)=0,"",IF(MIN(BC98:BE98)&lt;=-2.5,"Yes","No"))</f>
        <v/>
      </c>
      <c r="BI98" s="27"/>
      <c r="BJ98" s="29"/>
      <c r="BK98" s="27"/>
      <c r="BL98" s="27"/>
      <c r="BM98" s="27"/>
      <c r="BN98" s="28" t="str">
        <f aca="false">IF(OR(AX98="Yes",BI98="Yes"),"Yes",IF(AND(AX98="No",BI98="No"),"No",IF(AND(AX98="",BI98=""),"","Unknown")))</f>
        <v/>
      </c>
      <c r="BO98" s="31" t="str">
        <f aca="false">IF(COUNT(AY98,BJ98)=0,"",MIN(AY98,BJ98))</f>
        <v/>
      </c>
      <c r="BP98" s="29"/>
      <c r="BQ98" s="29"/>
      <c r="BR98" s="29"/>
      <c r="BS98" s="28" t="str">
        <f aca="false">IF(AND(N(BP98)&gt;0,N(BR98)&gt;0),BR98-BP98,"")</f>
        <v/>
      </c>
      <c r="BT98" s="28" t="str">
        <f aca="false">IF(BS98="","",ROUND(BS98/365.25,2))</f>
        <v/>
      </c>
      <c r="BU98" s="28" t="str">
        <f aca="false">IF(BS98="","",IF(BS98&gt;=730.5,"Yes","No"))</f>
        <v/>
      </c>
      <c r="BV98" s="27"/>
      <c r="BW98" s="29"/>
      <c r="BX98" s="27"/>
      <c r="BY98" s="27"/>
      <c r="BZ98" s="28" t="str">
        <f aca="false">IF(N(E98)=0,"",IF(E98&lt;65,"Under 65","≥65"))</f>
        <v/>
      </c>
      <c r="CA98" s="28" t="str">
        <f aca="false">IF(OR(AC98="Yes",AC98="No"),AC98,"")</f>
        <v/>
      </c>
      <c r="CB98" s="28" t="str">
        <f aca="false">IF(OR(AD98="Yes",AD98="No"),AD98,"")</f>
        <v/>
      </c>
      <c r="CC98" s="28" t="str">
        <f aca="false">IF(F98="","",F98)</f>
        <v/>
      </c>
      <c r="CD98" s="27"/>
      <c r="CE98" s="27"/>
    </row>
    <row r="99" customFormat="false" ht="15" hidden="false" customHeight="false" outlineLevel="0" collapsed="false">
      <c r="A99" s="27"/>
      <c r="B99" s="27"/>
      <c r="C99" s="27"/>
      <c r="D99" s="27"/>
      <c r="E99" s="27"/>
      <c r="F99" s="27"/>
      <c r="G99" s="27"/>
      <c r="H99" s="27"/>
      <c r="I99" s="27"/>
      <c r="J99" s="28" t="str">
        <f aca="false">IF(AND(N(H99)&gt;0,N(I99)&gt;0),ROUND(I99/(H99/100)^2,1),"")</f>
        <v/>
      </c>
      <c r="K99" s="27"/>
      <c r="L99" s="27"/>
      <c r="M99" s="27"/>
      <c r="N99" s="27"/>
      <c r="O99" s="27"/>
      <c r="P99" s="27"/>
      <c r="Q99" s="27"/>
      <c r="R99" s="29"/>
      <c r="S99" s="29"/>
      <c r="T99" s="27"/>
      <c r="U99" s="28" t="str">
        <f aca="false">IF(N(T99)=0,"",IF(T99&lt;12,"Under 12 months",IF(T99&lt;36,"12-35 months",IF(T99&lt;60,"36-59 months","≥60 months"))))</f>
        <v/>
      </c>
      <c r="V99" s="27"/>
      <c r="W99" s="30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9"/>
      <c r="AT99" s="30"/>
      <c r="AU99" s="30"/>
      <c r="AV99" s="30"/>
      <c r="AW99" s="27"/>
      <c r="AX99" s="27"/>
      <c r="AY99" s="29"/>
      <c r="AZ99" s="27"/>
      <c r="BA99" s="27"/>
      <c r="BB99" s="29"/>
      <c r="BC99" s="30"/>
      <c r="BD99" s="30"/>
      <c r="BE99" s="30"/>
      <c r="BF99" s="27"/>
      <c r="BG99" s="27"/>
      <c r="BH99" s="28" t="str">
        <f aca="false">IF(COUNT(BC99:BE99)=0,"",IF(MIN(BC99:BE99)&lt;=-2.5,"Yes","No"))</f>
        <v/>
      </c>
      <c r="BI99" s="27"/>
      <c r="BJ99" s="29"/>
      <c r="BK99" s="27"/>
      <c r="BL99" s="27"/>
      <c r="BM99" s="27"/>
      <c r="BN99" s="28" t="str">
        <f aca="false">IF(OR(AX99="Yes",BI99="Yes"),"Yes",IF(AND(AX99="No",BI99="No"),"No",IF(AND(AX99="",BI99=""),"","Unknown")))</f>
        <v/>
      </c>
      <c r="BO99" s="31" t="str">
        <f aca="false">IF(COUNT(AY99,BJ99)=0,"",MIN(AY99,BJ99))</f>
        <v/>
      </c>
      <c r="BP99" s="29"/>
      <c r="BQ99" s="29"/>
      <c r="BR99" s="29"/>
      <c r="BS99" s="28" t="str">
        <f aca="false">IF(AND(N(BP99)&gt;0,N(BR99)&gt;0),BR99-BP99,"")</f>
        <v/>
      </c>
      <c r="BT99" s="28" t="str">
        <f aca="false">IF(BS99="","",ROUND(BS99/365.25,2))</f>
        <v/>
      </c>
      <c r="BU99" s="28" t="str">
        <f aca="false">IF(BS99="","",IF(BS99&gt;=730.5,"Yes","No"))</f>
        <v/>
      </c>
      <c r="BV99" s="27"/>
      <c r="BW99" s="29"/>
      <c r="BX99" s="27"/>
      <c r="BY99" s="27"/>
      <c r="BZ99" s="28" t="str">
        <f aca="false">IF(N(E99)=0,"",IF(E99&lt;65,"Under 65","≥65"))</f>
        <v/>
      </c>
      <c r="CA99" s="28" t="str">
        <f aca="false">IF(OR(AC99="Yes",AC99="No"),AC99,"")</f>
        <v/>
      </c>
      <c r="CB99" s="28" t="str">
        <f aca="false">IF(OR(AD99="Yes",AD99="No"),AD99,"")</f>
        <v/>
      </c>
      <c r="CC99" s="28" t="str">
        <f aca="false">IF(F99="","",F99)</f>
        <v/>
      </c>
      <c r="CD99" s="27"/>
      <c r="CE99" s="27"/>
    </row>
    <row r="100" customFormat="false" ht="15" hidden="false" customHeight="false" outlineLevel="0" collapsed="false">
      <c r="A100" s="27"/>
      <c r="B100" s="27"/>
      <c r="C100" s="27"/>
      <c r="D100" s="27"/>
      <c r="E100" s="27"/>
      <c r="F100" s="27"/>
      <c r="G100" s="27"/>
      <c r="H100" s="27"/>
      <c r="I100" s="27"/>
      <c r="J100" s="28" t="str">
        <f aca="false">IF(AND(N(H100)&gt;0,N(I100)&gt;0),ROUND(I100/(H100/100)^2,1),"")</f>
        <v/>
      </c>
      <c r="K100" s="27"/>
      <c r="L100" s="27"/>
      <c r="M100" s="27"/>
      <c r="N100" s="27"/>
      <c r="O100" s="27"/>
      <c r="P100" s="27"/>
      <c r="Q100" s="27"/>
      <c r="R100" s="29"/>
      <c r="S100" s="29"/>
      <c r="T100" s="27"/>
      <c r="U100" s="28" t="str">
        <f aca="false">IF(N(T100)=0,"",IF(T100&lt;12,"Under 12 months",IF(T100&lt;36,"12-35 months",IF(T100&lt;60,"36-59 months","≥60 months"))))</f>
        <v/>
      </c>
      <c r="V100" s="27"/>
      <c r="W100" s="30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9"/>
      <c r="AT100" s="30"/>
      <c r="AU100" s="30"/>
      <c r="AV100" s="30"/>
      <c r="AW100" s="27"/>
      <c r="AX100" s="27"/>
      <c r="AY100" s="29"/>
      <c r="AZ100" s="27"/>
      <c r="BA100" s="27"/>
      <c r="BB100" s="29"/>
      <c r="BC100" s="30"/>
      <c r="BD100" s="30"/>
      <c r="BE100" s="30"/>
      <c r="BF100" s="27"/>
      <c r="BG100" s="27"/>
      <c r="BH100" s="28" t="str">
        <f aca="false">IF(COUNT(BC100:BE100)=0,"",IF(MIN(BC100:BE100)&lt;=-2.5,"Yes","No"))</f>
        <v/>
      </c>
      <c r="BI100" s="27"/>
      <c r="BJ100" s="29"/>
      <c r="BK100" s="27"/>
      <c r="BL100" s="27"/>
      <c r="BM100" s="27"/>
      <c r="BN100" s="28" t="str">
        <f aca="false">IF(OR(AX100="Yes",BI100="Yes"),"Yes",IF(AND(AX100="No",BI100="No"),"No",IF(AND(AX100="",BI100=""),"","Unknown")))</f>
        <v/>
      </c>
      <c r="BO100" s="31" t="str">
        <f aca="false">IF(COUNT(AY100,BJ100)=0,"",MIN(AY100,BJ100))</f>
        <v/>
      </c>
      <c r="BP100" s="29"/>
      <c r="BQ100" s="29"/>
      <c r="BR100" s="29"/>
      <c r="BS100" s="28" t="str">
        <f aca="false">IF(AND(N(BP100)&gt;0,N(BR100)&gt;0),BR100-BP100,"")</f>
        <v/>
      </c>
      <c r="BT100" s="28" t="str">
        <f aca="false">IF(BS100="","",ROUND(BS100/365.25,2))</f>
        <v/>
      </c>
      <c r="BU100" s="28" t="str">
        <f aca="false">IF(BS100="","",IF(BS100&gt;=730.5,"Yes","No"))</f>
        <v/>
      </c>
      <c r="BV100" s="27"/>
      <c r="BW100" s="29"/>
      <c r="BX100" s="27"/>
      <c r="BY100" s="27"/>
      <c r="BZ100" s="28" t="str">
        <f aca="false">IF(N(E100)=0,"",IF(E100&lt;65,"Under 65","≥65"))</f>
        <v/>
      </c>
      <c r="CA100" s="28" t="str">
        <f aca="false">IF(OR(AC100="Yes",AC100="No"),AC100,"")</f>
        <v/>
      </c>
      <c r="CB100" s="28" t="str">
        <f aca="false">IF(OR(AD100="Yes",AD100="No"),AD100,"")</f>
        <v/>
      </c>
      <c r="CC100" s="28" t="str">
        <f aca="false">IF(F100="","",F100)</f>
        <v/>
      </c>
      <c r="CD100" s="27"/>
      <c r="CE100" s="27"/>
    </row>
    <row r="101" customFormat="false" ht="15" hidden="false" customHeight="false" outlineLevel="0" collapsed="false">
      <c r="A101" s="27"/>
      <c r="B101" s="27"/>
      <c r="C101" s="27"/>
      <c r="D101" s="27"/>
      <c r="E101" s="27"/>
      <c r="F101" s="27"/>
      <c r="G101" s="27"/>
      <c r="H101" s="27"/>
      <c r="I101" s="27"/>
      <c r="J101" s="28" t="str">
        <f aca="false">IF(AND(N(H101)&gt;0,N(I101)&gt;0),ROUND(I101/(H101/100)^2,1),"")</f>
        <v/>
      </c>
      <c r="K101" s="27"/>
      <c r="L101" s="27"/>
      <c r="M101" s="27"/>
      <c r="N101" s="27"/>
      <c r="O101" s="27"/>
      <c r="P101" s="27"/>
      <c r="Q101" s="27"/>
      <c r="R101" s="29"/>
      <c r="S101" s="29"/>
      <c r="T101" s="27"/>
      <c r="U101" s="28" t="str">
        <f aca="false">IF(N(T101)=0,"",IF(T101&lt;12,"Under 12 months",IF(T101&lt;36,"12-35 months",IF(T101&lt;60,"36-59 months","≥60 months"))))</f>
        <v/>
      </c>
      <c r="V101" s="27"/>
      <c r="W101" s="30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9"/>
      <c r="AT101" s="30"/>
      <c r="AU101" s="30"/>
      <c r="AV101" s="30"/>
      <c r="AW101" s="27"/>
      <c r="AX101" s="27"/>
      <c r="AY101" s="29"/>
      <c r="AZ101" s="27"/>
      <c r="BA101" s="27"/>
      <c r="BB101" s="29"/>
      <c r="BC101" s="30"/>
      <c r="BD101" s="30"/>
      <c r="BE101" s="30"/>
      <c r="BF101" s="27"/>
      <c r="BG101" s="27"/>
      <c r="BH101" s="28" t="str">
        <f aca="false">IF(COUNT(BC101:BE101)=0,"",IF(MIN(BC101:BE101)&lt;=-2.5,"Yes","No"))</f>
        <v/>
      </c>
      <c r="BI101" s="27"/>
      <c r="BJ101" s="29"/>
      <c r="BK101" s="27"/>
      <c r="BL101" s="27"/>
      <c r="BM101" s="27"/>
      <c r="BN101" s="28" t="str">
        <f aca="false">IF(OR(AX101="Yes",BI101="Yes"),"Yes",IF(AND(AX101="No",BI101="No"),"No",IF(AND(AX101="",BI101=""),"","Unknown")))</f>
        <v/>
      </c>
      <c r="BO101" s="31" t="str">
        <f aca="false">IF(COUNT(AY101,BJ101)=0,"",MIN(AY101,BJ101))</f>
        <v/>
      </c>
      <c r="BP101" s="29"/>
      <c r="BQ101" s="29"/>
      <c r="BR101" s="29"/>
      <c r="BS101" s="28" t="str">
        <f aca="false">IF(AND(N(BP101)&gt;0,N(BR101)&gt;0),BR101-BP101,"")</f>
        <v/>
      </c>
      <c r="BT101" s="28" t="str">
        <f aca="false">IF(BS101="","",ROUND(BS101/365.25,2))</f>
        <v/>
      </c>
      <c r="BU101" s="28" t="str">
        <f aca="false">IF(BS101="","",IF(BS101&gt;=730.5,"Yes","No"))</f>
        <v/>
      </c>
      <c r="BV101" s="27"/>
      <c r="BW101" s="29"/>
      <c r="BX101" s="27"/>
      <c r="BY101" s="27"/>
      <c r="BZ101" s="28" t="str">
        <f aca="false">IF(N(E101)=0,"",IF(E101&lt;65,"Under 65","≥65"))</f>
        <v/>
      </c>
      <c r="CA101" s="28" t="str">
        <f aca="false">IF(OR(AC101="Yes",AC101="No"),AC101,"")</f>
        <v/>
      </c>
      <c r="CB101" s="28" t="str">
        <f aca="false">IF(OR(AD101="Yes",AD101="No"),AD101,"")</f>
        <v/>
      </c>
      <c r="CC101" s="28" t="str">
        <f aca="false">IF(F101="","",F101)</f>
        <v/>
      </c>
      <c r="CD101" s="27"/>
      <c r="CE101" s="27"/>
    </row>
    <row r="102" customFormat="false" ht="15" hidden="false" customHeight="false" outlineLevel="0" collapsed="false">
      <c r="A102" s="27"/>
      <c r="B102" s="27"/>
      <c r="C102" s="27"/>
      <c r="D102" s="27"/>
      <c r="E102" s="27"/>
      <c r="F102" s="27"/>
      <c r="G102" s="27"/>
      <c r="H102" s="27"/>
      <c r="I102" s="27"/>
      <c r="J102" s="28" t="str">
        <f aca="false">IF(AND(N(H102)&gt;0,N(I102)&gt;0),ROUND(I102/(H102/100)^2,1),"")</f>
        <v/>
      </c>
      <c r="K102" s="27"/>
      <c r="L102" s="27"/>
      <c r="M102" s="27"/>
      <c r="N102" s="27"/>
      <c r="O102" s="27"/>
      <c r="P102" s="27"/>
      <c r="Q102" s="27"/>
      <c r="R102" s="29"/>
      <c r="S102" s="29"/>
      <c r="T102" s="27"/>
      <c r="U102" s="28" t="str">
        <f aca="false">IF(N(T102)=0,"",IF(T102&lt;12,"Under 12 months",IF(T102&lt;36,"12-35 months",IF(T102&lt;60,"36-59 months","≥60 months"))))</f>
        <v/>
      </c>
      <c r="V102" s="27"/>
      <c r="W102" s="30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9"/>
      <c r="AT102" s="30"/>
      <c r="AU102" s="30"/>
      <c r="AV102" s="30"/>
      <c r="AW102" s="27"/>
      <c r="AX102" s="27"/>
      <c r="AY102" s="29"/>
      <c r="AZ102" s="27"/>
      <c r="BA102" s="27"/>
      <c r="BB102" s="29"/>
      <c r="BC102" s="30"/>
      <c r="BD102" s="30"/>
      <c r="BE102" s="30"/>
      <c r="BF102" s="27"/>
      <c r="BG102" s="27"/>
      <c r="BH102" s="28" t="str">
        <f aca="false">IF(COUNT(BC102:BE102)=0,"",IF(MIN(BC102:BE102)&lt;=-2.5,"Yes","No"))</f>
        <v/>
      </c>
      <c r="BI102" s="27"/>
      <c r="BJ102" s="29"/>
      <c r="BK102" s="27"/>
      <c r="BL102" s="27"/>
      <c r="BM102" s="27"/>
      <c r="BN102" s="28" t="str">
        <f aca="false">IF(OR(AX102="Yes",BI102="Yes"),"Yes",IF(AND(AX102="No",BI102="No"),"No",IF(AND(AX102="",BI102=""),"","Unknown")))</f>
        <v/>
      </c>
      <c r="BO102" s="31" t="str">
        <f aca="false">IF(COUNT(AY102,BJ102)=0,"",MIN(AY102,BJ102))</f>
        <v/>
      </c>
      <c r="BP102" s="29"/>
      <c r="BQ102" s="29"/>
      <c r="BR102" s="29"/>
      <c r="BS102" s="28" t="str">
        <f aca="false">IF(AND(N(BP102)&gt;0,N(BR102)&gt;0),BR102-BP102,"")</f>
        <v/>
      </c>
      <c r="BT102" s="28" t="str">
        <f aca="false">IF(BS102="","",ROUND(BS102/365.25,2))</f>
        <v/>
      </c>
      <c r="BU102" s="28" t="str">
        <f aca="false">IF(BS102="","",IF(BS102&gt;=730.5,"Yes","No"))</f>
        <v/>
      </c>
      <c r="BV102" s="27"/>
      <c r="BW102" s="29"/>
      <c r="BX102" s="27"/>
      <c r="BY102" s="27"/>
      <c r="BZ102" s="28" t="str">
        <f aca="false">IF(N(E102)=0,"",IF(E102&lt;65,"Under 65","≥65"))</f>
        <v/>
      </c>
      <c r="CA102" s="28" t="str">
        <f aca="false">IF(OR(AC102="Yes",AC102="No"),AC102,"")</f>
        <v/>
      </c>
      <c r="CB102" s="28" t="str">
        <f aca="false">IF(OR(AD102="Yes",AD102="No"),AD102,"")</f>
        <v/>
      </c>
      <c r="CC102" s="28" t="str">
        <f aca="false">IF(F102="","",F102)</f>
        <v/>
      </c>
      <c r="CD102" s="27"/>
      <c r="CE102" s="27"/>
    </row>
    <row r="103" customFormat="false" ht="15" hidden="false" customHeight="false" outlineLevel="0" collapsed="false">
      <c r="A103" s="27"/>
      <c r="B103" s="27"/>
      <c r="C103" s="27"/>
      <c r="D103" s="27"/>
      <c r="E103" s="27"/>
      <c r="F103" s="27"/>
      <c r="G103" s="27"/>
      <c r="H103" s="27"/>
      <c r="I103" s="27"/>
      <c r="J103" s="28" t="str">
        <f aca="false">IF(AND(N(H103)&gt;0,N(I103)&gt;0),ROUND(I103/(H103/100)^2,1),"")</f>
        <v/>
      </c>
      <c r="K103" s="27"/>
      <c r="L103" s="27"/>
      <c r="M103" s="27"/>
      <c r="N103" s="27"/>
      <c r="O103" s="27"/>
      <c r="P103" s="27"/>
      <c r="Q103" s="27"/>
      <c r="R103" s="29"/>
      <c r="S103" s="29"/>
      <c r="T103" s="27"/>
      <c r="U103" s="28" t="str">
        <f aca="false">IF(N(T103)=0,"",IF(T103&lt;12,"Under 12 months",IF(T103&lt;36,"12-35 months",IF(T103&lt;60,"36-59 months","≥60 months"))))</f>
        <v/>
      </c>
      <c r="V103" s="27"/>
      <c r="W103" s="30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9"/>
      <c r="AT103" s="30"/>
      <c r="AU103" s="30"/>
      <c r="AV103" s="30"/>
      <c r="AW103" s="27"/>
      <c r="AX103" s="27"/>
      <c r="AY103" s="29"/>
      <c r="AZ103" s="27"/>
      <c r="BA103" s="27"/>
      <c r="BB103" s="29"/>
      <c r="BC103" s="30"/>
      <c r="BD103" s="30"/>
      <c r="BE103" s="30"/>
      <c r="BF103" s="27"/>
      <c r="BG103" s="27"/>
      <c r="BH103" s="28" t="str">
        <f aca="false">IF(COUNT(BC103:BE103)=0,"",IF(MIN(BC103:BE103)&lt;=-2.5,"Yes","No"))</f>
        <v/>
      </c>
      <c r="BI103" s="27"/>
      <c r="BJ103" s="29"/>
      <c r="BK103" s="27"/>
      <c r="BL103" s="27"/>
      <c r="BM103" s="27"/>
      <c r="BN103" s="28" t="str">
        <f aca="false">IF(OR(AX103="Yes",BI103="Yes"),"Yes",IF(AND(AX103="No",BI103="No"),"No",IF(AND(AX103="",BI103=""),"","Unknown")))</f>
        <v/>
      </c>
      <c r="BO103" s="31" t="str">
        <f aca="false">IF(COUNT(AY103,BJ103)=0,"",MIN(AY103,BJ103))</f>
        <v/>
      </c>
      <c r="BP103" s="29"/>
      <c r="BQ103" s="29"/>
      <c r="BR103" s="29"/>
      <c r="BS103" s="28" t="str">
        <f aca="false">IF(AND(N(BP103)&gt;0,N(BR103)&gt;0),BR103-BP103,"")</f>
        <v/>
      </c>
      <c r="BT103" s="28" t="str">
        <f aca="false">IF(BS103="","",ROUND(BS103/365.25,2))</f>
        <v/>
      </c>
      <c r="BU103" s="28" t="str">
        <f aca="false">IF(BS103="","",IF(BS103&gt;=730.5,"Yes","No"))</f>
        <v/>
      </c>
      <c r="BV103" s="27"/>
      <c r="BW103" s="29"/>
      <c r="BX103" s="27"/>
      <c r="BY103" s="27"/>
      <c r="BZ103" s="28" t="str">
        <f aca="false">IF(N(E103)=0,"",IF(E103&lt;65,"Under 65","≥65"))</f>
        <v/>
      </c>
      <c r="CA103" s="28" t="str">
        <f aca="false">IF(OR(AC103="Yes",AC103="No"),AC103,"")</f>
        <v/>
      </c>
      <c r="CB103" s="28" t="str">
        <f aca="false">IF(OR(AD103="Yes",AD103="No"),AD103,"")</f>
        <v/>
      </c>
      <c r="CC103" s="28" t="str">
        <f aca="false">IF(F103="","",F103)</f>
        <v/>
      </c>
      <c r="CD103" s="27"/>
      <c r="CE103" s="27"/>
    </row>
    <row r="104" customFormat="false" ht="15" hidden="false" customHeight="false" outlineLevel="0" collapsed="false">
      <c r="A104" s="27"/>
      <c r="B104" s="27"/>
      <c r="C104" s="27"/>
      <c r="D104" s="27"/>
      <c r="E104" s="27"/>
      <c r="F104" s="27"/>
      <c r="G104" s="27"/>
      <c r="H104" s="27"/>
      <c r="I104" s="27"/>
      <c r="J104" s="28" t="str">
        <f aca="false">IF(AND(N(H104)&gt;0,N(I104)&gt;0),ROUND(I104/(H104/100)^2,1),"")</f>
        <v/>
      </c>
      <c r="K104" s="27"/>
      <c r="L104" s="27"/>
      <c r="M104" s="27"/>
      <c r="N104" s="27"/>
      <c r="O104" s="27"/>
      <c r="P104" s="27"/>
      <c r="Q104" s="27"/>
      <c r="R104" s="29"/>
      <c r="S104" s="29"/>
      <c r="T104" s="27"/>
      <c r="U104" s="28" t="str">
        <f aca="false">IF(N(T104)=0,"",IF(T104&lt;12,"Under 12 months",IF(T104&lt;36,"12-35 months",IF(T104&lt;60,"36-59 months","≥60 months"))))</f>
        <v/>
      </c>
      <c r="V104" s="27"/>
      <c r="W104" s="30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9"/>
      <c r="AT104" s="30"/>
      <c r="AU104" s="30"/>
      <c r="AV104" s="30"/>
      <c r="AW104" s="27"/>
      <c r="AX104" s="27"/>
      <c r="AY104" s="29"/>
      <c r="AZ104" s="27"/>
      <c r="BA104" s="27"/>
      <c r="BB104" s="29"/>
      <c r="BC104" s="30"/>
      <c r="BD104" s="30"/>
      <c r="BE104" s="30"/>
      <c r="BF104" s="27"/>
      <c r="BG104" s="27"/>
      <c r="BH104" s="28" t="str">
        <f aca="false">IF(COUNT(BC104:BE104)=0,"",IF(MIN(BC104:BE104)&lt;=-2.5,"Yes","No"))</f>
        <v/>
      </c>
      <c r="BI104" s="27"/>
      <c r="BJ104" s="29"/>
      <c r="BK104" s="27"/>
      <c r="BL104" s="27"/>
      <c r="BM104" s="27"/>
      <c r="BN104" s="28" t="str">
        <f aca="false">IF(OR(AX104="Yes",BI104="Yes"),"Yes",IF(AND(AX104="No",BI104="No"),"No",IF(AND(AX104="",BI104=""),"","Unknown")))</f>
        <v/>
      </c>
      <c r="BO104" s="31" t="str">
        <f aca="false">IF(COUNT(AY104,BJ104)=0,"",MIN(AY104,BJ104))</f>
        <v/>
      </c>
      <c r="BP104" s="29"/>
      <c r="BQ104" s="29"/>
      <c r="BR104" s="29"/>
      <c r="BS104" s="28" t="str">
        <f aca="false">IF(AND(N(BP104)&gt;0,N(BR104)&gt;0),BR104-BP104,"")</f>
        <v/>
      </c>
      <c r="BT104" s="28" t="str">
        <f aca="false">IF(BS104="","",ROUND(BS104/365.25,2))</f>
        <v/>
      </c>
      <c r="BU104" s="28" t="str">
        <f aca="false">IF(BS104="","",IF(BS104&gt;=730.5,"Yes","No"))</f>
        <v/>
      </c>
      <c r="BV104" s="27"/>
      <c r="BW104" s="29"/>
      <c r="BX104" s="27"/>
      <c r="BY104" s="27"/>
      <c r="BZ104" s="28" t="str">
        <f aca="false">IF(N(E104)=0,"",IF(E104&lt;65,"Under 65","≥65"))</f>
        <v/>
      </c>
      <c r="CA104" s="28" t="str">
        <f aca="false">IF(OR(AC104="Yes",AC104="No"),AC104,"")</f>
        <v/>
      </c>
      <c r="CB104" s="28" t="str">
        <f aca="false">IF(OR(AD104="Yes",AD104="No"),AD104,"")</f>
        <v/>
      </c>
      <c r="CC104" s="28" t="str">
        <f aca="false">IF(F104="","",F104)</f>
        <v/>
      </c>
      <c r="CD104" s="27"/>
      <c r="CE104" s="27"/>
    </row>
    <row r="105" customFormat="false" ht="15" hidden="false" customHeight="false" outlineLevel="0" collapsed="false">
      <c r="A105" s="27"/>
      <c r="B105" s="27"/>
      <c r="C105" s="27"/>
      <c r="D105" s="27"/>
      <c r="E105" s="27"/>
      <c r="F105" s="27"/>
      <c r="G105" s="27"/>
      <c r="H105" s="27"/>
      <c r="I105" s="27"/>
      <c r="J105" s="28" t="str">
        <f aca="false">IF(AND(N(H105)&gt;0,N(I105)&gt;0),ROUND(I105/(H105/100)^2,1),"")</f>
        <v/>
      </c>
      <c r="K105" s="27"/>
      <c r="L105" s="27"/>
      <c r="M105" s="27"/>
      <c r="N105" s="27"/>
      <c r="O105" s="27"/>
      <c r="P105" s="27"/>
      <c r="Q105" s="27"/>
      <c r="R105" s="29"/>
      <c r="S105" s="29"/>
      <c r="T105" s="27"/>
      <c r="U105" s="28" t="str">
        <f aca="false">IF(N(T105)=0,"",IF(T105&lt;12,"Under 12 months",IF(T105&lt;36,"12-35 months",IF(T105&lt;60,"36-59 months","≥60 months"))))</f>
        <v/>
      </c>
      <c r="V105" s="27"/>
      <c r="W105" s="30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9"/>
      <c r="AT105" s="30"/>
      <c r="AU105" s="30"/>
      <c r="AV105" s="30"/>
      <c r="AW105" s="27"/>
      <c r="AX105" s="27"/>
      <c r="AY105" s="29"/>
      <c r="AZ105" s="27"/>
      <c r="BA105" s="27"/>
      <c r="BB105" s="29"/>
      <c r="BC105" s="30"/>
      <c r="BD105" s="30"/>
      <c r="BE105" s="30"/>
      <c r="BF105" s="27"/>
      <c r="BG105" s="27"/>
      <c r="BH105" s="28" t="str">
        <f aca="false">IF(COUNT(BC105:BE105)=0,"",IF(MIN(BC105:BE105)&lt;=-2.5,"Yes","No"))</f>
        <v/>
      </c>
      <c r="BI105" s="27"/>
      <c r="BJ105" s="29"/>
      <c r="BK105" s="27"/>
      <c r="BL105" s="27"/>
      <c r="BM105" s="27"/>
      <c r="BN105" s="28" t="str">
        <f aca="false">IF(OR(AX105="Yes",BI105="Yes"),"Yes",IF(AND(AX105="No",BI105="No"),"No",IF(AND(AX105="",BI105=""),"","Unknown")))</f>
        <v/>
      </c>
      <c r="BO105" s="31" t="str">
        <f aca="false">IF(COUNT(AY105,BJ105)=0,"",MIN(AY105,BJ105))</f>
        <v/>
      </c>
      <c r="BP105" s="29"/>
      <c r="BQ105" s="29"/>
      <c r="BR105" s="29"/>
      <c r="BS105" s="28" t="str">
        <f aca="false">IF(AND(N(BP105)&gt;0,N(BR105)&gt;0),BR105-BP105,"")</f>
        <v/>
      </c>
      <c r="BT105" s="28" t="str">
        <f aca="false">IF(BS105="","",ROUND(BS105/365.25,2))</f>
        <v/>
      </c>
      <c r="BU105" s="28" t="str">
        <f aca="false">IF(BS105="","",IF(BS105&gt;=730.5,"Yes","No"))</f>
        <v/>
      </c>
      <c r="BV105" s="27"/>
      <c r="BW105" s="29"/>
      <c r="BX105" s="27"/>
      <c r="BY105" s="27"/>
      <c r="BZ105" s="28" t="str">
        <f aca="false">IF(N(E105)=0,"",IF(E105&lt;65,"Under 65","≥65"))</f>
        <v/>
      </c>
      <c r="CA105" s="28" t="str">
        <f aca="false">IF(OR(AC105="Yes",AC105="No"),AC105,"")</f>
        <v/>
      </c>
      <c r="CB105" s="28" t="str">
        <f aca="false">IF(OR(AD105="Yes",AD105="No"),AD105,"")</f>
        <v/>
      </c>
      <c r="CC105" s="28" t="str">
        <f aca="false">IF(F105="","",F105)</f>
        <v/>
      </c>
      <c r="CD105" s="27"/>
      <c r="CE105" s="27"/>
    </row>
    <row r="106" customFormat="false" ht="15" hidden="false" customHeight="false" outlineLevel="0" collapsed="false">
      <c r="A106" s="27"/>
      <c r="B106" s="27"/>
      <c r="C106" s="27"/>
      <c r="D106" s="27"/>
      <c r="E106" s="27"/>
      <c r="F106" s="27"/>
      <c r="G106" s="27"/>
      <c r="H106" s="27"/>
      <c r="I106" s="27"/>
      <c r="J106" s="28" t="str">
        <f aca="false">IF(AND(N(H106)&gt;0,N(I106)&gt;0),ROUND(I106/(H106/100)^2,1),"")</f>
        <v/>
      </c>
      <c r="K106" s="27"/>
      <c r="L106" s="27"/>
      <c r="M106" s="27"/>
      <c r="N106" s="27"/>
      <c r="O106" s="27"/>
      <c r="P106" s="27"/>
      <c r="Q106" s="27"/>
      <c r="R106" s="29"/>
      <c r="S106" s="29"/>
      <c r="T106" s="27"/>
      <c r="U106" s="28" t="str">
        <f aca="false">IF(N(T106)=0,"",IF(T106&lt;12,"Under 12 months",IF(T106&lt;36,"12-35 months",IF(T106&lt;60,"36-59 months","≥60 months"))))</f>
        <v/>
      </c>
      <c r="V106" s="27"/>
      <c r="W106" s="30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9"/>
      <c r="AT106" s="30"/>
      <c r="AU106" s="30"/>
      <c r="AV106" s="30"/>
      <c r="AW106" s="27"/>
      <c r="AX106" s="27"/>
      <c r="AY106" s="29"/>
      <c r="AZ106" s="27"/>
      <c r="BA106" s="27"/>
      <c r="BB106" s="29"/>
      <c r="BC106" s="30"/>
      <c r="BD106" s="30"/>
      <c r="BE106" s="30"/>
      <c r="BF106" s="27"/>
      <c r="BG106" s="27"/>
      <c r="BH106" s="28" t="str">
        <f aca="false">IF(COUNT(BC106:BE106)=0,"",IF(MIN(BC106:BE106)&lt;=-2.5,"Yes","No"))</f>
        <v/>
      </c>
      <c r="BI106" s="27"/>
      <c r="BJ106" s="29"/>
      <c r="BK106" s="27"/>
      <c r="BL106" s="27"/>
      <c r="BM106" s="27"/>
      <c r="BN106" s="28" t="str">
        <f aca="false">IF(OR(AX106="Yes",BI106="Yes"),"Yes",IF(AND(AX106="No",BI106="No"),"No",IF(AND(AX106="",BI106=""),"","Unknown")))</f>
        <v/>
      </c>
      <c r="BO106" s="31" t="str">
        <f aca="false">IF(COUNT(AY106,BJ106)=0,"",MIN(AY106,BJ106))</f>
        <v/>
      </c>
      <c r="BP106" s="29"/>
      <c r="BQ106" s="29"/>
      <c r="BR106" s="29"/>
      <c r="BS106" s="28" t="str">
        <f aca="false">IF(AND(N(BP106)&gt;0,N(BR106)&gt;0),BR106-BP106,"")</f>
        <v/>
      </c>
      <c r="BT106" s="28" t="str">
        <f aca="false">IF(BS106="","",ROUND(BS106/365.25,2))</f>
        <v/>
      </c>
      <c r="BU106" s="28" t="str">
        <f aca="false">IF(BS106="","",IF(BS106&gt;=730.5,"Yes","No"))</f>
        <v/>
      </c>
      <c r="BV106" s="27"/>
      <c r="BW106" s="29"/>
      <c r="BX106" s="27"/>
      <c r="BY106" s="27"/>
      <c r="BZ106" s="28" t="str">
        <f aca="false">IF(N(E106)=0,"",IF(E106&lt;65,"Under 65","≥65"))</f>
        <v/>
      </c>
      <c r="CA106" s="28" t="str">
        <f aca="false">IF(OR(AC106="Yes",AC106="No"),AC106,"")</f>
        <v/>
      </c>
      <c r="CB106" s="28" t="str">
        <f aca="false">IF(OR(AD106="Yes",AD106="No"),AD106,"")</f>
        <v/>
      </c>
      <c r="CC106" s="28" t="str">
        <f aca="false">IF(F106="","",F106)</f>
        <v/>
      </c>
      <c r="CD106" s="27"/>
      <c r="CE106" s="27"/>
    </row>
    <row r="107" customFormat="false" ht="15" hidden="false" customHeight="false" outlineLevel="0" collapsed="false">
      <c r="A107" s="27"/>
      <c r="B107" s="27"/>
      <c r="C107" s="27"/>
      <c r="D107" s="27"/>
      <c r="E107" s="27"/>
      <c r="F107" s="27"/>
      <c r="G107" s="27"/>
      <c r="H107" s="27"/>
      <c r="I107" s="27"/>
      <c r="J107" s="28" t="str">
        <f aca="false">IF(AND(N(H107)&gt;0,N(I107)&gt;0),ROUND(I107/(H107/100)^2,1),"")</f>
        <v/>
      </c>
      <c r="K107" s="27"/>
      <c r="L107" s="27"/>
      <c r="M107" s="27"/>
      <c r="N107" s="27"/>
      <c r="O107" s="27"/>
      <c r="P107" s="27"/>
      <c r="Q107" s="27"/>
      <c r="R107" s="29"/>
      <c r="S107" s="29"/>
      <c r="T107" s="27"/>
      <c r="U107" s="28" t="str">
        <f aca="false">IF(N(T107)=0,"",IF(T107&lt;12,"Under 12 months",IF(T107&lt;36,"12-35 months",IF(T107&lt;60,"36-59 months","≥60 months"))))</f>
        <v/>
      </c>
      <c r="V107" s="27"/>
      <c r="W107" s="30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9"/>
      <c r="AT107" s="30"/>
      <c r="AU107" s="30"/>
      <c r="AV107" s="30"/>
      <c r="AW107" s="27"/>
      <c r="AX107" s="27"/>
      <c r="AY107" s="29"/>
      <c r="AZ107" s="27"/>
      <c r="BA107" s="27"/>
      <c r="BB107" s="29"/>
      <c r="BC107" s="30"/>
      <c r="BD107" s="30"/>
      <c r="BE107" s="30"/>
      <c r="BF107" s="27"/>
      <c r="BG107" s="27"/>
      <c r="BH107" s="28" t="str">
        <f aca="false">IF(COUNT(BC107:BE107)=0,"",IF(MIN(BC107:BE107)&lt;=-2.5,"Yes","No"))</f>
        <v/>
      </c>
      <c r="BI107" s="27"/>
      <c r="BJ107" s="29"/>
      <c r="BK107" s="27"/>
      <c r="BL107" s="27"/>
      <c r="BM107" s="27"/>
      <c r="BN107" s="28" t="str">
        <f aca="false">IF(OR(AX107="Yes",BI107="Yes"),"Yes",IF(AND(AX107="No",BI107="No"),"No",IF(AND(AX107="",BI107=""),"","Unknown")))</f>
        <v/>
      </c>
      <c r="BO107" s="31" t="str">
        <f aca="false">IF(COUNT(AY107,BJ107)=0,"",MIN(AY107,BJ107))</f>
        <v/>
      </c>
      <c r="BP107" s="29"/>
      <c r="BQ107" s="29"/>
      <c r="BR107" s="29"/>
      <c r="BS107" s="28" t="str">
        <f aca="false">IF(AND(N(BP107)&gt;0,N(BR107)&gt;0),BR107-BP107,"")</f>
        <v/>
      </c>
      <c r="BT107" s="28" t="str">
        <f aca="false">IF(BS107="","",ROUND(BS107/365.25,2))</f>
        <v/>
      </c>
      <c r="BU107" s="28" t="str">
        <f aca="false">IF(BS107="","",IF(BS107&gt;=730.5,"Yes","No"))</f>
        <v/>
      </c>
      <c r="BV107" s="27"/>
      <c r="BW107" s="29"/>
      <c r="BX107" s="27"/>
      <c r="BY107" s="27"/>
      <c r="BZ107" s="28" t="str">
        <f aca="false">IF(N(E107)=0,"",IF(E107&lt;65,"Under 65","≥65"))</f>
        <v/>
      </c>
      <c r="CA107" s="28" t="str">
        <f aca="false">IF(OR(AC107="Yes",AC107="No"),AC107,"")</f>
        <v/>
      </c>
      <c r="CB107" s="28" t="str">
        <f aca="false">IF(OR(AD107="Yes",AD107="No"),AD107,"")</f>
        <v/>
      </c>
      <c r="CC107" s="28" t="str">
        <f aca="false">IF(F107="","",F107)</f>
        <v/>
      </c>
      <c r="CD107" s="27"/>
      <c r="CE107" s="27"/>
    </row>
    <row r="108" customFormat="false" ht="15" hidden="false" customHeight="false" outlineLevel="0" collapsed="false">
      <c r="A108" s="27"/>
      <c r="B108" s="27"/>
      <c r="C108" s="27"/>
      <c r="D108" s="27"/>
      <c r="E108" s="27"/>
      <c r="F108" s="27"/>
      <c r="G108" s="27"/>
      <c r="H108" s="27"/>
      <c r="I108" s="27"/>
      <c r="J108" s="28" t="str">
        <f aca="false">IF(AND(N(H108)&gt;0,N(I108)&gt;0),ROUND(I108/(H108/100)^2,1),"")</f>
        <v/>
      </c>
      <c r="K108" s="27"/>
      <c r="L108" s="27"/>
      <c r="M108" s="27"/>
      <c r="N108" s="27"/>
      <c r="O108" s="27"/>
      <c r="P108" s="27"/>
      <c r="Q108" s="27"/>
      <c r="R108" s="29"/>
      <c r="S108" s="29"/>
      <c r="T108" s="27"/>
      <c r="U108" s="28" t="str">
        <f aca="false">IF(N(T108)=0,"",IF(T108&lt;12,"Under 12 months",IF(T108&lt;36,"12-35 months",IF(T108&lt;60,"36-59 months","≥60 months"))))</f>
        <v/>
      </c>
      <c r="V108" s="27"/>
      <c r="W108" s="30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9"/>
      <c r="AT108" s="30"/>
      <c r="AU108" s="30"/>
      <c r="AV108" s="30"/>
      <c r="AW108" s="27"/>
      <c r="AX108" s="27"/>
      <c r="AY108" s="29"/>
      <c r="AZ108" s="27"/>
      <c r="BA108" s="27"/>
      <c r="BB108" s="29"/>
      <c r="BC108" s="30"/>
      <c r="BD108" s="30"/>
      <c r="BE108" s="30"/>
      <c r="BF108" s="27"/>
      <c r="BG108" s="27"/>
      <c r="BH108" s="28" t="str">
        <f aca="false">IF(COUNT(BC108:BE108)=0,"",IF(MIN(BC108:BE108)&lt;=-2.5,"Yes","No"))</f>
        <v/>
      </c>
      <c r="BI108" s="27"/>
      <c r="BJ108" s="29"/>
      <c r="BK108" s="27"/>
      <c r="BL108" s="27"/>
      <c r="BM108" s="27"/>
      <c r="BN108" s="28" t="str">
        <f aca="false">IF(OR(AX108="Yes",BI108="Yes"),"Yes",IF(AND(AX108="No",BI108="No"),"No",IF(AND(AX108="",BI108=""),"","Unknown")))</f>
        <v/>
      </c>
      <c r="BO108" s="31" t="str">
        <f aca="false">IF(COUNT(AY108,BJ108)=0,"",MIN(AY108,BJ108))</f>
        <v/>
      </c>
      <c r="BP108" s="29"/>
      <c r="BQ108" s="29"/>
      <c r="BR108" s="29"/>
      <c r="BS108" s="28" t="str">
        <f aca="false">IF(AND(N(BP108)&gt;0,N(BR108)&gt;0),BR108-BP108,"")</f>
        <v/>
      </c>
      <c r="BT108" s="28" t="str">
        <f aca="false">IF(BS108="","",ROUND(BS108/365.25,2))</f>
        <v/>
      </c>
      <c r="BU108" s="28" t="str">
        <f aca="false">IF(BS108="","",IF(BS108&gt;=730.5,"Yes","No"))</f>
        <v/>
      </c>
      <c r="BV108" s="27"/>
      <c r="BW108" s="29"/>
      <c r="BX108" s="27"/>
      <c r="BY108" s="27"/>
      <c r="BZ108" s="28" t="str">
        <f aca="false">IF(N(E108)=0,"",IF(E108&lt;65,"Under 65","≥65"))</f>
        <v/>
      </c>
      <c r="CA108" s="28" t="str">
        <f aca="false">IF(OR(AC108="Yes",AC108="No"),AC108,"")</f>
        <v/>
      </c>
      <c r="CB108" s="28" t="str">
        <f aca="false">IF(OR(AD108="Yes",AD108="No"),AD108,"")</f>
        <v/>
      </c>
      <c r="CC108" s="28" t="str">
        <f aca="false">IF(F108="","",F108)</f>
        <v/>
      </c>
      <c r="CD108" s="27"/>
      <c r="CE108" s="27"/>
    </row>
    <row r="109" customFormat="false" ht="15" hidden="false" customHeight="false" outlineLevel="0" collapsed="false">
      <c r="A109" s="27"/>
      <c r="B109" s="27"/>
      <c r="C109" s="27"/>
      <c r="D109" s="27"/>
      <c r="E109" s="27"/>
      <c r="F109" s="27"/>
      <c r="G109" s="27"/>
      <c r="H109" s="27"/>
      <c r="I109" s="27"/>
      <c r="J109" s="28" t="str">
        <f aca="false">IF(AND(N(H109)&gt;0,N(I109)&gt;0),ROUND(I109/(H109/100)^2,1),"")</f>
        <v/>
      </c>
      <c r="K109" s="27"/>
      <c r="L109" s="27"/>
      <c r="M109" s="27"/>
      <c r="N109" s="27"/>
      <c r="O109" s="27"/>
      <c r="P109" s="27"/>
      <c r="Q109" s="27"/>
      <c r="R109" s="29"/>
      <c r="S109" s="29"/>
      <c r="T109" s="27"/>
      <c r="U109" s="28" t="str">
        <f aca="false">IF(N(T109)=0,"",IF(T109&lt;12,"Under 12 months",IF(T109&lt;36,"12-35 months",IF(T109&lt;60,"36-59 months","≥60 months"))))</f>
        <v/>
      </c>
      <c r="V109" s="27"/>
      <c r="W109" s="30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9"/>
      <c r="AT109" s="30"/>
      <c r="AU109" s="30"/>
      <c r="AV109" s="30"/>
      <c r="AW109" s="27"/>
      <c r="AX109" s="27"/>
      <c r="AY109" s="29"/>
      <c r="AZ109" s="27"/>
      <c r="BA109" s="27"/>
      <c r="BB109" s="29"/>
      <c r="BC109" s="30"/>
      <c r="BD109" s="30"/>
      <c r="BE109" s="30"/>
      <c r="BF109" s="27"/>
      <c r="BG109" s="27"/>
      <c r="BH109" s="28" t="str">
        <f aca="false">IF(COUNT(BC109:BE109)=0,"",IF(MIN(BC109:BE109)&lt;=-2.5,"Yes","No"))</f>
        <v/>
      </c>
      <c r="BI109" s="27"/>
      <c r="BJ109" s="29"/>
      <c r="BK109" s="27"/>
      <c r="BL109" s="27"/>
      <c r="BM109" s="27"/>
      <c r="BN109" s="28" t="str">
        <f aca="false">IF(OR(AX109="Yes",BI109="Yes"),"Yes",IF(AND(AX109="No",BI109="No"),"No",IF(AND(AX109="",BI109=""),"","Unknown")))</f>
        <v/>
      </c>
      <c r="BO109" s="31" t="str">
        <f aca="false">IF(COUNT(AY109,BJ109)=0,"",MIN(AY109,BJ109))</f>
        <v/>
      </c>
      <c r="BP109" s="29"/>
      <c r="BQ109" s="29"/>
      <c r="BR109" s="29"/>
      <c r="BS109" s="28" t="str">
        <f aca="false">IF(AND(N(BP109)&gt;0,N(BR109)&gt;0),BR109-BP109,"")</f>
        <v/>
      </c>
      <c r="BT109" s="28" t="str">
        <f aca="false">IF(BS109="","",ROUND(BS109/365.25,2))</f>
        <v/>
      </c>
      <c r="BU109" s="28" t="str">
        <f aca="false">IF(BS109="","",IF(BS109&gt;=730.5,"Yes","No"))</f>
        <v/>
      </c>
      <c r="BV109" s="27"/>
      <c r="BW109" s="29"/>
      <c r="BX109" s="27"/>
      <c r="BY109" s="27"/>
      <c r="BZ109" s="28" t="str">
        <f aca="false">IF(N(E109)=0,"",IF(E109&lt;65,"Under 65","≥65"))</f>
        <v/>
      </c>
      <c r="CA109" s="28" t="str">
        <f aca="false">IF(OR(AC109="Yes",AC109="No"),AC109,"")</f>
        <v/>
      </c>
      <c r="CB109" s="28" t="str">
        <f aca="false">IF(OR(AD109="Yes",AD109="No"),AD109,"")</f>
        <v/>
      </c>
      <c r="CC109" s="28" t="str">
        <f aca="false">IF(F109="","",F109)</f>
        <v/>
      </c>
      <c r="CD109" s="27"/>
      <c r="CE109" s="27"/>
    </row>
    <row r="110" customFormat="false" ht="15" hidden="false" customHeight="false" outlineLevel="0" collapsed="false">
      <c r="A110" s="27"/>
      <c r="B110" s="27"/>
      <c r="C110" s="27"/>
      <c r="D110" s="27"/>
      <c r="E110" s="27"/>
      <c r="F110" s="27"/>
      <c r="G110" s="27"/>
      <c r="H110" s="27"/>
      <c r="I110" s="27"/>
      <c r="J110" s="28" t="str">
        <f aca="false">IF(AND(N(H110)&gt;0,N(I110)&gt;0),ROUND(I110/(H110/100)^2,1),"")</f>
        <v/>
      </c>
      <c r="K110" s="27"/>
      <c r="L110" s="27"/>
      <c r="M110" s="27"/>
      <c r="N110" s="27"/>
      <c r="O110" s="27"/>
      <c r="P110" s="27"/>
      <c r="Q110" s="27"/>
      <c r="R110" s="29"/>
      <c r="S110" s="29"/>
      <c r="T110" s="27"/>
      <c r="U110" s="28" t="str">
        <f aca="false">IF(N(T110)=0,"",IF(T110&lt;12,"Under 12 months",IF(T110&lt;36,"12-35 months",IF(T110&lt;60,"36-59 months","≥60 months"))))</f>
        <v/>
      </c>
      <c r="V110" s="27"/>
      <c r="W110" s="30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9"/>
      <c r="AT110" s="30"/>
      <c r="AU110" s="30"/>
      <c r="AV110" s="30"/>
      <c r="AW110" s="27"/>
      <c r="AX110" s="27"/>
      <c r="AY110" s="29"/>
      <c r="AZ110" s="27"/>
      <c r="BA110" s="27"/>
      <c r="BB110" s="29"/>
      <c r="BC110" s="30"/>
      <c r="BD110" s="30"/>
      <c r="BE110" s="30"/>
      <c r="BF110" s="27"/>
      <c r="BG110" s="27"/>
      <c r="BH110" s="28" t="str">
        <f aca="false">IF(COUNT(BC110:BE110)=0,"",IF(MIN(BC110:BE110)&lt;=-2.5,"Yes","No"))</f>
        <v/>
      </c>
      <c r="BI110" s="27"/>
      <c r="BJ110" s="29"/>
      <c r="BK110" s="27"/>
      <c r="BL110" s="27"/>
      <c r="BM110" s="27"/>
      <c r="BN110" s="28" t="str">
        <f aca="false">IF(OR(AX110="Yes",BI110="Yes"),"Yes",IF(AND(AX110="No",BI110="No"),"No",IF(AND(AX110="",BI110=""),"","Unknown")))</f>
        <v/>
      </c>
      <c r="BO110" s="31" t="str">
        <f aca="false">IF(COUNT(AY110,BJ110)=0,"",MIN(AY110,BJ110))</f>
        <v/>
      </c>
      <c r="BP110" s="29"/>
      <c r="BQ110" s="29"/>
      <c r="BR110" s="29"/>
      <c r="BS110" s="28" t="str">
        <f aca="false">IF(AND(N(BP110)&gt;0,N(BR110)&gt;0),BR110-BP110,"")</f>
        <v/>
      </c>
      <c r="BT110" s="28" t="str">
        <f aca="false">IF(BS110="","",ROUND(BS110/365.25,2))</f>
        <v/>
      </c>
      <c r="BU110" s="28" t="str">
        <f aca="false">IF(BS110="","",IF(BS110&gt;=730.5,"Yes","No"))</f>
        <v/>
      </c>
      <c r="BV110" s="27"/>
      <c r="BW110" s="29"/>
      <c r="BX110" s="27"/>
      <c r="BY110" s="27"/>
      <c r="BZ110" s="28" t="str">
        <f aca="false">IF(N(E110)=0,"",IF(E110&lt;65,"Under 65","≥65"))</f>
        <v/>
      </c>
      <c r="CA110" s="28" t="str">
        <f aca="false">IF(OR(AC110="Yes",AC110="No"),AC110,"")</f>
        <v/>
      </c>
      <c r="CB110" s="28" t="str">
        <f aca="false">IF(OR(AD110="Yes",AD110="No"),AD110,"")</f>
        <v/>
      </c>
      <c r="CC110" s="28" t="str">
        <f aca="false">IF(F110="","",F110)</f>
        <v/>
      </c>
      <c r="CD110" s="27"/>
      <c r="CE110" s="27"/>
    </row>
    <row r="111" customFormat="false" ht="15" hidden="false" customHeight="false" outlineLevel="0" collapsed="false">
      <c r="A111" s="27"/>
      <c r="B111" s="27"/>
      <c r="C111" s="27"/>
      <c r="D111" s="27"/>
      <c r="E111" s="27"/>
      <c r="F111" s="27"/>
      <c r="G111" s="27"/>
      <c r="H111" s="27"/>
      <c r="I111" s="27"/>
      <c r="J111" s="28" t="str">
        <f aca="false">IF(AND(N(H111)&gt;0,N(I111)&gt;0),ROUND(I111/(H111/100)^2,1),"")</f>
        <v/>
      </c>
      <c r="K111" s="27"/>
      <c r="L111" s="27"/>
      <c r="M111" s="27"/>
      <c r="N111" s="27"/>
      <c r="O111" s="27"/>
      <c r="P111" s="27"/>
      <c r="Q111" s="27"/>
      <c r="R111" s="29"/>
      <c r="S111" s="29"/>
      <c r="T111" s="27"/>
      <c r="U111" s="28" t="str">
        <f aca="false">IF(N(T111)=0,"",IF(T111&lt;12,"Under 12 months",IF(T111&lt;36,"12-35 months",IF(T111&lt;60,"36-59 months","≥60 months"))))</f>
        <v/>
      </c>
      <c r="V111" s="27"/>
      <c r="W111" s="30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9"/>
      <c r="AT111" s="30"/>
      <c r="AU111" s="30"/>
      <c r="AV111" s="30"/>
      <c r="AW111" s="27"/>
      <c r="AX111" s="27"/>
      <c r="AY111" s="29"/>
      <c r="AZ111" s="27"/>
      <c r="BA111" s="27"/>
      <c r="BB111" s="29"/>
      <c r="BC111" s="30"/>
      <c r="BD111" s="30"/>
      <c r="BE111" s="30"/>
      <c r="BF111" s="27"/>
      <c r="BG111" s="27"/>
      <c r="BH111" s="28" t="str">
        <f aca="false">IF(COUNT(BC111:BE111)=0,"",IF(MIN(BC111:BE111)&lt;=-2.5,"Yes","No"))</f>
        <v/>
      </c>
      <c r="BI111" s="27"/>
      <c r="BJ111" s="29"/>
      <c r="BK111" s="27"/>
      <c r="BL111" s="27"/>
      <c r="BM111" s="27"/>
      <c r="BN111" s="28" t="str">
        <f aca="false">IF(OR(AX111="Yes",BI111="Yes"),"Yes",IF(AND(AX111="No",BI111="No"),"No",IF(AND(AX111="",BI111=""),"","Unknown")))</f>
        <v/>
      </c>
      <c r="BO111" s="31" t="str">
        <f aca="false">IF(COUNT(AY111,BJ111)=0,"",MIN(AY111,BJ111))</f>
        <v/>
      </c>
      <c r="BP111" s="29"/>
      <c r="BQ111" s="29"/>
      <c r="BR111" s="29"/>
      <c r="BS111" s="28" t="str">
        <f aca="false">IF(AND(N(BP111)&gt;0,N(BR111)&gt;0),BR111-BP111,"")</f>
        <v/>
      </c>
      <c r="BT111" s="28" t="str">
        <f aca="false">IF(BS111="","",ROUND(BS111/365.25,2))</f>
        <v/>
      </c>
      <c r="BU111" s="28" t="str">
        <f aca="false">IF(BS111="","",IF(BS111&gt;=730.5,"Yes","No"))</f>
        <v/>
      </c>
      <c r="BV111" s="27"/>
      <c r="BW111" s="29"/>
      <c r="BX111" s="27"/>
      <c r="BY111" s="27"/>
      <c r="BZ111" s="28" t="str">
        <f aca="false">IF(N(E111)=0,"",IF(E111&lt;65,"Under 65","≥65"))</f>
        <v/>
      </c>
      <c r="CA111" s="28" t="str">
        <f aca="false">IF(OR(AC111="Yes",AC111="No"),AC111,"")</f>
        <v/>
      </c>
      <c r="CB111" s="28" t="str">
        <f aca="false">IF(OR(AD111="Yes",AD111="No"),AD111,"")</f>
        <v/>
      </c>
      <c r="CC111" s="28" t="str">
        <f aca="false">IF(F111="","",F111)</f>
        <v/>
      </c>
      <c r="CD111" s="27"/>
      <c r="CE111" s="27"/>
    </row>
    <row r="112" customFormat="false" ht="15" hidden="false" customHeight="false" outlineLevel="0" collapsed="false">
      <c r="A112" s="27"/>
      <c r="B112" s="27"/>
      <c r="C112" s="27"/>
      <c r="D112" s="27"/>
      <c r="E112" s="27"/>
      <c r="F112" s="27"/>
      <c r="G112" s="27"/>
      <c r="H112" s="27"/>
      <c r="I112" s="27"/>
      <c r="J112" s="28" t="str">
        <f aca="false">IF(AND(N(H112)&gt;0,N(I112)&gt;0),ROUND(I112/(H112/100)^2,1),"")</f>
        <v/>
      </c>
      <c r="K112" s="27"/>
      <c r="L112" s="27"/>
      <c r="M112" s="27"/>
      <c r="N112" s="27"/>
      <c r="O112" s="27"/>
      <c r="P112" s="27"/>
      <c r="Q112" s="27"/>
      <c r="R112" s="29"/>
      <c r="S112" s="29"/>
      <c r="T112" s="27"/>
      <c r="U112" s="28" t="str">
        <f aca="false">IF(N(T112)=0,"",IF(T112&lt;12,"Under 12 months",IF(T112&lt;36,"12-35 months",IF(T112&lt;60,"36-59 months","≥60 months"))))</f>
        <v/>
      </c>
      <c r="V112" s="27"/>
      <c r="W112" s="30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9"/>
      <c r="AT112" s="30"/>
      <c r="AU112" s="30"/>
      <c r="AV112" s="30"/>
      <c r="AW112" s="27"/>
      <c r="AX112" s="27"/>
      <c r="AY112" s="29"/>
      <c r="AZ112" s="27"/>
      <c r="BA112" s="27"/>
      <c r="BB112" s="29"/>
      <c r="BC112" s="30"/>
      <c r="BD112" s="30"/>
      <c r="BE112" s="30"/>
      <c r="BF112" s="27"/>
      <c r="BG112" s="27"/>
      <c r="BH112" s="28" t="str">
        <f aca="false">IF(COUNT(BC112:BE112)=0,"",IF(MIN(BC112:BE112)&lt;=-2.5,"Yes","No"))</f>
        <v/>
      </c>
      <c r="BI112" s="27"/>
      <c r="BJ112" s="29"/>
      <c r="BK112" s="27"/>
      <c r="BL112" s="27"/>
      <c r="BM112" s="27"/>
      <c r="BN112" s="28" t="str">
        <f aca="false">IF(OR(AX112="Yes",BI112="Yes"),"Yes",IF(AND(AX112="No",BI112="No"),"No",IF(AND(AX112="",BI112=""),"","Unknown")))</f>
        <v/>
      </c>
      <c r="BO112" s="31" t="str">
        <f aca="false">IF(COUNT(AY112,BJ112)=0,"",MIN(AY112,BJ112))</f>
        <v/>
      </c>
      <c r="BP112" s="29"/>
      <c r="BQ112" s="29"/>
      <c r="BR112" s="29"/>
      <c r="BS112" s="28" t="str">
        <f aca="false">IF(AND(N(BP112)&gt;0,N(BR112)&gt;0),BR112-BP112,"")</f>
        <v/>
      </c>
      <c r="BT112" s="28" t="str">
        <f aca="false">IF(BS112="","",ROUND(BS112/365.25,2))</f>
        <v/>
      </c>
      <c r="BU112" s="28" t="str">
        <f aca="false">IF(BS112="","",IF(BS112&gt;=730.5,"Yes","No"))</f>
        <v/>
      </c>
      <c r="BV112" s="27"/>
      <c r="BW112" s="29"/>
      <c r="BX112" s="27"/>
      <c r="BY112" s="27"/>
      <c r="BZ112" s="28" t="str">
        <f aca="false">IF(N(E112)=0,"",IF(E112&lt;65,"Under 65","≥65"))</f>
        <v/>
      </c>
      <c r="CA112" s="28" t="str">
        <f aca="false">IF(OR(AC112="Yes",AC112="No"),AC112,"")</f>
        <v/>
      </c>
      <c r="CB112" s="28" t="str">
        <f aca="false">IF(OR(AD112="Yes",AD112="No"),AD112,"")</f>
        <v/>
      </c>
      <c r="CC112" s="28" t="str">
        <f aca="false">IF(F112="","",F112)</f>
        <v/>
      </c>
      <c r="CD112" s="27"/>
      <c r="CE112" s="27"/>
    </row>
    <row r="113" customFormat="false" ht="15" hidden="false" customHeight="false" outlineLevel="0" collapsed="false">
      <c r="A113" s="27"/>
      <c r="B113" s="27"/>
      <c r="C113" s="27"/>
      <c r="D113" s="27"/>
      <c r="E113" s="27"/>
      <c r="F113" s="27"/>
      <c r="G113" s="27"/>
      <c r="H113" s="27"/>
      <c r="I113" s="27"/>
      <c r="J113" s="28" t="str">
        <f aca="false">IF(AND(N(H113)&gt;0,N(I113)&gt;0),ROUND(I113/(H113/100)^2,1),"")</f>
        <v/>
      </c>
      <c r="K113" s="27"/>
      <c r="L113" s="27"/>
      <c r="M113" s="27"/>
      <c r="N113" s="27"/>
      <c r="O113" s="27"/>
      <c r="P113" s="27"/>
      <c r="Q113" s="27"/>
      <c r="R113" s="29"/>
      <c r="S113" s="29"/>
      <c r="T113" s="27"/>
      <c r="U113" s="28" t="str">
        <f aca="false">IF(N(T113)=0,"",IF(T113&lt;12,"Under 12 months",IF(T113&lt;36,"12-35 months",IF(T113&lt;60,"36-59 months","≥60 months"))))</f>
        <v/>
      </c>
      <c r="V113" s="27"/>
      <c r="W113" s="30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9"/>
      <c r="AT113" s="30"/>
      <c r="AU113" s="30"/>
      <c r="AV113" s="30"/>
      <c r="AW113" s="27"/>
      <c r="AX113" s="27"/>
      <c r="AY113" s="29"/>
      <c r="AZ113" s="27"/>
      <c r="BA113" s="27"/>
      <c r="BB113" s="29"/>
      <c r="BC113" s="30"/>
      <c r="BD113" s="30"/>
      <c r="BE113" s="30"/>
      <c r="BF113" s="27"/>
      <c r="BG113" s="27"/>
      <c r="BH113" s="28" t="str">
        <f aca="false">IF(COUNT(BC113:BE113)=0,"",IF(MIN(BC113:BE113)&lt;=-2.5,"Yes","No"))</f>
        <v/>
      </c>
      <c r="BI113" s="27"/>
      <c r="BJ113" s="29"/>
      <c r="BK113" s="27"/>
      <c r="BL113" s="27"/>
      <c r="BM113" s="27"/>
      <c r="BN113" s="28" t="str">
        <f aca="false">IF(OR(AX113="Yes",BI113="Yes"),"Yes",IF(AND(AX113="No",BI113="No"),"No",IF(AND(AX113="",BI113=""),"","Unknown")))</f>
        <v/>
      </c>
      <c r="BO113" s="31" t="str">
        <f aca="false">IF(COUNT(AY113,BJ113)=0,"",MIN(AY113,BJ113))</f>
        <v/>
      </c>
      <c r="BP113" s="29"/>
      <c r="BQ113" s="29"/>
      <c r="BR113" s="29"/>
      <c r="BS113" s="28" t="str">
        <f aca="false">IF(AND(N(BP113)&gt;0,N(BR113)&gt;0),BR113-BP113,"")</f>
        <v/>
      </c>
      <c r="BT113" s="28" t="str">
        <f aca="false">IF(BS113="","",ROUND(BS113/365.25,2))</f>
        <v/>
      </c>
      <c r="BU113" s="28" t="str">
        <f aca="false">IF(BS113="","",IF(BS113&gt;=730.5,"Yes","No"))</f>
        <v/>
      </c>
      <c r="BV113" s="27"/>
      <c r="BW113" s="29"/>
      <c r="BX113" s="27"/>
      <c r="BY113" s="27"/>
      <c r="BZ113" s="28" t="str">
        <f aca="false">IF(N(E113)=0,"",IF(E113&lt;65,"Under 65","≥65"))</f>
        <v/>
      </c>
      <c r="CA113" s="28" t="str">
        <f aca="false">IF(OR(AC113="Yes",AC113="No"),AC113,"")</f>
        <v/>
      </c>
      <c r="CB113" s="28" t="str">
        <f aca="false">IF(OR(AD113="Yes",AD113="No"),AD113,"")</f>
        <v/>
      </c>
      <c r="CC113" s="28" t="str">
        <f aca="false">IF(F113="","",F113)</f>
        <v/>
      </c>
      <c r="CD113" s="27"/>
      <c r="CE113" s="27"/>
    </row>
    <row r="114" customFormat="false" ht="15" hidden="false" customHeight="false" outlineLevel="0" collapsed="false">
      <c r="A114" s="27"/>
      <c r="B114" s="27"/>
      <c r="C114" s="27"/>
      <c r="D114" s="27"/>
      <c r="E114" s="27"/>
      <c r="F114" s="27"/>
      <c r="G114" s="27"/>
      <c r="H114" s="27"/>
      <c r="I114" s="27"/>
      <c r="J114" s="28" t="str">
        <f aca="false">IF(AND(N(H114)&gt;0,N(I114)&gt;0),ROUND(I114/(H114/100)^2,1),"")</f>
        <v/>
      </c>
      <c r="K114" s="27"/>
      <c r="L114" s="27"/>
      <c r="M114" s="27"/>
      <c r="N114" s="27"/>
      <c r="O114" s="27"/>
      <c r="P114" s="27"/>
      <c r="Q114" s="27"/>
      <c r="R114" s="29"/>
      <c r="S114" s="29"/>
      <c r="T114" s="27"/>
      <c r="U114" s="28" t="str">
        <f aca="false">IF(N(T114)=0,"",IF(T114&lt;12,"Under 12 months",IF(T114&lt;36,"12-35 months",IF(T114&lt;60,"36-59 months","≥60 months"))))</f>
        <v/>
      </c>
      <c r="V114" s="27"/>
      <c r="W114" s="30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9"/>
      <c r="AT114" s="30"/>
      <c r="AU114" s="30"/>
      <c r="AV114" s="30"/>
      <c r="AW114" s="27"/>
      <c r="AX114" s="27"/>
      <c r="AY114" s="29"/>
      <c r="AZ114" s="27"/>
      <c r="BA114" s="27"/>
      <c r="BB114" s="29"/>
      <c r="BC114" s="30"/>
      <c r="BD114" s="30"/>
      <c r="BE114" s="30"/>
      <c r="BF114" s="27"/>
      <c r="BG114" s="27"/>
      <c r="BH114" s="28" t="str">
        <f aca="false">IF(COUNT(BC114:BE114)=0,"",IF(MIN(BC114:BE114)&lt;=-2.5,"Yes","No"))</f>
        <v/>
      </c>
      <c r="BI114" s="27"/>
      <c r="BJ114" s="29"/>
      <c r="BK114" s="27"/>
      <c r="BL114" s="27"/>
      <c r="BM114" s="27"/>
      <c r="BN114" s="28" t="str">
        <f aca="false">IF(OR(AX114="Yes",BI114="Yes"),"Yes",IF(AND(AX114="No",BI114="No"),"No",IF(AND(AX114="",BI114=""),"","Unknown")))</f>
        <v/>
      </c>
      <c r="BO114" s="31" t="str">
        <f aca="false">IF(COUNT(AY114,BJ114)=0,"",MIN(AY114,BJ114))</f>
        <v/>
      </c>
      <c r="BP114" s="29"/>
      <c r="BQ114" s="29"/>
      <c r="BR114" s="29"/>
      <c r="BS114" s="28" t="str">
        <f aca="false">IF(AND(N(BP114)&gt;0,N(BR114)&gt;0),BR114-BP114,"")</f>
        <v/>
      </c>
      <c r="BT114" s="28" t="str">
        <f aca="false">IF(BS114="","",ROUND(BS114/365.25,2))</f>
        <v/>
      </c>
      <c r="BU114" s="28" t="str">
        <f aca="false">IF(BS114="","",IF(BS114&gt;=730.5,"Yes","No"))</f>
        <v/>
      </c>
      <c r="BV114" s="27"/>
      <c r="BW114" s="29"/>
      <c r="BX114" s="27"/>
      <c r="BY114" s="27"/>
      <c r="BZ114" s="28" t="str">
        <f aca="false">IF(N(E114)=0,"",IF(E114&lt;65,"Under 65","≥65"))</f>
        <v/>
      </c>
      <c r="CA114" s="28" t="str">
        <f aca="false">IF(OR(AC114="Yes",AC114="No"),AC114,"")</f>
        <v/>
      </c>
      <c r="CB114" s="28" t="str">
        <f aca="false">IF(OR(AD114="Yes",AD114="No"),AD114,"")</f>
        <v/>
      </c>
      <c r="CC114" s="28" t="str">
        <f aca="false">IF(F114="","",F114)</f>
        <v/>
      </c>
      <c r="CD114" s="27"/>
      <c r="CE114" s="27"/>
    </row>
    <row r="115" customFormat="false" ht="15" hidden="false" customHeight="false" outlineLevel="0" collapsed="false">
      <c r="A115" s="27"/>
      <c r="B115" s="27"/>
      <c r="C115" s="27"/>
      <c r="D115" s="27"/>
      <c r="E115" s="27"/>
      <c r="F115" s="27"/>
      <c r="G115" s="27"/>
      <c r="H115" s="27"/>
      <c r="I115" s="27"/>
      <c r="J115" s="28" t="str">
        <f aca="false">IF(AND(N(H115)&gt;0,N(I115)&gt;0),ROUND(I115/(H115/100)^2,1),"")</f>
        <v/>
      </c>
      <c r="K115" s="27"/>
      <c r="L115" s="27"/>
      <c r="M115" s="27"/>
      <c r="N115" s="27"/>
      <c r="O115" s="27"/>
      <c r="P115" s="27"/>
      <c r="Q115" s="27"/>
      <c r="R115" s="29"/>
      <c r="S115" s="29"/>
      <c r="T115" s="27"/>
      <c r="U115" s="28" t="str">
        <f aca="false">IF(N(T115)=0,"",IF(T115&lt;12,"Under 12 months",IF(T115&lt;36,"12-35 months",IF(T115&lt;60,"36-59 months","≥60 months"))))</f>
        <v/>
      </c>
      <c r="V115" s="27"/>
      <c r="W115" s="30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9"/>
      <c r="AT115" s="30"/>
      <c r="AU115" s="30"/>
      <c r="AV115" s="30"/>
      <c r="AW115" s="27"/>
      <c r="AX115" s="27"/>
      <c r="AY115" s="29"/>
      <c r="AZ115" s="27"/>
      <c r="BA115" s="27"/>
      <c r="BB115" s="29"/>
      <c r="BC115" s="30"/>
      <c r="BD115" s="30"/>
      <c r="BE115" s="30"/>
      <c r="BF115" s="27"/>
      <c r="BG115" s="27"/>
      <c r="BH115" s="28" t="str">
        <f aca="false">IF(COUNT(BC115:BE115)=0,"",IF(MIN(BC115:BE115)&lt;=-2.5,"Yes","No"))</f>
        <v/>
      </c>
      <c r="BI115" s="27"/>
      <c r="BJ115" s="29"/>
      <c r="BK115" s="27"/>
      <c r="BL115" s="27"/>
      <c r="BM115" s="27"/>
      <c r="BN115" s="28" t="str">
        <f aca="false">IF(OR(AX115="Yes",BI115="Yes"),"Yes",IF(AND(AX115="No",BI115="No"),"No",IF(AND(AX115="",BI115=""),"","Unknown")))</f>
        <v/>
      </c>
      <c r="BO115" s="31" t="str">
        <f aca="false">IF(COUNT(AY115,BJ115)=0,"",MIN(AY115,BJ115))</f>
        <v/>
      </c>
      <c r="BP115" s="29"/>
      <c r="BQ115" s="29"/>
      <c r="BR115" s="29"/>
      <c r="BS115" s="28" t="str">
        <f aca="false">IF(AND(N(BP115)&gt;0,N(BR115)&gt;0),BR115-BP115,"")</f>
        <v/>
      </c>
      <c r="BT115" s="28" t="str">
        <f aca="false">IF(BS115="","",ROUND(BS115/365.25,2))</f>
        <v/>
      </c>
      <c r="BU115" s="28" t="str">
        <f aca="false">IF(BS115="","",IF(BS115&gt;=730.5,"Yes","No"))</f>
        <v/>
      </c>
      <c r="BV115" s="27"/>
      <c r="BW115" s="29"/>
      <c r="BX115" s="27"/>
      <c r="BY115" s="27"/>
      <c r="BZ115" s="28" t="str">
        <f aca="false">IF(N(E115)=0,"",IF(E115&lt;65,"Under 65","≥65"))</f>
        <v/>
      </c>
      <c r="CA115" s="28" t="str">
        <f aca="false">IF(OR(AC115="Yes",AC115="No"),AC115,"")</f>
        <v/>
      </c>
      <c r="CB115" s="28" t="str">
        <f aca="false">IF(OR(AD115="Yes",AD115="No"),AD115,"")</f>
        <v/>
      </c>
      <c r="CC115" s="28" t="str">
        <f aca="false">IF(F115="","",F115)</f>
        <v/>
      </c>
      <c r="CD115" s="27"/>
      <c r="CE115" s="27"/>
    </row>
    <row r="116" customFormat="false" ht="15" hidden="false" customHeight="false" outlineLevel="0" collapsed="false">
      <c r="A116" s="27"/>
      <c r="B116" s="27"/>
      <c r="C116" s="27"/>
      <c r="D116" s="27"/>
      <c r="E116" s="27"/>
      <c r="F116" s="27"/>
      <c r="G116" s="27"/>
      <c r="H116" s="27"/>
      <c r="I116" s="27"/>
      <c r="J116" s="28" t="str">
        <f aca="false">IF(AND(N(H116)&gt;0,N(I116)&gt;0),ROUND(I116/(H116/100)^2,1),"")</f>
        <v/>
      </c>
      <c r="K116" s="27"/>
      <c r="L116" s="27"/>
      <c r="M116" s="27"/>
      <c r="N116" s="27"/>
      <c r="O116" s="27"/>
      <c r="P116" s="27"/>
      <c r="Q116" s="27"/>
      <c r="R116" s="29"/>
      <c r="S116" s="29"/>
      <c r="T116" s="27"/>
      <c r="U116" s="28" t="str">
        <f aca="false">IF(N(T116)=0,"",IF(T116&lt;12,"Under 12 months",IF(T116&lt;36,"12-35 months",IF(T116&lt;60,"36-59 months","≥60 months"))))</f>
        <v/>
      </c>
      <c r="V116" s="27"/>
      <c r="W116" s="30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9"/>
      <c r="AT116" s="30"/>
      <c r="AU116" s="30"/>
      <c r="AV116" s="30"/>
      <c r="AW116" s="27"/>
      <c r="AX116" s="27"/>
      <c r="AY116" s="29"/>
      <c r="AZ116" s="27"/>
      <c r="BA116" s="27"/>
      <c r="BB116" s="29"/>
      <c r="BC116" s="30"/>
      <c r="BD116" s="30"/>
      <c r="BE116" s="30"/>
      <c r="BF116" s="27"/>
      <c r="BG116" s="27"/>
      <c r="BH116" s="28" t="str">
        <f aca="false">IF(COUNT(BC116:BE116)=0,"",IF(MIN(BC116:BE116)&lt;=-2.5,"Yes","No"))</f>
        <v/>
      </c>
      <c r="BI116" s="27"/>
      <c r="BJ116" s="29"/>
      <c r="BK116" s="27"/>
      <c r="BL116" s="27"/>
      <c r="BM116" s="27"/>
      <c r="BN116" s="28" t="str">
        <f aca="false">IF(OR(AX116="Yes",BI116="Yes"),"Yes",IF(AND(AX116="No",BI116="No"),"No",IF(AND(AX116="",BI116=""),"","Unknown")))</f>
        <v/>
      </c>
      <c r="BO116" s="31" t="str">
        <f aca="false">IF(COUNT(AY116,BJ116)=0,"",MIN(AY116,BJ116))</f>
        <v/>
      </c>
      <c r="BP116" s="29"/>
      <c r="BQ116" s="29"/>
      <c r="BR116" s="29"/>
      <c r="BS116" s="28" t="str">
        <f aca="false">IF(AND(N(BP116)&gt;0,N(BR116)&gt;0),BR116-BP116,"")</f>
        <v/>
      </c>
      <c r="BT116" s="28" t="str">
        <f aca="false">IF(BS116="","",ROUND(BS116/365.25,2))</f>
        <v/>
      </c>
      <c r="BU116" s="28" t="str">
        <f aca="false">IF(BS116="","",IF(BS116&gt;=730.5,"Yes","No"))</f>
        <v/>
      </c>
      <c r="BV116" s="27"/>
      <c r="BW116" s="29"/>
      <c r="BX116" s="27"/>
      <c r="BY116" s="27"/>
      <c r="BZ116" s="28" t="str">
        <f aca="false">IF(N(E116)=0,"",IF(E116&lt;65,"Under 65","≥65"))</f>
        <v/>
      </c>
      <c r="CA116" s="28" t="str">
        <f aca="false">IF(OR(AC116="Yes",AC116="No"),AC116,"")</f>
        <v/>
      </c>
      <c r="CB116" s="28" t="str">
        <f aca="false">IF(OR(AD116="Yes",AD116="No"),AD116,"")</f>
        <v/>
      </c>
      <c r="CC116" s="28" t="str">
        <f aca="false">IF(F116="","",F116)</f>
        <v/>
      </c>
      <c r="CD116" s="27"/>
      <c r="CE116" s="27"/>
    </row>
    <row r="117" customFormat="false" ht="15" hidden="false" customHeight="false" outlineLevel="0" collapsed="false">
      <c r="A117" s="27"/>
      <c r="B117" s="27"/>
      <c r="C117" s="27"/>
      <c r="D117" s="27"/>
      <c r="E117" s="27"/>
      <c r="F117" s="27"/>
      <c r="G117" s="27"/>
      <c r="H117" s="27"/>
      <c r="I117" s="27"/>
      <c r="J117" s="28" t="str">
        <f aca="false">IF(AND(N(H117)&gt;0,N(I117)&gt;0),ROUND(I117/(H117/100)^2,1),"")</f>
        <v/>
      </c>
      <c r="K117" s="27"/>
      <c r="L117" s="27"/>
      <c r="M117" s="27"/>
      <c r="N117" s="27"/>
      <c r="O117" s="27"/>
      <c r="P117" s="27"/>
      <c r="Q117" s="27"/>
      <c r="R117" s="29"/>
      <c r="S117" s="29"/>
      <c r="T117" s="27"/>
      <c r="U117" s="28" t="str">
        <f aca="false">IF(N(T117)=0,"",IF(T117&lt;12,"Under 12 months",IF(T117&lt;36,"12-35 months",IF(T117&lt;60,"36-59 months","≥60 months"))))</f>
        <v/>
      </c>
      <c r="V117" s="27"/>
      <c r="W117" s="30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9"/>
      <c r="AT117" s="30"/>
      <c r="AU117" s="30"/>
      <c r="AV117" s="30"/>
      <c r="AW117" s="27"/>
      <c r="AX117" s="27"/>
      <c r="AY117" s="29"/>
      <c r="AZ117" s="27"/>
      <c r="BA117" s="27"/>
      <c r="BB117" s="29"/>
      <c r="BC117" s="30"/>
      <c r="BD117" s="30"/>
      <c r="BE117" s="30"/>
      <c r="BF117" s="27"/>
      <c r="BG117" s="27"/>
      <c r="BH117" s="28" t="str">
        <f aca="false">IF(COUNT(BC117:BE117)=0,"",IF(MIN(BC117:BE117)&lt;=-2.5,"Yes","No"))</f>
        <v/>
      </c>
      <c r="BI117" s="27"/>
      <c r="BJ117" s="29"/>
      <c r="BK117" s="27"/>
      <c r="BL117" s="27"/>
      <c r="BM117" s="27"/>
      <c r="BN117" s="28" t="str">
        <f aca="false">IF(OR(AX117="Yes",BI117="Yes"),"Yes",IF(AND(AX117="No",BI117="No"),"No",IF(AND(AX117="",BI117=""),"","Unknown")))</f>
        <v/>
      </c>
      <c r="BO117" s="31" t="str">
        <f aca="false">IF(COUNT(AY117,BJ117)=0,"",MIN(AY117,BJ117))</f>
        <v/>
      </c>
      <c r="BP117" s="29"/>
      <c r="BQ117" s="29"/>
      <c r="BR117" s="29"/>
      <c r="BS117" s="28" t="str">
        <f aca="false">IF(AND(N(BP117)&gt;0,N(BR117)&gt;0),BR117-BP117,"")</f>
        <v/>
      </c>
      <c r="BT117" s="28" t="str">
        <f aca="false">IF(BS117="","",ROUND(BS117/365.25,2))</f>
        <v/>
      </c>
      <c r="BU117" s="28" t="str">
        <f aca="false">IF(BS117="","",IF(BS117&gt;=730.5,"Yes","No"))</f>
        <v/>
      </c>
      <c r="BV117" s="27"/>
      <c r="BW117" s="29"/>
      <c r="BX117" s="27"/>
      <c r="BY117" s="27"/>
      <c r="BZ117" s="28" t="str">
        <f aca="false">IF(N(E117)=0,"",IF(E117&lt;65,"Under 65","≥65"))</f>
        <v/>
      </c>
      <c r="CA117" s="28" t="str">
        <f aca="false">IF(OR(AC117="Yes",AC117="No"),AC117,"")</f>
        <v/>
      </c>
      <c r="CB117" s="28" t="str">
        <f aca="false">IF(OR(AD117="Yes",AD117="No"),AD117,"")</f>
        <v/>
      </c>
      <c r="CC117" s="28" t="str">
        <f aca="false">IF(F117="","",F117)</f>
        <v/>
      </c>
      <c r="CD117" s="27"/>
      <c r="CE117" s="27"/>
    </row>
    <row r="118" customFormat="false" ht="15" hidden="false" customHeight="false" outlineLevel="0" collapsed="false">
      <c r="A118" s="27"/>
      <c r="B118" s="27"/>
      <c r="C118" s="27"/>
      <c r="D118" s="27"/>
      <c r="E118" s="27"/>
      <c r="F118" s="27"/>
      <c r="G118" s="27"/>
      <c r="H118" s="27"/>
      <c r="I118" s="27"/>
      <c r="J118" s="28" t="str">
        <f aca="false">IF(AND(N(H118)&gt;0,N(I118)&gt;0),ROUND(I118/(H118/100)^2,1),"")</f>
        <v/>
      </c>
      <c r="K118" s="27"/>
      <c r="L118" s="27"/>
      <c r="M118" s="27"/>
      <c r="N118" s="27"/>
      <c r="O118" s="27"/>
      <c r="P118" s="27"/>
      <c r="Q118" s="27"/>
      <c r="R118" s="29"/>
      <c r="S118" s="29"/>
      <c r="T118" s="27"/>
      <c r="U118" s="28" t="str">
        <f aca="false">IF(N(T118)=0,"",IF(T118&lt;12,"Under 12 months",IF(T118&lt;36,"12-35 months",IF(T118&lt;60,"36-59 months","≥60 months"))))</f>
        <v/>
      </c>
      <c r="V118" s="27"/>
      <c r="W118" s="30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9"/>
      <c r="AT118" s="30"/>
      <c r="AU118" s="30"/>
      <c r="AV118" s="30"/>
      <c r="AW118" s="27"/>
      <c r="AX118" s="27"/>
      <c r="AY118" s="29"/>
      <c r="AZ118" s="27"/>
      <c r="BA118" s="27"/>
      <c r="BB118" s="29"/>
      <c r="BC118" s="30"/>
      <c r="BD118" s="30"/>
      <c r="BE118" s="30"/>
      <c r="BF118" s="27"/>
      <c r="BG118" s="27"/>
      <c r="BH118" s="28" t="str">
        <f aca="false">IF(COUNT(BC118:BE118)=0,"",IF(MIN(BC118:BE118)&lt;=-2.5,"Yes","No"))</f>
        <v/>
      </c>
      <c r="BI118" s="27"/>
      <c r="BJ118" s="29"/>
      <c r="BK118" s="27"/>
      <c r="BL118" s="27"/>
      <c r="BM118" s="27"/>
      <c r="BN118" s="28" t="str">
        <f aca="false">IF(OR(AX118="Yes",BI118="Yes"),"Yes",IF(AND(AX118="No",BI118="No"),"No",IF(AND(AX118="",BI118=""),"","Unknown")))</f>
        <v/>
      </c>
      <c r="BO118" s="31" t="str">
        <f aca="false">IF(COUNT(AY118,BJ118)=0,"",MIN(AY118,BJ118))</f>
        <v/>
      </c>
      <c r="BP118" s="29"/>
      <c r="BQ118" s="29"/>
      <c r="BR118" s="29"/>
      <c r="BS118" s="28" t="str">
        <f aca="false">IF(AND(N(BP118)&gt;0,N(BR118)&gt;0),BR118-BP118,"")</f>
        <v/>
      </c>
      <c r="BT118" s="28" t="str">
        <f aca="false">IF(BS118="","",ROUND(BS118/365.25,2))</f>
        <v/>
      </c>
      <c r="BU118" s="28" t="str">
        <f aca="false">IF(BS118="","",IF(BS118&gt;=730.5,"Yes","No"))</f>
        <v/>
      </c>
      <c r="BV118" s="27"/>
      <c r="BW118" s="29"/>
      <c r="BX118" s="27"/>
      <c r="BY118" s="27"/>
      <c r="BZ118" s="28" t="str">
        <f aca="false">IF(N(E118)=0,"",IF(E118&lt;65,"Under 65","≥65"))</f>
        <v/>
      </c>
      <c r="CA118" s="28" t="str">
        <f aca="false">IF(OR(AC118="Yes",AC118="No"),AC118,"")</f>
        <v/>
      </c>
      <c r="CB118" s="28" t="str">
        <f aca="false">IF(OR(AD118="Yes",AD118="No"),AD118,"")</f>
        <v/>
      </c>
      <c r="CC118" s="28" t="str">
        <f aca="false">IF(F118="","",F118)</f>
        <v/>
      </c>
      <c r="CD118" s="27"/>
      <c r="CE118" s="27"/>
    </row>
    <row r="119" customFormat="false" ht="15" hidden="false" customHeight="false" outlineLevel="0" collapsed="false">
      <c r="A119" s="27"/>
      <c r="B119" s="27"/>
      <c r="C119" s="27"/>
      <c r="D119" s="27"/>
      <c r="E119" s="27"/>
      <c r="F119" s="27"/>
      <c r="G119" s="27"/>
      <c r="H119" s="27"/>
      <c r="I119" s="27"/>
      <c r="J119" s="28" t="str">
        <f aca="false">IF(AND(N(H119)&gt;0,N(I119)&gt;0),ROUND(I119/(H119/100)^2,1),"")</f>
        <v/>
      </c>
      <c r="K119" s="27"/>
      <c r="L119" s="27"/>
      <c r="M119" s="27"/>
      <c r="N119" s="27"/>
      <c r="O119" s="27"/>
      <c r="P119" s="27"/>
      <c r="Q119" s="27"/>
      <c r="R119" s="29"/>
      <c r="S119" s="29"/>
      <c r="T119" s="27"/>
      <c r="U119" s="28" t="str">
        <f aca="false">IF(N(T119)=0,"",IF(T119&lt;12,"Under 12 months",IF(T119&lt;36,"12-35 months",IF(T119&lt;60,"36-59 months","≥60 months"))))</f>
        <v/>
      </c>
      <c r="V119" s="27"/>
      <c r="W119" s="30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9"/>
      <c r="AT119" s="30"/>
      <c r="AU119" s="30"/>
      <c r="AV119" s="30"/>
      <c r="AW119" s="27"/>
      <c r="AX119" s="27"/>
      <c r="AY119" s="29"/>
      <c r="AZ119" s="27"/>
      <c r="BA119" s="27"/>
      <c r="BB119" s="29"/>
      <c r="BC119" s="30"/>
      <c r="BD119" s="30"/>
      <c r="BE119" s="30"/>
      <c r="BF119" s="27"/>
      <c r="BG119" s="27"/>
      <c r="BH119" s="28" t="str">
        <f aca="false">IF(COUNT(BC119:BE119)=0,"",IF(MIN(BC119:BE119)&lt;=-2.5,"Yes","No"))</f>
        <v/>
      </c>
      <c r="BI119" s="27"/>
      <c r="BJ119" s="29"/>
      <c r="BK119" s="27"/>
      <c r="BL119" s="27"/>
      <c r="BM119" s="27"/>
      <c r="BN119" s="28" t="str">
        <f aca="false">IF(OR(AX119="Yes",BI119="Yes"),"Yes",IF(AND(AX119="No",BI119="No"),"No",IF(AND(AX119="",BI119=""),"","Unknown")))</f>
        <v/>
      </c>
      <c r="BO119" s="31" t="str">
        <f aca="false">IF(COUNT(AY119,BJ119)=0,"",MIN(AY119,BJ119))</f>
        <v/>
      </c>
      <c r="BP119" s="29"/>
      <c r="BQ119" s="29"/>
      <c r="BR119" s="29"/>
      <c r="BS119" s="28" t="str">
        <f aca="false">IF(AND(N(BP119)&gt;0,N(BR119)&gt;0),BR119-BP119,"")</f>
        <v/>
      </c>
      <c r="BT119" s="28" t="str">
        <f aca="false">IF(BS119="","",ROUND(BS119/365.25,2))</f>
        <v/>
      </c>
      <c r="BU119" s="28" t="str">
        <f aca="false">IF(BS119="","",IF(BS119&gt;=730.5,"Yes","No"))</f>
        <v/>
      </c>
      <c r="BV119" s="27"/>
      <c r="BW119" s="29"/>
      <c r="BX119" s="27"/>
      <c r="BY119" s="27"/>
      <c r="BZ119" s="28" t="str">
        <f aca="false">IF(N(E119)=0,"",IF(E119&lt;65,"Under 65","≥65"))</f>
        <v/>
      </c>
      <c r="CA119" s="28" t="str">
        <f aca="false">IF(OR(AC119="Yes",AC119="No"),AC119,"")</f>
        <v/>
      </c>
      <c r="CB119" s="28" t="str">
        <f aca="false">IF(OR(AD119="Yes",AD119="No"),AD119,"")</f>
        <v/>
      </c>
      <c r="CC119" s="28" t="str">
        <f aca="false">IF(F119="","",F119)</f>
        <v/>
      </c>
      <c r="CD119" s="27"/>
      <c r="CE119" s="27"/>
    </row>
    <row r="120" customFormat="false" ht="15" hidden="false" customHeight="false" outlineLevel="0" collapsed="false">
      <c r="A120" s="27"/>
      <c r="B120" s="27"/>
      <c r="C120" s="27"/>
      <c r="D120" s="27"/>
      <c r="E120" s="27"/>
      <c r="F120" s="27"/>
      <c r="G120" s="27"/>
      <c r="H120" s="27"/>
      <c r="I120" s="27"/>
      <c r="J120" s="28" t="str">
        <f aca="false">IF(AND(N(H120)&gt;0,N(I120)&gt;0),ROUND(I120/(H120/100)^2,1),"")</f>
        <v/>
      </c>
      <c r="K120" s="27"/>
      <c r="L120" s="27"/>
      <c r="M120" s="27"/>
      <c r="N120" s="27"/>
      <c r="O120" s="27"/>
      <c r="P120" s="27"/>
      <c r="Q120" s="27"/>
      <c r="R120" s="29"/>
      <c r="S120" s="29"/>
      <c r="T120" s="27"/>
      <c r="U120" s="28" t="str">
        <f aca="false">IF(N(T120)=0,"",IF(T120&lt;12,"Under 12 months",IF(T120&lt;36,"12-35 months",IF(T120&lt;60,"36-59 months","≥60 months"))))</f>
        <v/>
      </c>
      <c r="V120" s="27"/>
      <c r="W120" s="30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9"/>
      <c r="AT120" s="30"/>
      <c r="AU120" s="30"/>
      <c r="AV120" s="30"/>
      <c r="AW120" s="27"/>
      <c r="AX120" s="27"/>
      <c r="AY120" s="29"/>
      <c r="AZ120" s="27"/>
      <c r="BA120" s="27"/>
      <c r="BB120" s="29"/>
      <c r="BC120" s="30"/>
      <c r="BD120" s="30"/>
      <c r="BE120" s="30"/>
      <c r="BF120" s="27"/>
      <c r="BG120" s="27"/>
      <c r="BH120" s="28" t="str">
        <f aca="false">IF(COUNT(BC120:BE120)=0,"",IF(MIN(BC120:BE120)&lt;=-2.5,"Yes","No"))</f>
        <v/>
      </c>
      <c r="BI120" s="27"/>
      <c r="BJ120" s="29"/>
      <c r="BK120" s="27"/>
      <c r="BL120" s="27"/>
      <c r="BM120" s="27"/>
      <c r="BN120" s="28" t="str">
        <f aca="false">IF(OR(AX120="Yes",BI120="Yes"),"Yes",IF(AND(AX120="No",BI120="No"),"No",IF(AND(AX120="",BI120=""),"","Unknown")))</f>
        <v/>
      </c>
      <c r="BO120" s="31" t="str">
        <f aca="false">IF(COUNT(AY120,BJ120)=0,"",MIN(AY120,BJ120))</f>
        <v/>
      </c>
      <c r="BP120" s="29"/>
      <c r="BQ120" s="29"/>
      <c r="BR120" s="29"/>
      <c r="BS120" s="28" t="str">
        <f aca="false">IF(AND(N(BP120)&gt;0,N(BR120)&gt;0),BR120-BP120,"")</f>
        <v/>
      </c>
      <c r="BT120" s="28" t="str">
        <f aca="false">IF(BS120="","",ROUND(BS120/365.25,2))</f>
        <v/>
      </c>
      <c r="BU120" s="28" t="str">
        <f aca="false">IF(BS120="","",IF(BS120&gt;=730.5,"Yes","No"))</f>
        <v/>
      </c>
      <c r="BV120" s="27"/>
      <c r="BW120" s="29"/>
      <c r="BX120" s="27"/>
      <c r="BY120" s="27"/>
      <c r="BZ120" s="28" t="str">
        <f aca="false">IF(N(E120)=0,"",IF(E120&lt;65,"Under 65","≥65"))</f>
        <v/>
      </c>
      <c r="CA120" s="28" t="str">
        <f aca="false">IF(OR(AC120="Yes",AC120="No"),AC120,"")</f>
        <v/>
      </c>
      <c r="CB120" s="28" t="str">
        <f aca="false">IF(OR(AD120="Yes",AD120="No"),AD120,"")</f>
        <v/>
      </c>
      <c r="CC120" s="28" t="str">
        <f aca="false">IF(F120="","",F120)</f>
        <v/>
      </c>
      <c r="CD120" s="27"/>
      <c r="CE120" s="27"/>
    </row>
    <row r="121" customFormat="false" ht="15" hidden="false" customHeight="false" outlineLevel="0" collapsed="false">
      <c r="A121" s="27"/>
      <c r="B121" s="27"/>
      <c r="C121" s="27"/>
      <c r="D121" s="27"/>
      <c r="E121" s="27"/>
      <c r="F121" s="27"/>
      <c r="G121" s="27"/>
      <c r="H121" s="27"/>
      <c r="I121" s="27"/>
      <c r="J121" s="28" t="str">
        <f aca="false">IF(AND(N(H121)&gt;0,N(I121)&gt;0),ROUND(I121/(H121/100)^2,1),"")</f>
        <v/>
      </c>
      <c r="K121" s="27"/>
      <c r="L121" s="27"/>
      <c r="M121" s="27"/>
      <c r="N121" s="27"/>
      <c r="O121" s="27"/>
      <c r="P121" s="27"/>
      <c r="Q121" s="27"/>
      <c r="R121" s="29"/>
      <c r="S121" s="29"/>
      <c r="T121" s="27"/>
      <c r="U121" s="28" t="str">
        <f aca="false">IF(N(T121)=0,"",IF(T121&lt;12,"Under 12 months",IF(T121&lt;36,"12-35 months",IF(T121&lt;60,"36-59 months","≥60 months"))))</f>
        <v/>
      </c>
      <c r="V121" s="27"/>
      <c r="W121" s="30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9"/>
      <c r="AT121" s="30"/>
      <c r="AU121" s="30"/>
      <c r="AV121" s="30"/>
      <c r="AW121" s="27"/>
      <c r="AX121" s="27"/>
      <c r="AY121" s="29"/>
      <c r="AZ121" s="27"/>
      <c r="BA121" s="27"/>
      <c r="BB121" s="29"/>
      <c r="BC121" s="30"/>
      <c r="BD121" s="30"/>
      <c r="BE121" s="30"/>
      <c r="BF121" s="27"/>
      <c r="BG121" s="27"/>
      <c r="BH121" s="28" t="str">
        <f aca="false">IF(COUNT(BC121:BE121)=0,"",IF(MIN(BC121:BE121)&lt;=-2.5,"Yes","No"))</f>
        <v/>
      </c>
      <c r="BI121" s="27"/>
      <c r="BJ121" s="29"/>
      <c r="BK121" s="27"/>
      <c r="BL121" s="27"/>
      <c r="BM121" s="27"/>
      <c r="BN121" s="28" t="str">
        <f aca="false">IF(OR(AX121="Yes",BI121="Yes"),"Yes",IF(AND(AX121="No",BI121="No"),"No",IF(AND(AX121="",BI121=""),"","Unknown")))</f>
        <v/>
      </c>
      <c r="BO121" s="31" t="str">
        <f aca="false">IF(COUNT(AY121,BJ121)=0,"",MIN(AY121,BJ121))</f>
        <v/>
      </c>
      <c r="BP121" s="29"/>
      <c r="BQ121" s="29"/>
      <c r="BR121" s="29"/>
      <c r="BS121" s="28" t="str">
        <f aca="false">IF(AND(N(BP121)&gt;0,N(BR121)&gt;0),BR121-BP121,"")</f>
        <v/>
      </c>
      <c r="BT121" s="28" t="str">
        <f aca="false">IF(BS121="","",ROUND(BS121/365.25,2))</f>
        <v/>
      </c>
      <c r="BU121" s="28" t="str">
        <f aca="false">IF(BS121="","",IF(BS121&gt;=730.5,"Yes","No"))</f>
        <v/>
      </c>
      <c r="BV121" s="27"/>
      <c r="BW121" s="29"/>
      <c r="BX121" s="27"/>
      <c r="BY121" s="27"/>
      <c r="BZ121" s="28" t="str">
        <f aca="false">IF(N(E121)=0,"",IF(E121&lt;65,"Under 65","≥65"))</f>
        <v/>
      </c>
      <c r="CA121" s="28" t="str">
        <f aca="false">IF(OR(AC121="Yes",AC121="No"),AC121,"")</f>
        <v/>
      </c>
      <c r="CB121" s="28" t="str">
        <f aca="false">IF(OR(AD121="Yes",AD121="No"),AD121,"")</f>
        <v/>
      </c>
      <c r="CC121" s="28" t="str">
        <f aca="false">IF(F121="","",F121)</f>
        <v/>
      </c>
      <c r="CD121" s="27"/>
      <c r="CE121" s="27"/>
    </row>
    <row r="122" customFormat="false" ht="15" hidden="false" customHeight="false" outlineLevel="0" collapsed="false">
      <c r="A122" s="27"/>
      <c r="B122" s="27"/>
      <c r="C122" s="27"/>
      <c r="D122" s="27"/>
      <c r="E122" s="27"/>
      <c r="F122" s="27"/>
      <c r="G122" s="27"/>
      <c r="H122" s="27"/>
      <c r="I122" s="27"/>
      <c r="J122" s="28" t="str">
        <f aca="false">IF(AND(N(H122)&gt;0,N(I122)&gt;0),ROUND(I122/(H122/100)^2,1),"")</f>
        <v/>
      </c>
      <c r="K122" s="27"/>
      <c r="L122" s="27"/>
      <c r="M122" s="27"/>
      <c r="N122" s="27"/>
      <c r="O122" s="27"/>
      <c r="P122" s="27"/>
      <c r="Q122" s="27"/>
      <c r="R122" s="29"/>
      <c r="S122" s="29"/>
      <c r="T122" s="27"/>
      <c r="U122" s="28" t="str">
        <f aca="false">IF(N(T122)=0,"",IF(T122&lt;12,"Under 12 months",IF(T122&lt;36,"12-35 months",IF(T122&lt;60,"36-59 months","≥60 months"))))</f>
        <v/>
      </c>
      <c r="V122" s="27"/>
      <c r="W122" s="30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9"/>
      <c r="AT122" s="30"/>
      <c r="AU122" s="30"/>
      <c r="AV122" s="30"/>
      <c r="AW122" s="27"/>
      <c r="AX122" s="27"/>
      <c r="AY122" s="29"/>
      <c r="AZ122" s="27"/>
      <c r="BA122" s="27"/>
      <c r="BB122" s="29"/>
      <c r="BC122" s="30"/>
      <c r="BD122" s="30"/>
      <c r="BE122" s="30"/>
      <c r="BF122" s="27"/>
      <c r="BG122" s="27"/>
      <c r="BH122" s="28" t="str">
        <f aca="false">IF(COUNT(BC122:BE122)=0,"",IF(MIN(BC122:BE122)&lt;=-2.5,"Yes","No"))</f>
        <v/>
      </c>
      <c r="BI122" s="27"/>
      <c r="BJ122" s="29"/>
      <c r="BK122" s="27"/>
      <c r="BL122" s="27"/>
      <c r="BM122" s="27"/>
      <c r="BN122" s="28" t="str">
        <f aca="false">IF(OR(AX122="Yes",BI122="Yes"),"Yes",IF(AND(AX122="No",BI122="No"),"No",IF(AND(AX122="",BI122=""),"","Unknown")))</f>
        <v/>
      </c>
      <c r="BO122" s="31" t="str">
        <f aca="false">IF(COUNT(AY122,BJ122)=0,"",MIN(AY122,BJ122))</f>
        <v/>
      </c>
      <c r="BP122" s="29"/>
      <c r="BQ122" s="29"/>
      <c r="BR122" s="29"/>
      <c r="BS122" s="28" t="str">
        <f aca="false">IF(AND(N(BP122)&gt;0,N(BR122)&gt;0),BR122-BP122,"")</f>
        <v/>
      </c>
      <c r="BT122" s="28" t="str">
        <f aca="false">IF(BS122="","",ROUND(BS122/365.25,2))</f>
        <v/>
      </c>
      <c r="BU122" s="28" t="str">
        <f aca="false">IF(BS122="","",IF(BS122&gt;=730.5,"Yes","No"))</f>
        <v/>
      </c>
      <c r="BV122" s="27"/>
      <c r="BW122" s="29"/>
      <c r="BX122" s="27"/>
      <c r="BY122" s="27"/>
      <c r="BZ122" s="28" t="str">
        <f aca="false">IF(N(E122)=0,"",IF(E122&lt;65,"Under 65","≥65"))</f>
        <v/>
      </c>
      <c r="CA122" s="28" t="str">
        <f aca="false">IF(OR(AC122="Yes",AC122="No"),AC122,"")</f>
        <v/>
      </c>
      <c r="CB122" s="28" t="str">
        <f aca="false">IF(OR(AD122="Yes",AD122="No"),AD122,"")</f>
        <v/>
      </c>
      <c r="CC122" s="28" t="str">
        <f aca="false">IF(F122="","",F122)</f>
        <v/>
      </c>
      <c r="CD122" s="27"/>
      <c r="CE122" s="27"/>
    </row>
    <row r="123" customFormat="false" ht="15" hidden="false" customHeight="false" outlineLevel="0" collapsed="false">
      <c r="A123" s="27"/>
      <c r="B123" s="27"/>
      <c r="C123" s="27"/>
      <c r="D123" s="27"/>
      <c r="E123" s="27"/>
      <c r="F123" s="27"/>
      <c r="G123" s="27"/>
      <c r="H123" s="27"/>
      <c r="I123" s="27"/>
      <c r="J123" s="28" t="str">
        <f aca="false">IF(AND(N(H123)&gt;0,N(I123)&gt;0),ROUND(I123/(H123/100)^2,1),"")</f>
        <v/>
      </c>
      <c r="K123" s="27"/>
      <c r="L123" s="27"/>
      <c r="M123" s="27"/>
      <c r="N123" s="27"/>
      <c r="O123" s="27"/>
      <c r="P123" s="27"/>
      <c r="Q123" s="27"/>
      <c r="R123" s="29"/>
      <c r="S123" s="29"/>
      <c r="T123" s="27"/>
      <c r="U123" s="28" t="str">
        <f aca="false">IF(N(T123)=0,"",IF(T123&lt;12,"Under 12 months",IF(T123&lt;36,"12-35 months",IF(T123&lt;60,"36-59 months","≥60 months"))))</f>
        <v/>
      </c>
      <c r="V123" s="27"/>
      <c r="W123" s="30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9"/>
      <c r="AT123" s="30"/>
      <c r="AU123" s="30"/>
      <c r="AV123" s="30"/>
      <c r="AW123" s="27"/>
      <c r="AX123" s="27"/>
      <c r="AY123" s="29"/>
      <c r="AZ123" s="27"/>
      <c r="BA123" s="27"/>
      <c r="BB123" s="29"/>
      <c r="BC123" s="30"/>
      <c r="BD123" s="30"/>
      <c r="BE123" s="30"/>
      <c r="BF123" s="27"/>
      <c r="BG123" s="27"/>
      <c r="BH123" s="28" t="str">
        <f aca="false">IF(COUNT(BC123:BE123)=0,"",IF(MIN(BC123:BE123)&lt;=-2.5,"Yes","No"))</f>
        <v/>
      </c>
      <c r="BI123" s="27"/>
      <c r="BJ123" s="29"/>
      <c r="BK123" s="27"/>
      <c r="BL123" s="27"/>
      <c r="BM123" s="27"/>
      <c r="BN123" s="28" t="str">
        <f aca="false">IF(OR(AX123="Yes",BI123="Yes"),"Yes",IF(AND(AX123="No",BI123="No"),"No",IF(AND(AX123="",BI123=""),"","Unknown")))</f>
        <v/>
      </c>
      <c r="BO123" s="31" t="str">
        <f aca="false">IF(COUNT(AY123,BJ123)=0,"",MIN(AY123,BJ123))</f>
        <v/>
      </c>
      <c r="BP123" s="29"/>
      <c r="BQ123" s="29"/>
      <c r="BR123" s="29"/>
      <c r="BS123" s="28" t="str">
        <f aca="false">IF(AND(N(BP123)&gt;0,N(BR123)&gt;0),BR123-BP123,"")</f>
        <v/>
      </c>
      <c r="BT123" s="28" t="str">
        <f aca="false">IF(BS123="","",ROUND(BS123/365.25,2))</f>
        <v/>
      </c>
      <c r="BU123" s="28" t="str">
        <f aca="false">IF(BS123="","",IF(BS123&gt;=730.5,"Yes","No"))</f>
        <v/>
      </c>
      <c r="BV123" s="27"/>
      <c r="BW123" s="29"/>
      <c r="BX123" s="27"/>
      <c r="BY123" s="27"/>
      <c r="BZ123" s="28" t="str">
        <f aca="false">IF(N(E123)=0,"",IF(E123&lt;65,"Under 65","≥65"))</f>
        <v/>
      </c>
      <c r="CA123" s="28" t="str">
        <f aca="false">IF(OR(AC123="Yes",AC123="No"),AC123,"")</f>
        <v/>
      </c>
      <c r="CB123" s="28" t="str">
        <f aca="false">IF(OR(AD123="Yes",AD123="No"),AD123,"")</f>
        <v/>
      </c>
      <c r="CC123" s="28" t="str">
        <f aca="false">IF(F123="","",F123)</f>
        <v/>
      </c>
      <c r="CD123" s="27"/>
      <c r="CE123" s="27"/>
    </row>
    <row r="124" customFormat="false" ht="15" hidden="false" customHeight="false" outlineLevel="0" collapsed="false">
      <c r="A124" s="27"/>
      <c r="B124" s="27"/>
      <c r="C124" s="27"/>
      <c r="D124" s="27"/>
      <c r="E124" s="27"/>
      <c r="F124" s="27"/>
      <c r="G124" s="27"/>
      <c r="H124" s="27"/>
      <c r="I124" s="27"/>
      <c r="J124" s="28" t="str">
        <f aca="false">IF(AND(N(H124)&gt;0,N(I124)&gt;0),ROUND(I124/(H124/100)^2,1),"")</f>
        <v/>
      </c>
      <c r="K124" s="27"/>
      <c r="L124" s="27"/>
      <c r="M124" s="27"/>
      <c r="N124" s="27"/>
      <c r="O124" s="27"/>
      <c r="P124" s="27"/>
      <c r="Q124" s="27"/>
      <c r="R124" s="29"/>
      <c r="S124" s="29"/>
      <c r="T124" s="27"/>
      <c r="U124" s="28" t="str">
        <f aca="false">IF(N(T124)=0,"",IF(T124&lt;12,"Under 12 months",IF(T124&lt;36,"12-35 months",IF(T124&lt;60,"36-59 months","≥60 months"))))</f>
        <v/>
      </c>
      <c r="V124" s="27"/>
      <c r="W124" s="30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9"/>
      <c r="AT124" s="30"/>
      <c r="AU124" s="30"/>
      <c r="AV124" s="30"/>
      <c r="AW124" s="27"/>
      <c r="AX124" s="27"/>
      <c r="AY124" s="29"/>
      <c r="AZ124" s="27"/>
      <c r="BA124" s="27"/>
      <c r="BB124" s="29"/>
      <c r="BC124" s="30"/>
      <c r="BD124" s="30"/>
      <c r="BE124" s="30"/>
      <c r="BF124" s="27"/>
      <c r="BG124" s="27"/>
      <c r="BH124" s="28" t="str">
        <f aca="false">IF(COUNT(BC124:BE124)=0,"",IF(MIN(BC124:BE124)&lt;=-2.5,"Yes","No"))</f>
        <v/>
      </c>
      <c r="BI124" s="27"/>
      <c r="BJ124" s="29"/>
      <c r="BK124" s="27"/>
      <c r="BL124" s="27"/>
      <c r="BM124" s="27"/>
      <c r="BN124" s="28" t="str">
        <f aca="false">IF(OR(AX124="Yes",BI124="Yes"),"Yes",IF(AND(AX124="No",BI124="No"),"No",IF(AND(AX124="",BI124=""),"","Unknown")))</f>
        <v/>
      </c>
      <c r="BO124" s="31" t="str">
        <f aca="false">IF(COUNT(AY124,BJ124)=0,"",MIN(AY124,BJ124))</f>
        <v/>
      </c>
      <c r="BP124" s="29"/>
      <c r="BQ124" s="29"/>
      <c r="BR124" s="29"/>
      <c r="BS124" s="28" t="str">
        <f aca="false">IF(AND(N(BP124)&gt;0,N(BR124)&gt;0),BR124-BP124,"")</f>
        <v/>
      </c>
      <c r="BT124" s="28" t="str">
        <f aca="false">IF(BS124="","",ROUND(BS124/365.25,2))</f>
        <v/>
      </c>
      <c r="BU124" s="28" t="str">
        <f aca="false">IF(BS124="","",IF(BS124&gt;=730.5,"Yes","No"))</f>
        <v/>
      </c>
      <c r="BV124" s="27"/>
      <c r="BW124" s="29"/>
      <c r="BX124" s="27"/>
      <c r="BY124" s="27"/>
      <c r="BZ124" s="28" t="str">
        <f aca="false">IF(N(E124)=0,"",IF(E124&lt;65,"Under 65","≥65"))</f>
        <v/>
      </c>
      <c r="CA124" s="28" t="str">
        <f aca="false">IF(OR(AC124="Yes",AC124="No"),AC124,"")</f>
        <v/>
      </c>
      <c r="CB124" s="28" t="str">
        <f aca="false">IF(OR(AD124="Yes",AD124="No"),AD124,"")</f>
        <v/>
      </c>
      <c r="CC124" s="28" t="str">
        <f aca="false">IF(F124="","",F124)</f>
        <v/>
      </c>
      <c r="CD124" s="27"/>
      <c r="CE124" s="27"/>
    </row>
    <row r="125" customFormat="false" ht="15" hidden="false" customHeight="false" outlineLevel="0" collapsed="false">
      <c r="A125" s="27"/>
      <c r="B125" s="27"/>
      <c r="C125" s="27"/>
      <c r="D125" s="27"/>
      <c r="E125" s="27"/>
      <c r="F125" s="27"/>
      <c r="G125" s="27"/>
      <c r="H125" s="27"/>
      <c r="I125" s="27"/>
      <c r="J125" s="28" t="str">
        <f aca="false">IF(AND(N(H125)&gt;0,N(I125)&gt;0),ROUND(I125/(H125/100)^2,1),"")</f>
        <v/>
      </c>
      <c r="K125" s="27"/>
      <c r="L125" s="27"/>
      <c r="M125" s="27"/>
      <c r="N125" s="27"/>
      <c r="O125" s="27"/>
      <c r="P125" s="27"/>
      <c r="Q125" s="27"/>
      <c r="R125" s="29"/>
      <c r="S125" s="29"/>
      <c r="T125" s="27"/>
      <c r="U125" s="28" t="str">
        <f aca="false">IF(N(T125)=0,"",IF(T125&lt;12,"Under 12 months",IF(T125&lt;36,"12-35 months",IF(T125&lt;60,"36-59 months","≥60 months"))))</f>
        <v/>
      </c>
      <c r="V125" s="27"/>
      <c r="W125" s="30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9"/>
      <c r="AT125" s="30"/>
      <c r="AU125" s="30"/>
      <c r="AV125" s="30"/>
      <c r="AW125" s="27"/>
      <c r="AX125" s="27"/>
      <c r="AY125" s="29"/>
      <c r="AZ125" s="27"/>
      <c r="BA125" s="27"/>
      <c r="BB125" s="29"/>
      <c r="BC125" s="30"/>
      <c r="BD125" s="30"/>
      <c r="BE125" s="30"/>
      <c r="BF125" s="27"/>
      <c r="BG125" s="27"/>
      <c r="BH125" s="28" t="str">
        <f aca="false">IF(COUNT(BC125:BE125)=0,"",IF(MIN(BC125:BE125)&lt;=-2.5,"Yes","No"))</f>
        <v/>
      </c>
      <c r="BI125" s="27"/>
      <c r="BJ125" s="29"/>
      <c r="BK125" s="27"/>
      <c r="BL125" s="27"/>
      <c r="BM125" s="27"/>
      <c r="BN125" s="28" t="str">
        <f aca="false">IF(OR(AX125="Yes",BI125="Yes"),"Yes",IF(AND(AX125="No",BI125="No"),"No",IF(AND(AX125="",BI125=""),"","Unknown")))</f>
        <v/>
      </c>
      <c r="BO125" s="31" t="str">
        <f aca="false">IF(COUNT(AY125,BJ125)=0,"",MIN(AY125,BJ125))</f>
        <v/>
      </c>
      <c r="BP125" s="29"/>
      <c r="BQ125" s="29"/>
      <c r="BR125" s="29"/>
      <c r="BS125" s="28" t="str">
        <f aca="false">IF(AND(N(BP125)&gt;0,N(BR125)&gt;0),BR125-BP125,"")</f>
        <v/>
      </c>
      <c r="BT125" s="28" t="str">
        <f aca="false">IF(BS125="","",ROUND(BS125/365.25,2))</f>
        <v/>
      </c>
      <c r="BU125" s="28" t="str">
        <f aca="false">IF(BS125="","",IF(BS125&gt;=730.5,"Yes","No"))</f>
        <v/>
      </c>
      <c r="BV125" s="27"/>
      <c r="BW125" s="29"/>
      <c r="BX125" s="27"/>
      <c r="BY125" s="27"/>
      <c r="BZ125" s="28" t="str">
        <f aca="false">IF(N(E125)=0,"",IF(E125&lt;65,"Under 65","≥65"))</f>
        <v/>
      </c>
      <c r="CA125" s="28" t="str">
        <f aca="false">IF(OR(AC125="Yes",AC125="No"),AC125,"")</f>
        <v/>
      </c>
      <c r="CB125" s="28" t="str">
        <f aca="false">IF(OR(AD125="Yes",AD125="No"),AD125,"")</f>
        <v/>
      </c>
      <c r="CC125" s="28" t="str">
        <f aca="false">IF(F125="","",F125)</f>
        <v/>
      </c>
      <c r="CD125" s="27"/>
      <c r="CE125" s="27"/>
    </row>
    <row r="126" customFormat="false" ht="15" hidden="false" customHeight="false" outlineLevel="0" collapsed="false">
      <c r="A126" s="27"/>
      <c r="B126" s="27"/>
      <c r="C126" s="27"/>
      <c r="D126" s="27"/>
      <c r="E126" s="27"/>
      <c r="F126" s="27"/>
      <c r="G126" s="27"/>
      <c r="H126" s="27"/>
      <c r="I126" s="27"/>
      <c r="J126" s="28" t="str">
        <f aca="false">IF(AND(N(H126)&gt;0,N(I126)&gt;0),ROUND(I126/(H126/100)^2,1),"")</f>
        <v/>
      </c>
      <c r="K126" s="27"/>
      <c r="L126" s="27"/>
      <c r="M126" s="27"/>
      <c r="N126" s="27"/>
      <c r="O126" s="27"/>
      <c r="P126" s="27"/>
      <c r="Q126" s="27"/>
      <c r="R126" s="29"/>
      <c r="S126" s="29"/>
      <c r="T126" s="27"/>
      <c r="U126" s="28" t="str">
        <f aca="false">IF(N(T126)=0,"",IF(T126&lt;12,"Under 12 months",IF(T126&lt;36,"12-35 months",IF(T126&lt;60,"36-59 months","≥60 months"))))</f>
        <v/>
      </c>
      <c r="V126" s="27"/>
      <c r="W126" s="30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9"/>
      <c r="AT126" s="30"/>
      <c r="AU126" s="30"/>
      <c r="AV126" s="30"/>
      <c r="AW126" s="27"/>
      <c r="AX126" s="27"/>
      <c r="AY126" s="29"/>
      <c r="AZ126" s="27"/>
      <c r="BA126" s="27"/>
      <c r="BB126" s="29"/>
      <c r="BC126" s="30"/>
      <c r="BD126" s="30"/>
      <c r="BE126" s="30"/>
      <c r="BF126" s="27"/>
      <c r="BG126" s="27"/>
      <c r="BH126" s="28" t="str">
        <f aca="false">IF(COUNT(BC126:BE126)=0,"",IF(MIN(BC126:BE126)&lt;=-2.5,"Yes","No"))</f>
        <v/>
      </c>
      <c r="BI126" s="27"/>
      <c r="BJ126" s="29"/>
      <c r="BK126" s="27"/>
      <c r="BL126" s="27"/>
      <c r="BM126" s="27"/>
      <c r="BN126" s="28" t="str">
        <f aca="false">IF(OR(AX126="Yes",BI126="Yes"),"Yes",IF(AND(AX126="No",BI126="No"),"No",IF(AND(AX126="",BI126=""),"","Unknown")))</f>
        <v/>
      </c>
      <c r="BO126" s="31" t="str">
        <f aca="false">IF(COUNT(AY126,BJ126)=0,"",MIN(AY126,BJ126))</f>
        <v/>
      </c>
      <c r="BP126" s="29"/>
      <c r="BQ126" s="29"/>
      <c r="BR126" s="29"/>
      <c r="BS126" s="28" t="str">
        <f aca="false">IF(AND(N(BP126)&gt;0,N(BR126)&gt;0),BR126-BP126,"")</f>
        <v/>
      </c>
      <c r="BT126" s="28" t="str">
        <f aca="false">IF(BS126="","",ROUND(BS126/365.25,2))</f>
        <v/>
      </c>
      <c r="BU126" s="28" t="str">
        <f aca="false">IF(BS126="","",IF(BS126&gt;=730.5,"Yes","No"))</f>
        <v/>
      </c>
      <c r="BV126" s="27"/>
      <c r="BW126" s="29"/>
      <c r="BX126" s="27"/>
      <c r="BY126" s="27"/>
      <c r="BZ126" s="28" t="str">
        <f aca="false">IF(N(E126)=0,"",IF(E126&lt;65,"Under 65","≥65"))</f>
        <v/>
      </c>
      <c r="CA126" s="28" t="str">
        <f aca="false">IF(OR(AC126="Yes",AC126="No"),AC126,"")</f>
        <v/>
      </c>
      <c r="CB126" s="28" t="str">
        <f aca="false">IF(OR(AD126="Yes",AD126="No"),AD126,"")</f>
        <v/>
      </c>
      <c r="CC126" s="28" t="str">
        <f aca="false">IF(F126="","",F126)</f>
        <v/>
      </c>
      <c r="CD126" s="27"/>
      <c r="CE126" s="27"/>
    </row>
    <row r="127" customFormat="false" ht="15" hidden="false" customHeight="false" outlineLevel="0" collapsed="false">
      <c r="A127" s="27"/>
      <c r="B127" s="27"/>
      <c r="C127" s="27"/>
      <c r="D127" s="27"/>
      <c r="E127" s="27"/>
      <c r="F127" s="27"/>
      <c r="G127" s="27"/>
      <c r="H127" s="27"/>
      <c r="I127" s="27"/>
      <c r="J127" s="28" t="str">
        <f aca="false">IF(AND(N(H127)&gt;0,N(I127)&gt;0),ROUND(I127/(H127/100)^2,1),"")</f>
        <v/>
      </c>
      <c r="K127" s="27"/>
      <c r="L127" s="27"/>
      <c r="M127" s="27"/>
      <c r="N127" s="27"/>
      <c r="O127" s="27"/>
      <c r="P127" s="27"/>
      <c r="Q127" s="27"/>
      <c r="R127" s="29"/>
      <c r="S127" s="29"/>
      <c r="T127" s="27"/>
      <c r="U127" s="28" t="str">
        <f aca="false">IF(N(T127)=0,"",IF(T127&lt;12,"Under 12 months",IF(T127&lt;36,"12-35 months",IF(T127&lt;60,"36-59 months","≥60 months"))))</f>
        <v/>
      </c>
      <c r="V127" s="27"/>
      <c r="W127" s="30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9"/>
      <c r="AT127" s="30"/>
      <c r="AU127" s="30"/>
      <c r="AV127" s="30"/>
      <c r="AW127" s="27"/>
      <c r="AX127" s="27"/>
      <c r="AY127" s="29"/>
      <c r="AZ127" s="27"/>
      <c r="BA127" s="27"/>
      <c r="BB127" s="29"/>
      <c r="BC127" s="30"/>
      <c r="BD127" s="30"/>
      <c r="BE127" s="30"/>
      <c r="BF127" s="27"/>
      <c r="BG127" s="27"/>
      <c r="BH127" s="28" t="str">
        <f aca="false">IF(COUNT(BC127:BE127)=0,"",IF(MIN(BC127:BE127)&lt;=-2.5,"Yes","No"))</f>
        <v/>
      </c>
      <c r="BI127" s="27"/>
      <c r="BJ127" s="29"/>
      <c r="BK127" s="27"/>
      <c r="BL127" s="27"/>
      <c r="BM127" s="27"/>
      <c r="BN127" s="28" t="str">
        <f aca="false">IF(OR(AX127="Yes",BI127="Yes"),"Yes",IF(AND(AX127="No",BI127="No"),"No",IF(AND(AX127="",BI127=""),"","Unknown")))</f>
        <v/>
      </c>
      <c r="BO127" s="31" t="str">
        <f aca="false">IF(COUNT(AY127,BJ127)=0,"",MIN(AY127,BJ127))</f>
        <v/>
      </c>
      <c r="BP127" s="29"/>
      <c r="BQ127" s="29"/>
      <c r="BR127" s="29"/>
      <c r="BS127" s="28" t="str">
        <f aca="false">IF(AND(N(BP127)&gt;0,N(BR127)&gt;0),BR127-BP127,"")</f>
        <v/>
      </c>
      <c r="BT127" s="28" t="str">
        <f aca="false">IF(BS127="","",ROUND(BS127/365.25,2))</f>
        <v/>
      </c>
      <c r="BU127" s="28" t="str">
        <f aca="false">IF(BS127="","",IF(BS127&gt;=730.5,"Yes","No"))</f>
        <v/>
      </c>
      <c r="BV127" s="27"/>
      <c r="BW127" s="29"/>
      <c r="BX127" s="27"/>
      <c r="BY127" s="27"/>
      <c r="BZ127" s="28" t="str">
        <f aca="false">IF(N(E127)=0,"",IF(E127&lt;65,"Under 65","≥65"))</f>
        <v/>
      </c>
      <c r="CA127" s="28" t="str">
        <f aca="false">IF(OR(AC127="Yes",AC127="No"),AC127,"")</f>
        <v/>
      </c>
      <c r="CB127" s="28" t="str">
        <f aca="false">IF(OR(AD127="Yes",AD127="No"),AD127,"")</f>
        <v/>
      </c>
      <c r="CC127" s="28" t="str">
        <f aca="false">IF(F127="","",F127)</f>
        <v/>
      </c>
      <c r="CD127" s="27"/>
      <c r="CE127" s="27"/>
    </row>
    <row r="128" customFormat="false" ht="15" hidden="false" customHeight="false" outlineLevel="0" collapsed="false">
      <c r="A128" s="27"/>
      <c r="B128" s="27"/>
      <c r="C128" s="27"/>
      <c r="D128" s="27"/>
      <c r="E128" s="27"/>
      <c r="F128" s="27"/>
      <c r="G128" s="27"/>
      <c r="H128" s="27"/>
      <c r="I128" s="27"/>
      <c r="J128" s="28" t="str">
        <f aca="false">IF(AND(N(H128)&gt;0,N(I128)&gt;0),ROUND(I128/(H128/100)^2,1),"")</f>
        <v/>
      </c>
      <c r="K128" s="27"/>
      <c r="L128" s="27"/>
      <c r="M128" s="27"/>
      <c r="N128" s="27"/>
      <c r="O128" s="27"/>
      <c r="P128" s="27"/>
      <c r="Q128" s="27"/>
      <c r="R128" s="29"/>
      <c r="S128" s="29"/>
      <c r="T128" s="27"/>
      <c r="U128" s="28" t="str">
        <f aca="false">IF(N(T128)=0,"",IF(T128&lt;12,"Under 12 months",IF(T128&lt;36,"12-35 months",IF(T128&lt;60,"36-59 months","≥60 months"))))</f>
        <v/>
      </c>
      <c r="V128" s="27"/>
      <c r="W128" s="30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9"/>
      <c r="AT128" s="30"/>
      <c r="AU128" s="30"/>
      <c r="AV128" s="30"/>
      <c r="AW128" s="27"/>
      <c r="AX128" s="27"/>
      <c r="AY128" s="29"/>
      <c r="AZ128" s="27"/>
      <c r="BA128" s="27"/>
      <c r="BB128" s="29"/>
      <c r="BC128" s="30"/>
      <c r="BD128" s="30"/>
      <c r="BE128" s="30"/>
      <c r="BF128" s="27"/>
      <c r="BG128" s="27"/>
      <c r="BH128" s="28" t="str">
        <f aca="false">IF(COUNT(BC128:BE128)=0,"",IF(MIN(BC128:BE128)&lt;=-2.5,"Yes","No"))</f>
        <v/>
      </c>
      <c r="BI128" s="27"/>
      <c r="BJ128" s="29"/>
      <c r="BK128" s="27"/>
      <c r="BL128" s="27"/>
      <c r="BM128" s="27"/>
      <c r="BN128" s="28" t="str">
        <f aca="false">IF(OR(AX128="Yes",BI128="Yes"),"Yes",IF(AND(AX128="No",BI128="No"),"No",IF(AND(AX128="",BI128=""),"","Unknown")))</f>
        <v/>
      </c>
      <c r="BO128" s="31" t="str">
        <f aca="false">IF(COUNT(AY128,BJ128)=0,"",MIN(AY128,BJ128))</f>
        <v/>
      </c>
      <c r="BP128" s="29"/>
      <c r="BQ128" s="29"/>
      <c r="BR128" s="29"/>
      <c r="BS128" s="28" t="str">
        <f aca="false">IF(AND(N(BP128)&gt;0,N(BR128)&gt;0),BR128-BP128,"")</f>
        <v/>
      </c>
      <c r="BT128" s="28" t="str">
        <f aca="false">IF(BS128="","",ROUND(BS128/365.25,2))</f>
        <v/>
      </c>
      <c r="BU128" s="28" t="str">
        <f aca="false">IF(BS128="","",IF(BS128&gt;=730.5,"Yes","No"))</f>
        <v/>
      </c>
      <c r="BV128" s="27"/>
      <c r="BW128" s="29"/>
      <c r="BX128" s="27"/>
      <c r="BY128" s="27"/>
      <c r="BZ128" s="28" t="str">
        <f aca="false">IF(N(E128)=0,"",IF(E128&lt;65,"Under 65","≥65"))</f>
        <v/>
      </c>
      <c r="CA128" s="28" t="str">
        <f aca="false">IF(OR(AC128="Yes",AC128="No"),AC128,"")</f>
        <v/>
      </c>
      <c r="CB128" s="28" t="str">
        <f aca="false">IF(OR(AD128="Yes",AD128="No"),AD128,"")</f>
        <v/>
      </c>
      <c r="CC128" s="28" t="str">
        <f aca="false">IF(F128="","",F128)</f>
        <v/>
      </c>
      <c r="CD128" s="27"/>
      <c r="CE128" s="27"/>
    </row>
    <row r="129" customFormat="false" ht="15" hidden="false" customHeight="false" outlineLevel="0" collapsed="false">
      <c r="A129" s="27"/>
      <c r="B129" s="27"/>
      <c r="C129" s="27"/>
      <c r="D129" s="27"/>
      <c r="E129" s="27"/>
      <c r="F129" s="27"/>
      <c r="G129" s="27"/>
      <c r="H129" s="27"/>
      <c r="I129" s="27"/>
      <c r="J129" s="28" t="str">
        <f aca="false">IF(AND(N(H129)&gt;0,N(I129)&gt;0),ROUND(I129/(H129/100)^2,1),"")</f>
        <v/>
      </c>
      <c r="K129" s="27"/>
      <c r="L129" s="27"/>
      <c r="M129" s="27"/>
      <c r="N129" s="27"/>
      <c r="O129" s="27"/>
      <c r="P129" s="27"/>
      <c r="Q129" s="27"/>
      <c r="R129" s="29"/>
      <c r="S129" s="29"/>
      <c r="T129" s="27"/>
      <c r="U129" s="28" t="str">
        <f aca="false">IF(N(T129)=0,"",IF(T129&lt;12,"Under 12 months",IF(T129&lt;36,"12-35 months",IF(T129&lt;60,"36-59 months","≥60 months"))))</f>
        <v/>
      </c>
      <c r="V129" s="27"/>
      <c r="W129" s="30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9"/>
      <c r="AT129" s="30"/>
      <c r="AU129" s="30"/>
      <c r="AV129" s="30"/>
      <c r="AW129" s="27"/>
      <c r="AX129" s="27"/>
      <c r="AY129" s="29"/>
      <c r="AZ129" s="27"/>
      <c r="BA129" s="27"/>
      <c r="BB129" s="29"/>
      <c r="BC129" s="30"/>
      <c r="BD129" s="30"/>
      <c r="BE129" s="30"/>
      <c r="BF129" s="27"/>
      <c r="BG129" s="27"/>
      <c r="BH129" s="28" t="str">
        <f aca="false">IF(COUNT(BC129:BE129)=0,"",IF(MIN(BC129:BE129)&lt;=-2.5,"Yes","No"))</f>
        <v/>
      </c>
      <c r="BI129" s="27"/>
      <c r="BJ129" s="29"/>
      <c r="BK129" s="27"/>
      <c r="BL129" s="27"/>
      <c r="BM129" s="27"/>
      <c r="BN129" s="28" t="str">
        <f aca="false">IF(OR(AX129="Yes",BI129="Yes"),"Yes",IF(AND(AX129="No",BI129="No"),"No",IF(AND(AX129="",BI129=""),"","Unknown")))</f>
        <v/>
      </c>
      <c r="BO129" s="31" t="str">
        <f aca="false">IF(COUNT(AY129,BJ129)=0,"",MIN(AY129,BJ129))</f>
        <v/>
      </c>
      <c r="BP129" s="29"/>
      <c r="BQ129" s="29"/>
      <c r="BR129" s="29"/>
      <c r="BS129" s="28" t="str">
        <f aca="false">IF(AND(N(BP129)&gt;0,N(BR129)&gt;0),BR129-BP129,"")</f>
        <v/>
      </c>
      <c r="BT129" s="28" t="str">
        <f aca="false">IF(BS129="","",ROUND(BS129/365.25,2))</f>
        <v/>
      </c>
      <c r="BU129" s="28" t="str">
        <f aca="false">IF(BS129="","",IF(BS129&gt;=730.5,"Yes","No"))</f>
        <v/>
      </c>
      <c r="BV129" s="27"/>
      <c r="BW129" s="29"/>
      <c r="BX129" s="27"/>
      <c r="BY129" s="27"/>
      <c r="BZ129" s="28" t="str">
        <f aca="false">IF(N(E129)=0,"",IF(E129&lt;65,"Under 65","≥65"))</f>
        <v/>
      </c>
      <c r="CA129" s="28" t="str">
        <f aca="false">IF(OR(AC129="Yes",AC129="No"),AC129,"")</f>
        <v/>
      </c>
      <c r="CB129" s="28" t="str">
        <f aca="false">IF(OR(AD129="Yes",AD129="No"),AD129,"")</f>
        <v/>
      </c>
      <c r="CC129" s="28" t="str">
        <f aca="false">IF(F129="","",F129)</f>
        <v/>
      </c>
      <c r="CD129" s="27"/>
      <c r="CE129" s="27"/>
    </row>
    <row r="130" customFormat="false" ht="15" hidden="false" customHeight="false" outlineLevel="0" collapsed="false">
      <c r="A130" s="27"/>
      <c r="B130" s="27"/>
      <c r="C130" s="27"/>
      <c r="D130" s="27"/>
      <c r="E130" s="27"/>
      <c r="F130" s="27"/>
      <c r="G130" s="27"/>
      <c r="H130" s="27"/>
      <c r="I130" s="27"/>
      <c r="J130" s="28" t="str">
        <f aca="false">IF(AND(N(H130)&gt;0,N(I130)&gt;0),ROUND(I130/(H130/100)^2,1),"")</f>
        <v/>
      </c>
      <c r="K130" s="27"/>
      <c r="L130" s="27"/>
      <c r="M130" s="27"/>
      <c r="N130" s="27"/>
      <c r="O130" s="27"/>
      <c r="P130" s="27"/>
      <c r="Q130" s="27"/>
      <c r="R130" s="29"/>
      <c r="S130" s="29"/>
      <c r="T130" s="27"/>
      <c r="U130" s="28" t="str">
        <f aca="false">IF(N(T130)=0,"",IF(T130&lt;12,"Under 12 months",IF(T130&lt;36,"12-35 months",IF(T130&lt;60,"36-59 months","≥60 months"))))</f>
        <v/>
      </c>
      <c r="V130" s="27"/>
      <c r="W130" s="30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9"/>
      <c r="AT130" s="30"/>
      <c r="AU130" s="30"/>
      <c r="AV130" s="30"/>
      <c r="AW130" s="27"/>
      <c r="AX130" s="27"/>
      <c r="AY130" s="29"/>
      <c r="AZ130" s="27"/>
      <c r="BA130" s="27"/>
      <c r="BB130" s="29"/>
      <c r="BC130" s="30"/>
      <c r="BD130" s="30"/>
      <c r="BE130" s="30"/>
      <c r="BF130" s="27"/>
      <c r="BG130" s="27"/>
      <c r="BH130" s="28" t="str">
        <f aca="false">IF(COUNT(BC130:BE130)=0,"",IF(MIN(BC130:BE130)&lt;=-2.5,"Yes","No"))</f>
        <v/>
      </c>
      <c r="BI130" s="27"/>
      <c r="BJ130" s="29"/>
      <c r="BK130" s="27"/>
      <c r="BL130" s="27"/>
      <c r="BM130" s="27"/>
      <c r="BN130" s="28" t="str">
        <f aca="false">IF(OR(AX130="Yes",BI130="Yes"),"Yes",IF(AND(AX130="No",BI130="No"),"No",IF(AND(AX130="",BI130=""),"","Unknown")))</f>
        <v/>
      </c>
      <c r="BO130" s="31" t="str">
        <f aca="false">IF(COUNT(AY130,BJ130)=0,"",MIN(AY130,BJ130))</f>
        <v/>
      </c>
      <c r="BP130" s="29"/>
      <c r="BQ130" s="29"/>
      <c r="BR130" s="29"/>
      <c r="BS130" s="28" t="str">
        <f aca="false">IF(AND(N(BP130)&gt;0,N(BR130)&gt;0),BR130-BP130,"")</f>
        <v/>
      </c>
      <c r="BT130" s="28" t="str">
        <f aca="false">IF(BS130="","",ROUND(BS130/365.25,2))</f>
        <v/>
      </c>
      <c r="BU130" s="28" t="str">
        <f aca="false">IF(BS130="","",IF(BS130&gt;=730.5,"Yes","No"))</f>
        <v/>
      </c>
      <c r="BV130" s="27"/>
      <c r="BW130" s="29"/>
      <c r="BX130" s="27"/>
      <c r="BY130" s="27"/>
      <c r="BZ130" s="28" t="str">
        <f aca="false">IF(N(E130)=0,"",IF(E130&lt;65,"Under 65","≥65"))</f>
        <v/>
      </c>
      <c r="CA130" s="28" t="str">
        <f aca="false">IF(OR(AC130="Yes",AC130="No"),AC130,"")</f>
        <v/>
      </c>
      <c r="CB130" s="28" t="str">
        <f aca="false">IF(OR(AD130="Yes",AD130="No"),AD130,"")</f>
        <v/>
      </c>
      <c r="CC130" s="28" t="str">
        <f aca="false">IF(F130="","",F130)</f>
        <v/>
      </c>
      <c r="CD130" s="27"/>
      <c r="CE130" s="27"/>
    </row>
    <row r="131" customFormat="false" ht="15" hidden="false" customHeight="false" outlineLevel="0" collapsed="false">
      <c r="A131" s="27"/>
      <c r="B131" s="27"/>
      <c r="C131" s="27"/>
      <c r="D131" s="27"/>
      <c r="E131" s="27"/>
      <c r="F131" s="27"/>
      <c r="G131" s="27"/>
      <c r="H131" s="27"/>
      <c r="I131" s="27"/>
      <c r="J131" s="28" t="str">
        <f aca="false">IF(AND(N(H131)&gt;0,N(I131)&gt;0),ROUND(I131/(H131/100)^2,1),"")</f>
        <v/>
      </c>
      <c r="K131" s="27"/>
      <c r="L131" s="27"/>
      <c r="M131" s="27"/>
      <c r="N131" s="27"/>
      <c r="O131" s="27"/>
      <c r="P131" s="27"/>
      <c r="Q131" s="27"/>
      <c r="R131" s="29"/>
      <c r="S131" s="29"/>
      <c r="T131" s="27"/>
      <c r="U131" s="28" t="str">
        <f aca="false">IF(N(T131)=0,"",IF(T131&lt;12,"Under 12 months",IF(T131&lt;36,"12-35 months",IF(T131&lt;60,"36-59 months","≥60 months"))))</f>
        <v/>
      </c>
      <c r="V131" s="27"/>
      <c r="W131" s="30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9"/>
      <c r="AT131" s="30"/>
      <c r="AU131" s="30"/>
      <c r="AV131" s="30"/>
      <c r="AW131" s="27"/>
      <c r="AX131" s="27"/>
      <c r="AY131" s="29"/>
      <c r="AZ131" s="27"/>
      <c r="BA131" s="27"/>
      <c r="BB131" s="29"/>
      <c r="BC131" s="30"/>
      <c r="BD131" s="30"/>
      <c r="BE131" s="30"/>
      <c r="BF131" s="27"/>
      <c r="BG131" s="27"/>
      <c r="BH131" s="28" t="str">
        <f aca="false">IF(COUNT(BC131:BE131)=0,"",IF(MIN(BC131:BE131)&lt;=-2.5,"Yes","No"))</f>
        <v/>
      </c>
      <c r="BI131" s="27"/>
      <c r="BJ131" s="29"/>
      <c r="BK131" s="27"/>
      <c r="BL131" s="27"/>
      <c r="BM131" s="27"/>
      <c r="BN131" s="28" t="str">
        <f aca="false">IF(OR(AX131="Yes",BI131="Yes"),"Yes",IF(AND(AX131="No",BI131="No"),"No",IF(AND(AX131="",BI131=""),"","Unknown")))</f>
        <v/>
      </c>
      <c r="BO131" s="31" t="str">
        <f aca="false">IF(COUNT(AY131,BJ131)=0,"",MIN(AY131,BJ131))</f>
        <v/>
      </c>
      <c r="BP131" s="29"/>
      <c r="BQ131" s="29"/>
      <c r="BR131" s="29"/>
      <c r="BS131" s="28" t="str">
        <f aca="false">IF(AND(N(BP131)&gt;0,N(BR131)&gt;0),BR131-BP131,"")</f>
        <v/>
      </c>
      <c r="BT131" s="28" t="str">
        <f aca="false">IF(BS131="","",ROUND(BS131/365.25,2))</f>
        <v/>
      </c>
      <c r="BU131" s="28" t="str">
        <f aca="false">IF(BS131="","",IF(BS131&gt;=730.5,"Yes","No"))</f>
        <v/>
      </c>
      <c r="BV131" s="27"/>
      <c r="BW131" s="29"/>
      <c r="BX131" s="27"/>
      <c r="BY131" s="27"/>
      <c r="BZ131" s="28" t="str">
        <f aca="false">IF(N(E131)=0,"",IF(E131&lt;65,"Under 65","≥65"))</f>
        <v/>
      </c>
      <c r="CA131" s="28" t="str">
        <f aca="false">IF(OR(AC131="Yes",AC131="No"),AC131,"")</f>
        <v/>
      </c>
      <c r="CB131" s="28" t="str">
        <f aca="false">IF(OR(AD131="Yes",AD131="No"),AD131,"")</f>
        <v/>
      </c>
      <c r="CC131" s="28" t="str">
        <f aca="false">IF(F131="","",F131)</f>
        <v/>
      </c>
      <c r="CD131" s="27"/>
      <c r="CE131" s="27"/>
    </row>
    <row r="132" customFormat="false" ht="15" hidden="false" customHeight="false" outlineLevel="0" collapsed="false">
      <c r="A132" s="27"/>
      <c r="B132" s="27"/>
      <c r="C132" s="27"/>
      <c r="D132" s="27"/>
      <c r="E132" s="27"/>
      <c r="F132" s="27"/>
      <c r="G132" s="27"/>
      <c r="H132" s="27"/>
      <c r="I132" s="27"/>
      <c r="J132" s="28" t="str">
        <f aca="false">IF(AND(N(H132)&gt;0,N(I132)&gt;0),ROUND(I132/(H132/100)^2,1),"")</f>
        <v/>
      </c>
      <c r="K132" s="27"/>
      <c r="L132" s="27"/>
      <c r="M132" s="27"/>
      <c r="N132" s="27"/>
      <c r="O132" s="27"/>
      <c r="P132" s="27"/>
      <c r="Q132" s="27"/>
      <c r="R132" s="29"/>
      <c r="S132" s="29"/>
      <c r="T132" s="27"/>
      <c r="U132" s="28" t="str">
        <f aca="false">IF(N(T132)=0,"",IF(T132&lt;12,"Under 12 months",IF(T132&lt;36,"12-35 months",IF(T132&lt;60,"36-59 months","≥60 months"))))</f>
        <v/>
      </c>
      <c r="V132" s="27"/>
      <c r="W132" s="30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9"/>
      <c r="AT132" s="30"/>
      <c r="AU132" s="30"/>
      <c r="AV132" s="30"/>
      <c r="AW132" s="27"/>
      <c r="AX132" s="27"/>
      <c r="AY132" s="29"/>
      <c r="AZ132" s="27"/>
      <c r="BA132" s="27"/>
      <c r="BB132" s="29"/>
      <c r="BC132" s="30"/>
      <c r="BD132" s="30"/>
      <c r="BE132" s="30"/>
      <c r="BF132" s="27"/>
      <c r="BG132" s="27"/>
      <c r="BH132" s="28" t="str">
        <f aca="false">IF(COUNT(BC132:BE132)=0,"",IF(MIN(BC132:BE132)&lt;=-2.5,"Yes","No"))</f>
        <v/>
      </c>
      <c r="BI132" s="27"/>
      <c r="BJ132" s="29"/>
      <c r="BK132" s="27"/>
      <c r="BL132" s="27"/>
      <c r="BM132" s="27"/>
      <c r="BN132" s="28" t="str">
        <f aca="false">IF(OR(AX132="Yes",BI132="Yes"),"Yes",IF(AND(AX132="No",BI132="No"),"No",IF(AND(AX132="",BI132=""),"","Unknown")))</f>
        <v/>
      </c>
      <c r="BO132" s="31" t="str">
        <f aca="false">IF(COUNT(AY132,BJ132)=0,"",MIN(AY132,BJ132))</f>
        <v/>
      </c>
      <c r="BP132" s="29"/>
      <c r="BQ132" s="29"/>
      <c r="BR132" s="29"/>
      <c r="BS132" s="28" t="str">
        <f aca="false">IF(AND(N(BP132)&gt;0,N(BR132)&gt;0),BR132-BP132,"")</f>
        <v/>
      </c>
      <c r="BT132" s="28" t="str">
        <f aca="false">IF(BS132="","",ROUND(BS132/365.25,2))</f>
        <v/>
      </c>
      <c r="BU132" s="28" t="str">
        <f aca="false">IF(BS132="","",IF(BS132&gt;=730.5,"Yes","No"))</f>
        <v/>
      </c>
      <c r="BV132" s="27"/>
      <c r="BW132" s="29"/>
      <c r="BX132" s="27"/>
      <c r="BY132" s="27"/>
      <c r="BZ132" s="28" t="str">
        <f aca="false">IF(N(E132)=0,"",IF(E132&lt;65,"Under 65","≥65"))</f>
        <v/>
      </c>
      <c r="CA132" s="28" t="str">
        <f aca="false">IF(OR(AC132="Yes",AC132="No"),AC132,"")</f>
        <v/>
      </c>
      <c r="CB132" s="28" t="str">
        <f aca="false">IF(OR(AD132="Yes",AD132="No"),AD132,"")</f>
        <v/>
      </c>
      <c r="CC132" s="28" t="str">
        <f aca="false">IF(F132="","",F132)</f>
        <v/>
      </c>
      <c r="CD132" s="27"/>
      <c r="CE132" s="27"/>
    </row>
    <row r="133" customFormat="false" ht="15" hidden="false" customHeight="false" outlineLevel="0" collapsed="false">
      <c r="A133" s="27"/>
      <c r="B133" s="27"/>
      <c r="C133" s="27"/>
      <c r="D133" s="27"/>
      <c r="E133" s="27"/>
      <c r="F133" s="27"/>
      <c r="G133" s="27"/>
      <c r="H133" s="27"/>
      <c r="I133" s="27"/>
      <c r="J133" s="28" t="str">
        <f aca="false">IF(AND(N(H133)&gt;0,N(I133)&gt;0),ROUND(I133/(H133/100)^2,1),"")</f>
        <v/>
      </c>
      <c r="K133" s="27"/>
      <c r="L133" s="27"/>
      <c r="M133" s="27"/>
      <c r="N133" s="27"/>
      <c r="O133" s="27"/>
      <c r="P133" s="27"/>
      <c r="Q133" s="27"/>
      <c r="R133" s="29"/>
      <c r="S133" s="29"/>
      <c r="T133" s="27"/>
      <c r="U133" s="28" t="str">
        <f aca="false">IF(N(T133)=0,"",IF(T133&lt;12,"Under 12 months",IF(T133&lt;36,"12-35 months",IF(T133&lt;60,"36-59 months","≥60 months"))))</f>
        <v/>
      </c>
      <c r="V133" s="27"/>
      <c r="W133" s="30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9"/>
      <c r="AT133" s="30"/>
      <c r="AU133" s="30"/>
      <c r="AV133" s="30"/>
      <c r="AW133" s="27"/>
      <c r="AX133" s="27"/>
      <c r="AY133" s="29"/>
      <c r="AZ133" s="27"/>
      <c r="BA133" s="27"/>
      <c r="BB133" s="29"/>
      <c r="BC133" s="30"/>
      <c r="BD133" s="30"/>
      <c r="BE133" s="30"/>
      <c r="BF133" s="27"/>
      <c r="BG133" s="27"/>
      <c r="BH133" s="28" t="str">
        <f aca="false">IF(COUNT(BC133:BE133)=0,"",IF(MIN(BC133:BE133)&lt;=-2.5,"Yes","No"))</f>
        <v/>
      </c>
      <c r="BI133" s="27"/>
      <c r="BJ133" s="29"/>
      <c r="BK133" s="27"/>
      <c r="BL133" s="27"/>
      <c r="BM133" s="27"/>
      <c r="BN133" s="28" t="str">
        <f aca="false">IF(OR(AX133="Yes",BI133="Yes"),"Yes",IF(AND(AX133="No",BI133="No"),"No",IF(AND(AX133="",BI133=""),"","Unknown")))</f>
        <v/>
      </c>
      <c r="BO133" s="31" t="str">
        <f aca="false">IF(COUNT(AY133,BJ133)=0,"",MIN(AY133,BJ133))</f>
        <v/>
      </c>
      <c r="BP133" s="29"/>
      <c r="BQ133" s="29"/>
      <c r="BR133" s="29"/>
      <c r="BS133" s="28" t="str">
        <f aca="false">IF(AND(N(BP133)&gt;0,N(BR133)&gt;0),BR133-BP133,"")</f>
        <v/>
      </c>
      <c r="BT133" s="28" t="str">
        <f aca="false">IF(BS133="","",ROUND(BS133/365.25,2))</f>
        <v/>
      </c>
      <c r="BU133" s="28" t="str">
        <f aca="false">IF(BS133="","",IF(BS133&gt;=730.5,"Yes","No"))</f>
        <v/>
      </c>
      <c r="BV133" s="27"/>
      <c r="BW133" s="29"/>
      <c r="BX133" s="27"/>
      <c r="BY133" s="27"/>
      <c r="BZ133" s="28" t="str">
        <f aca="false">IF(N(E133)=0,"",IF(E133&lt;65,"Under 65","≥65"))</f>
        <v/>
      </c>
      <c r="CA133" s="28" t="str">
        <f aca="false">IF(OR(AC133="Yes",AC133="No"),AC133,"")</f>
        <v/>
      </c>
      <c r="CB133" s="28" t="str">
        <f aca="false">IF(OR(AD133="Yes",AD133="No"),AD133,"")</f>
        <v/>
      </c>
      <c r="CC133" s="28" t="str">
        <f aca="false">IF(F133="","",F133)</f>
        <v/>
      </c>
      <c r="CD133" s="27"/>
      <c r="CE133" s="27"/>
    </row>
    <row r="134" customFormat="false" ht="15" hidden="false" customHeight="false" outlineLevel="0" collapsed="false">
      <c r="A134" s="27"/>
      <c r="B134" s="27"/>
      <c r="C134" s="27"/>
      <c r="D134" s="27"/>
      <c r="E134" s="27"/>
      <c r="F134" s="27"/>
      <c r="G134" s="27"/>
      <c r="H134" s="27"/>
      <c r="I134" s="27"/>
      <c r="J134" s="28" t="str">
        <f aca="false">IF(AND(N(H134)&gt;0,N(I134)&gt;0),ROUND(I134/(H134/100)^2,1),"")</f>
        <v/>
      </c>
      <c r="K134" s="27"/>
      <c r="L134" s="27"/>
      <c r="M134" s="27"/>
      <c r="N134" s="27"/>
      <c r="O134" s="27"/>
      <c r="P134" s="27"/>
      <c r="Q134" s="27"/>
      <c r="R134" s="29"/>
      <c r="S134" s="29"/>
      <c r="T134" s="27"/>
      <c r="U134" s="28" t="str">
        <f aca="false">IF(N(T134)=0,"",IF(T134&lt;12,"Under 12 months",IF(T134&lt;36,"12-35 months",IF(T134&lt;60,"36-59 months","≥60 months"))))</f>
        <v/>
      </c>
      <c r="V134" s="27"/>
      <c r="W134" s="30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9"/>
      <c r="AT134" s="30"/>
      <c r="AU134" s="30"/>
      <c r="AV134" s="30"/>
      <c r="AW134" s="27"/>
      <c r="AX134" s="27"/>
      <c r="AY134" s="29"/>
      <c r="AZ134" s="27"/>
      <c r="BA134" s="27"/>
      <c r="BB134" s="29"/>
      <c r="BC134" s="30"/>
      <c r="BD134" s="30"/>
      <c r="BE134" s="30"/>
      <c r="BF134" s="27"/>
      <c r="BG134" s="27"/>
      <c r="BH134" s="28" t="str">
        <f aca="false">IF(COUNT(BC134:BE134)=0,"",IF(MIN(BC134:BE134)&lt;=-2.5,"Yes","No"))</f>
        <v/>
      </c>
      <c r="BI134" s="27"/>
      <c r="BJ134" s="29"/>
      <c r="BK134" s="27"/>
      <c r="BL134" s="27"/>
      <c r="BM134" s="27"/>
      <c r="BN134" s="28" t="str">
        <f aca="false">IF(OR(AX134="Yes",BI134="Yes"),"Yes",IF(AND(AX134="No",BI134="No"),"No",IF(AND(AX134="",BI134=""),"","Unknown")))</f>
        <v/>
      </c>
      <c r="BO134" s="31" t="str">
        <f aca="false">IF(COUNT(AY134,BJ134)=0,"",MIN(AY134,BJ134))</f>
        <v/>
      </c>
      <c r="BP134" s="29"/>
      <c r="BQ134" s="29"/>
      <c r="BR134" s="29"/>
      <c r="BS134" s="28" t="str">
        <f aca="false">IF(AND(N(BP134)&gt;0,N(BR134)&gt;0),BR134-BP134,"")</f>
        <v/>
      </c>
      <c r="BT134" s="28" t="str">
        <f aca="false">IF(BS134="","",ROUND(BS134/365.25,2))</f>
        <v/>
      </c>
      <c r="BU134" s="28" t="str">
        <f aca="false">IF(BS134="","",IF(BS134&gt;=730.5,"Yes","No"))</f>
        <v/>
      </c>
      <c r="BV134" s="27"/>
      <c r="BW134" s="29"/>
      <c r="BX134" s="27"/>
      <c r="BY134" s="27"/>
      <c r="BZ134" s="28" t="str">
        <f aca="false">IF(N(E134)=0,"",IF(E134&lt;65,"Under 65","≥65"))</f>
        <v/>
      </c>
      <c r="CA134" s="28" t="str">
        <f aca="false">IF(OR(AC134="Yes",AC134="No"),AC134,"")</f>
        <v/>
      </c>
      <c r="CB134" s="28" t="str">
        <f aca="false">IF(OR(AD134="Yes",AD134="No"),AD134,"")</f>
        <v/>
      </c>
      <c r="CC134" s="28" t="str">
        <f aca="false">IF(F134="","",F134)</f>
        <v/>
      </c>
      <c r="CD134" s="27"/>
      <c r="CE134" s="27"/>
    </row>
    <row r="135" customFormat="false" ht="15" hidden="false" customHeight="false" outlineLevel="0" collapsed="false">
      <c r="A135" s="27"/>
      <c r="B135" s="27"/>
      <c r="C135" s="27"/>
      <c r="D135" s="27"/>
      <c r="E135" s="27"/>
      <c r="F135" s="27"/>
      <c r="G135" s="27"/>
      <c r="H135" s="27"/>
      <c r="I135" s="27"/>
      <c r="J135" s="28" t="str">
        <f aca="false">IF(AND(N(H135)&gt;0,N(I135)&gt;0),ROUND(I135/(H135/100)^2,1),"")</f>
        <v/>
      </c>
      <c r="K135" s="27"/>
      <c r="L135" s="27"/>
      <c r="M135" s="27"/>
      <c r="N135" s="27"/>
      <c r="O135" s="27"/>
      <c r="P135" s="27"/>
      <c r="Q135" s="27"/>
      <c r="R135" s="29"/>
      <c r="S135" s="29"/>
      <c r="T135" s="27"/>
      <c r="U135" s="28" t="str">
        <f aca="false">IF(N(T135)=0,"",IF(T135&lt;12,"Under 12 months",IF(T135&lt;36,"12-35 months",IF(T135&lt;60,"36-59 months","≥60 months"))))</f>
        <v/>
      </c>
      <c r="V135" s="27"/>
      <c r="W135" s="30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9"/>
      <c r="AT135" s="30"/>
      <c r="AU135" s="30"/>
      <c r="AV135" s="30"/>
      <c r="AW135" s="27"/>
      <c r="AX135" s="27"/>
      <c r="AY135" s="29"/>
      <c r="AZ135" s="27"/>
      <c r="BA135" s="27"/>
      <c r="BB135" s="29"/>
      <c r="BC135" s="30"/>
      <c r="BD135" s="30"/>
      <c r="BE135" s="30"/>
      <c r="BF135" s="27"/>
      <c r="BG135" s="27"/>
      <c r="BH135" s="28" t="str">
        <f aca="false">IF(COUNT(BC135:BE135)=0,"",IF(MIN(BC135:BE135)&lt;=-2.5,"Yes","No"))</f>
        <v/>
      </c>
      <c r="BI135" s="27"/>
      <c r="BJ135" s="29"/>
      <c r="BK135" s="27"/>
      <c r="BL135" s="27"/>
      <c r="BM135" s="27"/>
      <c r="BN135" s="28" t="str">
        <f aca="false">IF(OR(AX135="Yes",BI135="Yes"),"Yes",IF(AND(AX135="No",BI135="No"),"No",IF(AND(AX135="",BI135=""),"","Unknown")))</f>
        <v/>
      </c>
      <c r="BO135" s="31" t="str">
        <f aca="false">IF(COUNT(AY135,BJ135)=0,"",MIN(AY135,BJ135))</f>
        <v/>
      </c>
      <c r="BP135" s="29"/>
      <c r="BQ135" s="29"/>
      <c r="BR135" s="29"/>
      <c r="BS135" s="28" t="str">
        <f aca="false">IF(AND(N(BP135)&gt;0,N(BR135)&gt;0),BR135-BP135,"")</f>
        <v/>
      </c>
      <c r="BT135" s="28" t="str">
        <f aca="false">IF(BS135="","",ROUND(BS135/365.25,2))</f>
        <v/>
      </c>
      <c r="BU135" s="28" t="str">
        <f aca="false">IF(BS135="","",IF(BS135&gt;=730.5,"Yes","No"))</f>
        <v/>
      </c>
      <c r="BV135" s="27"/>
      <c r="BW135" s="29"/>
      <c r="BX135" s="27"/>
      <c r="BY135" s="27"/>
      <c r="BZ135" s="28" t="str">
        <f aca="false">IF(N(E135)=0,"",IF(E135&lt;65,"Under 65","≥65"))</f>
        <v/>
      </c>
      <c r="CA135" s="28" t="str">
        <f aca="false">IF(OR(AC135="Yes",AC135="No"),AC135,"")</f>
        <v/>
      </c>
      <c r="CB135" s="28" t="str">
        <f aca="false">IF(OR(AD135="Yes",AD135="No"),AD135,"")</f>
        <v/>
      </c>
      <c r="CC135" s="28" t="str">
        <f aca="false">IF(F135="","",F135)</f>
        <v/>
      </c>
      <c r="CD135" s="27"/>
      <c r="CE135" s="27"/>
    </row>
    <row r="136" customFormat="false" ht="15" hidden="false" customHeight="false" outlineLevel="0" collapsed="false">
      <c r="A136" s="27"/>
      <c r="B136" s="27"/>
      <c r="C136" s="27"/>
      <c r="D136" s="27"/>
      <c r="E136" s="27"/>
      <c r="F136" s="27"/>
      <c r="G136" s="27"/>
      <c r="H136" s="27"/>
      <c r="I136" s="27"/>
      <c r="J136" s="28" t="str">
        <f aca="false">IF(AND(N(H136)&gt;0,N(I136)&gt;0),ROUND(I136/(H136/100)^2,1),"")</f>
        <v/>
      </c>
      <c r="K136" s="27"/>
      <c r="L136" s="27"/>
      <c r="M136" s="27"/>
      <c r="N136" s="27"/>
      <c r="O136" s="27"/>
      <c r="P136" s="27"/>
      <c r="Q136" s="27"/>
      <c r="R136" s="29"/>
      <c r="S136" s="29"/>
      <c r="T136" s="27"/>
      <c r="U136" s="28" t="str">
        <f aca="false">IF(N(T136)=0,"",IF(T136&lt;12,"Under 12 months",IF(T136&lt;36,"12-35 months",IF(T136&lt;60,"36-59 months","≥60 months"))))</f>
        <v/>
      </c>
      <c r="V136" s="27"/>
      <c r="W136" s="30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9"/>
      <c r="AT136" s="30"/>
      <c r="AU136" s="30"/>
      <c r="AV136" s="30"/>
      <c r="AW136" s="27"/>
      <c r="AX136" s="27"/>
      <c r="AY136" s="29"/>
      <c r="AZ136" s="27"/>
      <c r="BA136" s="27"/>
      <c r="BB136" s="29"/>
      <c r="BC136" s="30"/>
      <c r="BD136" s="30"/>
      <c r="BE136" s="30"/>
      <c r="BF136" s="27"/>
      <c r="BG136" s="27"/>
      <c r="BH136" s="28" t="str">
        <f aca="false">IF(COUNT(BC136:BE136)=0,"",IF(MIN(BC136:BE136)&lt;=-2.5,"Yes","No"))</f>
        <v/>
      </c>
      <c r="BI136" s="27"/>
      <c r="BJ136" s="29"/>
      <c r="BK136" s="27"/>
      <c r="BL136" s="27"/>
      <c r="BM136" s="27"/>
      <c r="BN136" s="28" t="str">
        <f aca="false">IF(OR(AX136="Yes",BI136="Yes"),"Yes",IF(AND(AX136="No",BI136="No"),"No",IF(AND(AX136="",BI136=""),"","Unknown")))</f>
        <v/>
      </c>
      <c r="BO136" s="31" t="str">
        <f aca="false">IF(COUNT(AY136,BJ136)=0,"",MIN(AY136,BJ136))</f>
        <v/>
      </c>
      <c r="BP136" s="29"/>
      <c r="BQ136" s="29"/>
      <c r="BR136" s="29"/>
      <c r="BS136" s="28" t="str">
        <f aca="false">IF(AND(N(BP136)&gt;0,N(BR136)&gt;0),BR136-BP136,"")</f>
        <v/>
      </c>
      <c r="BT136" s="28" t="str">
        <f aca="false">IF(BS136="","",ROUND(BS136/365.25,2))</f>
        <v/>
      </c>
      <c r="BU136" s="28" t="str">
        <f aca="false">IF(BS136="","",IF(BS136&gt;=730.5,"Yes","No"))</f>
        <v/>
      </c>
      <c r="BV136" s="27"/>
      <c r="BW136" s="29"/>
      <c r="BX136" s="27"/>
      <c r="BY136" s="27"/>
      <c r="BZ136" s="28" t="str">
        <f aca="false">IF(N(E136)=0,"",IF(E136&lt;65,"Under 65","≥65"))</f>
        <v/>
      </c>
      <c r="CA136" s="28" t="str">
        <f aca="false">IF(OR(AC136="Yes",AC136="No"),AC136,"")</f>
        <v/>
      </c>
      <c r="CB136" s="28" t="str">
        <f aca="false">IF(OR(AD136="Yes",AD136="No"),AD136,"")</f>
        <v/>
      </c>
      <c r="CC136" s="28" t="str">
        <f aca="false">IF(F136="","",F136)</f>
        <v/>
      </c>
      <c r="CD136" s="27"/>
      <c r="CE136" s="27"/>
    </row>
    <row r="137" customFormat="false" ht="15" hidden="false" customHeight="false" outlineLevel="0" collapsed="false">
      <c r="A137" s="27"/>
      <c r="B137" s="27"/>
      <c r="C137" s="27"/>
      <c r="D137" s="27"/>
      <c r="E137" s="27"/>
      <c r="F137" s="27"/>
      <c r="G137" s="27"/>
      <c r="H137" s="27"/>
      <c r="I137" s="27"/>
      <c r="J137" s="28" t="str">
        <f aca="false">IF(AND(N(H137)&gt;0,N(I137)&gt;0),ROUND(I137/(H137/100)^2,1),"")</f>
        <v/>
      </c>
      <c r="K137" s="27"/>
      <c r="L137" s="27"/>
      <c r="M137" s="27"/>
      <c r="N137" s="27"/>
      <c r="O137" s="27"/>
      <c r="P137" s="27"/>
      <c r="Q137" s="27"/>
      <c r="R137" s="29"/>
      <c r="S137" s="29"/>
      <c r="T137" s="27"/>
      <c r="U137" s="28" t="str">
        <f aca="false">IF(N(T137)=0,"",IF(T137&lt;12,"Under 12 months",IF(T137&lt;36,"12-35 months",IF(T137&lt;60,"36-59 months","≥60 months"))))</f>
        <v/>
      </c>
      <c r="V137" s="27"/>
      <c r="W137" s="30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9"/>
      <c r="AT137" s="30"/>
      <c r="AU137" s="30"/>
      <c r="AV137" s="30"/>
      <c r="AW137" s="27"/>
      <c r="AX137" s="27"/>
      <c r="AY137" s="29"/>
      <c r="AZ137" s="27"/>
      <c r="BA137" s="27"/>
      <c r="BB137" s="29"/>
      <c r="BC137" s="30"/>
      <c r="BD137" s="30"/>
      <c r="BE137" s="30"/>
      <c r="BF137" s="27"/>
      <c r="BG137" s="27"/>
      <c r="BH137" s="28" t="str">
        <f aca="false">IF(COUNT(BC137:BE137)=0,"",IF(MIN(BC137:BE137)&lt;=-2.5,"Yes","No"))</f>
        <v/>
      </c>
      <c r="BI137" s="27"/>
      <c r="BJ137" s="29"/>
      <c r="BK137" s="27"/>
      <c r="BL137" s="27"/>
      <c r="BM137" s="27"/>
      <c r="BN137" s="28" t="str">
        <f aca="false">IF(OR(AX137="Yes",BI137="Yes"),"Yes",IF(AND(AX137="No",BI137="No"),"No",IF(AND(AX137="",BI137=""),"","Unknown")))</f>
        <v/>
      </c>
      <c r="BO137" s="31" t="str">
        <f aca="false">IF(COUNT(AY137,BJ137)=0,"",MIN(AY137,BJ137))</f>
        <v/>
      </c>
      <c r="BP137" s="29"/>
      <c r="BQ137" s="29"/>
      <c r="BR137" s="29"/>
      <c r="BS137" s="28" t="str">
        <f aca="false">IF(AND(N(BP137)&gt;0,N(BR137)&gt;0),BR137-BP137,"")</f>
        <v/>
      </c>
      <c r="BT137" s="28" t="str">
        <f aca="false">IF(BS137="","",ROUND(BS137/365.25,2))</f>
        <v/>
      </c>
      <c r="BU137" s="28" t="str">
        <f aca="false">IF(BS137="","",IF(BS137&gt;=730.5,"Yes","No"))</f>
        <v/>
      </c>
      <c r="BV137" s="27"/>
      <c r="BW137" s="29"/>
      <c r="BX137" s="27"/>
      <c r="BY137" s="27"/>
      <c r="BZ137" s="28" t="str">
        <f aca="false">IF(N(E137)=0,"",IF(E137&lt;65,"Under 65","≥65"))</f>
        <v/>
      </c>
      <c r="CA137" s="28" t="str">
        <f aca="false">IF(OR(AC137="Yes",AC137="No"),AC137,"")</f>
        <v/>
      </c>
      <c r="CB137" s="28" t="str">
        <f aca="false">IF(OR(AD137="Yes",AD137="No"),AD137,"")</f>
        <v/>
      </c>
      <c r="CC137" s="28" t="str">
        <f aca="false">IF(F137="","",F137)</f>
        <v/>
      </c>
      <c r="CD137" s="27"/>
      <c r="CE137" s="27"/>
    </row>
    <row r="138" customFormat="false" ht="15" hidden="false" customHeight="false" outlineLevel="0" collapsed="false">
      <c r="A138" s="27"/>
      <c r="B138" s="27"/>
      <c r="C138" s="27"/>
      <c r="D138" s="27"/>
      <c r="E138" s="27"/>
      <c r="F138" s="27"/>
      <c r="G138" s="27"/>
      <c r="H138" s="27"/>
      <c r="I138" s="27"/>
      <c r="J138" s="28" t="str">
        <f aca="false">IF(AND(N(H138)&gt;0,N(I138)&gt;0),ROUND(I138/(H138/100)^2,1),"")</f>
        <v/>
      </c>
      <c r="K138" s="27"/>
      <c r="L138" s="27"/>
      <c r="M138" s="27"/>
      <c r="N138" s="27"/>
      <c r="O138" s="27"/>
      <c r="P138" s="27"/>
      <c r="Q138" s="27"/>
      <c r="R138" s="29"/>
      <c r="S138" s="29"/>
      <c r="T138" s="27"/>
      <c r="U138" s="28" t="str">
        <f aca="false">IF(N(T138)=0,"",IF(T138&lt;12,"Under 12 months",IF(T138&lt;36,"12-35 months",IF(T138&lt;60,"36-59 months","≥60 months"))))</f>
        <v/>
      </c>
      <c r="V138" s="27"/>
      <c r="W138" s="30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9"/>
      <c r="AT138" s="30"/>
      <c r="AU138" s="30"/>
      <c r="AV138" s="30"/>
      <c r="AW138" s="27"/>
      <c r="AX138" s="27"/>
      <c r="AY138" s="29"/>
      <c r="AZ138" s="27"/>
      <c r="BA138" s="27"/>
      <c r="BB138" s="29"/>
      <c r="BC138" s="30"/>
      <c r="BD138" s="30"/>
      <c r="BE138" s="30"/>
      <c r="BF138" s="27"/>
      <c r="BG138" s="27"/>
      <c r="BH138" s="28" t="str">
        <f aca="false">IF(COUNT(BC138:BE138)=0,"",IF(MIN(BC138:BE138)&lt;=-2.5,"Yes","No"))</f>
        <v/>
      </c>
      <c r="BI138" s="27"/>
      <c r="BJ138" s="29"/>
      <c r="BK138" s="27"/>
      <c r="BL138" s="27"/>
      <c r="BM138" s="27"/>
      <c r="BN138" s="28" t="str">
        <f aca="false">IF(OR(AX138="Yes",BI138="Yes"),"Yes",IF(AND(AX138="No",BI138="No"),"No",IF(AND(AX138="",BI138=""),"","Unknown")))</f>
        <v/>
      </c>
      <c r="BO138" s="31" t="str">
        <f aca="false">IF(COUNT(AY138,BJ138)=0,"",MIN(AY138,BJ138))</f>
        <v/>
      </c>
      <c r="BP138" s="29"/>
      <c r="BQ138" s="29"/>
      <c r="BR138" s="29"/>
      <c r="BS138" s="28" t="str">
        <f aca="false">IF(AND(N(BP138)&gt;0,N(BR138)&gt;0),BR138-BP138,"")</f>
        <v/>
      </c>
      <c r="BT138" s="28" t="str">
        <f aca="false">IF(BS138="","",ROUND(BS138/365.25,2))</f>
        <v/>
      </c>
      <c r="BU138" s="28" t="str">
        <f aca="false">IF(BS138="","",IF(BS138&gt;=730.5,"Yes","No"))</f>
        <v/>
      </c>
      <c r="BV138" s="27"/>
      <c r="BW138" s="29"/>
      <c r="BX138" s="27"/>
      <c r="BY138" s="27"/>
      <c r="BZ138" s="28" t="str">
        <f aca="false">IF(N(E138)=0,"",IF(E138&lt;65,"Under 65","≥65"))</f>
        <v/>
      </c>
      <c r="CA138" s="28" t="str">
        <f aca="false">IF(OR(AC138="Yes",AC138="No"),AC138,"")</f>
        <v/>
      </c>
      <c r="CB138" s="28" t="str">
        <f aca="false">IF(OR(AD138="Yes",AD138="No"),AD138,"")</f>
        <v/>
      </c>
      <c r="CC138" s="28" t="str">
        <f aca="false">IF(F138="","",F138)</f>
        <v/>
      </c>
      <c r="CD138" s="27"/>
      <c r="CE138" s="27"/>
    </row>
    <row r="139" customFormat="false" ht="15" hidden="false" customHeight="false" outlineLevel="0" collapsed="false">
      <c r="A139" s="27"/>
      <c r="B139" s="27"/>
      <c r="C139" s="27"/>
      <c r="D139" s="27"/>
      <c r="E139" s="27"/>
      <c r="F139" s="27"/>
      <c r="G139" s="27"/>
      <c r="H139" s="27"/>
      <c r="I139" s="27"/>
      <c r="J139" s="28" t="str">
        <f aca="false">IF(AND(N(H139)&gt;0,N(I139)&gt;0),ROUND(I139/(H139/100)^2,1),"")</f>
        <v/>
      </c>
      <c r="K139" s="27"/>
      <c r="L139" s="27"/>
      <c r="M139" s="27"/>
      <c r="N139" s="27"/>
      <c r="O139" s="27"/>
      <c r="P139" s="27"/>
      <c r="Q139" s="27"/>
      <c r="R139" s="29"/>
      <c r="S139" s="29"/>
      <c r="T139" s="27"/>
      <c r="U139" s="28" t="str">
        <f aca="false">IF(N(T139)=0,"",IF(T139&lt;12,"Under 12 months",IF(T139&lt;36,"12-35 months",IF(T139&lt;60,"36-59 months","≥60 months"))))</f>
        <v/>
      </c>
      <c r="V139" s="27"/>
      <c r="W139" s="30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9"/>
      <c r="AT139" s="30"/>
      <c r="AU139" s="30"/>
      <c r="AV139" s="30"/>
      <c r="AW139" s="27"/>
      <c r="AX139" s="27"/>
      <c r="AY139" s="29"/>
      <c r="AZ139" s="27"/>
      <c r="BA139" s="27"/>
      <c r="BB139" s="29"/>
      <c r="BC139" s="30"/>
      <c r="BD139" s="30"/>
      <c r="BE139" s="30"/>
      <c r="BF139" s="27"/>
      <c r="BG139" s="27"/>
      <c r="BH139" s="28" t="str">
        <f aca="false">IF(COUNT(BC139:BE139)=0,"",IF(MIN(BC139:BE139)&lt;=-2.5,"Yes","No"))</f>
        <v/>
      </c>
      <c r="BI139" s="27"/>
      <c r="BJ139" s="29"/>
      <c r="BK139" s="27"/>
      <c r="BL139" s="27"/>
      <c r="BM139" s="27"/>
      <c r="BN139" s="28" t="str">
        <f aca="false">IF(OR(AX139="Yes",BI139="Yes"),"Yes",IF(AND(AX139="No",BI139="No"),"No",IF(AND(AX139="",BI139=""),"","Unknown")))</f>
        <v/>
      </c>
      <c r="BO139" s="31" t="str">
        <f aca="false">IF(COUNT(AY139,BJ139)=0,"",MIN(AY139,BJ139))</f>
        <v/>
      </c>
      <c r="BP139" s="29"/>
      <c r="BQ139" s="29"/>
      <c r="BR139" s="29"/>
      <c r="BS139" s="28" t="str">
        <f aca="false">IF(AND(N(BP139)&gt;0,N(BR139)&gt;0),BR139-BP139,"")</f>
        <v/>
      </c>
      <c r="BT139" s="28" t="str">
        <f aca="false">IF(BS139="","",ROUND(BS139/365.25,2))</f>
        <v/>
      </c>
      <c r="BU139" s="28" t="str">
        <f aca="false">IF(BS139="","",IF(BS139&gt;=730.5,"Yes","No"))</f>
        <v/>
      </c>
      <c r="BV139" s="27"/>
      <c r="BW139" s="29"/>
      <c r="BX139" s="27"/>
      <c r="BY139" s="27"/>
      <c r="BZ139" s="28" t="str">
        <f aca="false">IF(N(E139)=0,"",IF(E139&lt;65,"Under 65","≥65"))</f>
        <v/>
      </c>
      <c r="CA139" s="28" t="str">
        <f aca="false">IF(OR(AC139="Yes",AC139="No"),AC139,"")</f>
        <v/>
      </c>
      <c r="CB139" s="28" t="str">
        <f aca="false">IF(OR(AD139="Yes",AD139="No"),AD139,"")</f>
        <v/>
      </c>
      <c r="CC139" s="28" t="str">
        <f aca="false">IF(F139="","",F139)</f>
        <v/>
      </c>
      <c r="CD139" s="27"/>
      <c r="CE139" s="27"/>
    </row>
    <row r="140" customFormat="false" ht="15" hidden="false" customHeight="false" outlineLevel="0" collapsed="false">
      <c r="A140" s="27"/>
      <c r="B140" s="27"/>
      <c r="C140" s="27"/>
      <c r="D140" s="27"/>
      <c r="E140" s="27"/>
      <c r="F140" s="27"/>
      <c r="G140" s="27"/>
      <c r="H140" s="27"/>
      <c r="I140" s="27"/>
      <c r="J140" s="28" t="str">
        <f aca="false">IF(AND(N(H140)&gt;0,N(I140)&gt;0),ROUND(I140/(H140/100)^2,1),"")</f>
        <v/>
      </c>
      <c r="K140" s="27"/>
      <c r="L140" s="27"/>
      <c r="M140" s="27"/>
      <c r="N140" s="27"/>
      <c r="O140" s="27"/>
      <c r="P140" s="27"/>
      <c r="Q140" s="27"/>
      <c r="R140" s="29"/>
      <c r="S140" s="29"/>
      <c r="T140" s="27"/>
      <c r="U140" s="28" t="str">
        <f aca="false">IF(N(T140)=0,"",IF(T140&lt;12,"Under 12 months",IF(T140&lt;36,"12-35 months",IF(T140&lt;60,"36-59 months","≥60 months"))))</f>
        <v/>
      </c>
      <c r="V140" s="27"/>
      <c r="W140" s="30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9"/>
      <c r="AT140" s="30"/>
      <c r="AU140" s="30"/>
      <c r="AV140" s="30"/>
      <c r="AW140" s="27"/>
      <c r="AX140" s="27"/>
      <c r="AY140" s="29"/>
      <c r="AZ140" s="27"/>
      <c r="BA140" s="27"/>
      <c r="BB140" s="29"/>
      <c r="BC140" s="30"/>
      <c r="BD140" s="30"/>
      <c r="BE140" s="30"/>
      <c r="BF140" s="27"/>
      <c r="BG140" s="27"/>
      <c r="BH140" s="28" t="str">
        <f aca="false">IF(COUNT(BC140:BE140)=0,"",IF(MIN(BC140:BE140)&lt;=-2.5,"Yes","No"))</f>
        <v/>
      </c>
      <c r="BI140" s="27"/>
      <c r="BJ140" s="29"/>
      <c r="BK140" s="27"/>
      <c r="BL140" s="27"/>
      <c r="BM140" s="27"/>
      <c r="BN140" s="28" t="str">
        <f aca="false">IF(OR(AX140="Yes",BI140="Yes"),"Yes",IF(AND(AX140="No",BI140="No"),"No",IF(AND(AX140="",BI140=""),"","Unknown")))</f>
        <v/>
      </c>
      <c r="BO140" s="31" t="str">
        <f aca="false">IF(COUNT(AY140,BJ140)=0,"",MIN(AY140,BJ140))</f>
        <v/>
      </c>
      <c r="BP140" s="29"/>
      <c r="BQ140" s="29"/>
      <c r="BR140" s="29"/>
      <c r="BS140" s="28" t="str">
        <f aca="false">IF(AND(N(BP140)&gt;0,N(BR140)&gt;0),BR140-BP140,"")</f>
        <v/>
      </c>
      <c r="BT140" s="28" t="str">
        <f aca="false">IF(BS140="","",ROUND(BS140/365.25,2))</f>
        <v/>
      </c>
      <c r="BU140" s="28" t="str">
        <f aca="false">IF(BS140="","",IF(BS140&gt;=730.5,"Yes","No"))</f>
        <v/>
      </c>
      <c r="BV140" s="27"/>
      <c r="BW140" s="29"/>
      <c r="BX140" s="27"/>
      <c r="BY140" s="27"/>
      <c r="BZ140" s="28" t="str">
        <f aca="false">IF(N(E140)=0,"",IF(E140&lt;65,"Under 65","≥65"))</f>
        <v/>
      </c>
      <c r="CA140" s="28" t="str">
        <f aca="false">IF(OR(AC140="Yes",AC140="No"),AC140,"")</f>
        <v/>
      </c>
      <c r="CB140" s="28" t="str">
        <f aca="false">IF(OR(AD140="Yes",AD140="No"),AD140,"")</f>
        <v/>
      </c>
      <c r="CC140" s="28" t="str">
        <f aca="false">IF(F140="","",F140)</f>
        <v/>
      </c>
      <c r="CD140" s="27"/>
      <c r="CE140" s="27"/>
    </row>
    <row r="141" customFormat="false" ht="15" hidden="false" customHeight="false" outlineLevel="0" collapsed="false">
      <c r="A141" s="27"/>
      <c r="B141" s="27"/>
      <c r="C141" s="27"/>
      <c r="D141" s="27"/>
      <c r="E141" s="27"/>
      <c r="F141" s="27"/>
      <c r="G141" s="27"/>
      <c r="H141" s="27"/>
      <c r="I141" s="27"/>
      <c r="J141" s="28" t="str">
        <f aca="false">IF(AND(N(H141)&gt;0,N(I141)&gt;0),ROUND(I141/(H141/100)^2,1),"")</f>
        <v/>
      </c>
      <c r="K141" s="27"/>
      <c r="L141" s="27"/>
      <c r="M141" s="27"/>
      <c r="N141" s="27"/>
      <c r="O141" s="27"/>
      <c r="P141" s="27"/>
      <c r="Q141" s="27"/>
      <c r="R141" s="29"/>
      <c r="S141" s="29"/>
      <c r="T141" s="27"/>
      <c r="U141" s="28" t="str">
        <f aca="false">IF(N(T141)=0,"",IF(T141&lt;12,"Under 12 months",IF(T141&lt;36,"12-35 months",IF(T141&lt;60,"36-59 months","≥60 months"))))</f>
        <v/>
      </c>
      <c r="V141" s="27"/>
      <c r="W141" s="30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9"/>
      <c r="AT141" s="30"/>
      <c r="AU141" s="30"/>
      <c r="AV141" s="30"/>
      <c r="AW141" s="27"/>
      <c r="AX141" s="27"/>
      <c r="AY141" s="29"/>
      <c r="AZ141" s="27"/>
      <c r="BA141" s="27"/>
      <c r="BB141" s="29"/>
      <c r="BC141" s="30"/>
      <c r="BD141" s="30"/>
      <c r="BE141" s="30"/>
      <c r="BF141" s="27"/>
      <c r="BG141" s="27"/>
      <c r="BH141" s="28" t="str">
        <f aca="false">IF(COUNT(BC141:BE141)=0,"",IF(MIN(BC141:BE141)&lt;=-2.5,"Yes","No"))</f>
        <v/>
      </c>
      <c r="BI141" s="27"/>
      <c r="BJ141" s="29"/>
      <c r="BK141" s="27"/>
      <c r="BL141" s="27"/>
      <c r="BM141" s="27"/>
      <c r="BN141" s="28" t="str">
        <f aca="false">IF(OR(AX141="Yes",BI141="Yes"),"Yes",IF(AND(AX141="No",BI141="No"),"No",IF(AND(AX141="",BI141=""),"","Unknown")))</f>
        <v/>
      </c>
      <c r="BO141" s="31" t="str">
        <f aca="false">IF(COUNT(AY141,BJ141)=0,"",MIN(AY141,BJ141))</f>
        <v/>
      </c>
      <c r="BP141" s="29"/>
      <c r="BQ141" s="29"/>
      <c r="BR141" s="29"/>
      <c r="BS141" s="28" t="str">
        <f aca="false">IF(AND(N(BP141)&gt;0,N(BR141)&gt;0),BR141-BP141,"")</f>
        <v/>
      </c>
      <c r="BT141" s="28" t="str">
        <f aca="false">IF(BS141="","",ROUND(BS141/365.25,2))</f>
        <v/>
      </c>
      <c r="BU141" s="28" t="str">
        <f aca="false">IF(BS141="","",IF(BS141&gt;=730.5,"Yes","No"))</f>
        <v/>
      </c>
      <c r="BV141" s="27"/>
      <c r="BW141" s="29"/>
      <c r="BX141" s="27"/>
      <c r="BY141" s="27"/>
      <c r="BZ141" s="28" t="str">
        <f aca="false">IF(N(E141)=0,"",IF(E141&lt;65,"Under 65","≥65"))</f>
        <v/>
      </c>
      <c r="CA141" s="28" t="str">
        <f aca="false">IF(OR(AC141="Yes",AC141="No"),AC141,"")</f>
        <v/>
      </c>
      <c r="CB141" s="28" t="str">
        <f aca="false">IF(OR(AD141="Yes",AD141="No"),AD141,"")</f>
        <v/>
      </c>
      <c r="CC141" s="28" t="str">
        <f aca="false">IF(F141="","",F141)</f>
        <v/>
      </c>
      <c r="CD141" s="27"/>
      <c r="CE141" s="27"/>
    </row>
    <row r="142" customFormat="false" ht="15" hidden="false" customHeight="false" outlineLevel="0" collapsed="false">
      <c r="A142" s="27"/>
      <c r="B142" s="27"/>
      <c r="C142" s="27"/>
      <c r="D142" s="27"/>
      <c r="E142" s="27"/>
      <c r="F142" s="27"/>
      <c r="G142" s="27"/>
      <c r="H142" s="27"/>
      <c r="I142" s="27"/>
      <c r="J142" s="28" t="str">
        <f aca="false">IF(AND(N(H142)&gt;0,N(I142)&gt;0),ROUND(I142/(H142/100)^2,1),"")</f>
        <v/>
      </c>
      <c r="K142" s="27"/>
      <c r="L142" s="27"/>
      <c r="M142" s="27"/>
      <c r="N142" s="27"/>
      <c r="O142" s="27"/>
      <c r="P142" s="27"/>
      <c r="Q142" s="27"/>
      <c r="R142" s="29"/>
      <c r="S142" s="29"/>
      <c r="T142" s="27"/>
      <c r="U142" s="28" t="str">
        <f aca="false">IF(N(T142)=0,"",IF(T142&lt;12,"Under 12 months",IF(T142&lt;36,"12-35 months",IF(T142&lt;60,"36-59 months","≥60 months"))))</f>
        <v/>
      </c>
      <c r="V142" s="27"/>
      <c r="W142" s="30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9"/>
      <c r="AT142" s="30"/>
      <c r="AU142" s="30"/>
      <c r="AV142" s="30"/>
      <c r="AW142" s="27"/>
      <c r="AX142" s="27"/>
      <c r="AY142" s="29"/>
      <c r="AZ142" s="27"/>
      <c r="BA142" s="27"/>
      <c r="BB142" s="29"/>
      <c r="BC142" s="30"/>
      <c r="BD142" s="30"/>
      <c r="BE142" s="30"/>
      <c r="BF142" s="27"/>
      <c r="BG142" s="27"/>
      <c r="BH142" s="28" t="str">
        <f aca="false">IF(COUNT(BC142:BE142)=0,"",IF(MIN(BC142:BE142)&lt;=-2.5,"Yes","No"))</f>
        <v/>
      </c>
      <c r="BI142" s="27"/>
      <c r="BJ142" s="29"/>
      <c r="BK142" s="27"/>
      <c r="BL142" s="27"/>
      <c r="BM142" s="27"/>
      <c r="BN142" s="28" t="str">
        <f aca="false">IF(OR(AX142="Yes",BI142="Yes"),"Yes",IF(AND(AX142="No",BI142="No"),"No",IF(AND(AX142="",BI142=""),"","Unknown")))</f>
        <v/>
      </c>
      <c r="BO142" s="31" t="str">
        <f aca="false">IF(COUNT(AY142,BJ142)=0,"",MIN(AY142,BJ142))</f>
        <v/>
      </c>
      <c r="BP142" s="29"/>
      <c r="BQ142" s="29"/>
      <c r="BR142" s="29"/>
      <c r="BS142" s="28" t="str">
        <f aca="false">IF(AND(N(BP142)&gt;0,N(BR142)&gt;0),BR142-BP142,"")</f>
        <v/>
      </c>
      <c r="BT142" s="28" t="str">
        <f aca="false">IF(BS142="","",ROUND(BS142/365.25,2))</f>
        <v/>
      </c>
      <c r="BU142" s="28" t="str">
        <f aca="false">IF(BS142="","",IF(BS142&gt;=730.5,"Yes","No"))</f>
        <v/>
      </c>
      <c r="BV142" s="27"/>
      <c r="BW142" s="29"/>
      <c r="BX142" s="27"/>
      <c r="BY142" s="27"/>
      <c r="BZ142" s="28" t="str">
        <f aca="false">IF(N(E142)=0,"",IF(E142&lt;65,"Under 65","≥65"))</f>
        <v/>
      </c>
      <c r="CA142" s="28" t="str">
        <f aca="false">IF(OR(AC142="Yes",AC142="No"),AC142,"")</f>
        <v/>
      </c>
      <c r="CB142" s="28" t="str">
        <f aca="false">IF(OR(AD142="Yes",AD142="No"),AD142,"")</f>
        <v/>
      </c>
      <c r="CC142" s="28" t="str">
        <f aca="false">IF(F142="","",F142)</f>
        <v/>
      </c>
      <c r="CD142" s="27"/>
      <c r="CE142" s="27"/>
    </row>
    <row r="143" customFormat="false" ht="15" hidden="false" customHeight="false" outlineLevel="0" collapsed="false">
      <c r="A143" s="27"/>
      <c r="B143" s="27"/>
      <c r="C143" s="27"/>
      <c r="D143" s="27"/>
      <c r="E143" s="27"/>
      <c r="F143" s="27"/>
      <c r="G143" s="27"/>
      <c r="H143" s="27"/>
      <c r="I143" s="27"/>
      <c r="J143" s="28" t="str">
        <f aca="false">IF(AND(N(H143)&gt;0,N(I143)&gt;0),ROUND(I143/(H143/100)^2,1),"")</f>
        <v/>
      </c>
      <c r="K143" s="27"/>
      <c r="L143" s="27"/>
      <c r="M143" s="27"/>
      <c r="N143" s="27"/>
      <c r="O143" s="27"/>
      <c r="P143" s="27"/>
      <c r="Q143" s="27"/>
      <c r="R143" s="29"/>
      <c r="S143" s="29"/>
      <c r="T143" s="27"/>
      <c r="U143" s="28" t="str">
        <f aca="false">IF(N(T143)=0,"",IF(T143&lt;12,"Under 12 months",IF(T143&lt;36,"12-35 months",IF(T143&lt;60,"36-59 months","≥60 months"))))</f>
        <v/>
      </c>
      <c r="V143" s="27"/>
      <c r="W143" s="30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9"/>
      <c r="AT143" s="30"/>
      <c r="AU143" s="30"/>
      <c r="AV143" s="30"/>
      <c r="AW143" s="27"/>
      <c r="AX143" s="27"/>
      <c r="AY143" s="29"/>
      <c r="AZ143" s="27"/>
      <c r="BA143" s="27"/>
      <c r="BB143" s="29"/>
      <c r="BC143" s="30"/>
      <c r="BD143" s="30"/>
      <c r="BE143" s="30"/>
      <c r="BF143" s="27"/>
      <c r="BG143" s="27"/>
      <c r="BH143" s="28" t="str">
        <f aca="false">IF(COUNT(BC143:BE143)=0,"",IF(MIN(BC143:BE143)&lt;=-2.5,"Yes","No"))</f>
        <v/>
      </c>
      <c r="BI143" s="27"/>
      <c r="BJ143" s="29"/>
      <c r="BK143" s="27"/>
      <c r="BL143" s="27"/>
      <c r="BM143" s="27"/>
      <c r="BN143" s="28" t="str">
        <f aca="false">IF(OR(AX143="Yes",BI143="Yes"),"Yes",IF(AND(AX143="No",BI143="No"),"No",IF(AND(AX143="",BI143=""),"","Unknown")))</f>
        <v/>
      </c>
      <c r="BO143" s="31" t="str">
        <f aca="false">IF(COUNT(AY143,BJ143)=0,"",MIN(AY143,BJ143))</f>
        <v/>
      </c>
      <c r="BP143" s="29"/>
      <c r="BQ143" s="29"/>
      <c r="BR143" s="29"/>
      <c r="BS143" s="28" t="str">
        <f aca="false">IF(AND(N(BP143)&gt;0,N(BR143)&gt;0),BR143-BP143,"")</f>
        <v/>
      </c>
      <c r="BT143" s="28" t="str">
        <f aca="false">IF(BS143="","",ROUND(BS143/365.25,2))</f>
        <v/>
      </c>
      <c r="BU143" s="28" t="str">
        <f aca="false">IF(BS143="","",IF(BS143&gt;=730.5,"Yes","No"))</f>
        <v/>
      </c>
      <c r="BV143" s="27"/>
      <c r="BW143" s="29"/>
      <c r="BX143" s="27"/>
      <c r="BY143" s="27"/>
      <c r="BZ143" s="28" t="str">
        <f aca="false">IF(N(E143)=0,"",IF(E143&lt;65,"Under 65","≥65"))</f>
        <v/>
      </c>
      <c r="CA143" s="28" t="str">
        <f aca="false">IF(OR(AC143="Yes",AC143="No"),AC143,"")</f>
        <v/>
      </c>
      <c r="CB143" s="28" t="str">
        <f aca="false">IF(OR(AD143="Yes",AD143="No"),AD143,"")</f>
        <v/>
      </c>
      <c r="CC143" s="28" t="str">
        <f aca="false">IF(F143="","",F143)</f>
        <v/>
      </c>
      <c r="CD143" s="27"/>
      <c r="CE143" s="27"/>
    </row>
    <row r="144" customFormat="false" ht="15" hidden="false" customHeight="false" outlineLevel="0" collapsed="false">
      <c r="A144" s="27"/>
      <c r="B144" s="27"/>
      <c r="C144" s="27"/>
      <c r="D144" s="27"/>
      <c r="E144" s="27"/>
      <c r="F144" s="27"/>
      <c r="G144" s="27"/>
      <c r="H144" s="27"/>
      <c r="I144" s="27"/>
      <c r="J144" s="28" t="str">
        <f aca="false">IF(AND(N(H144)&gt;0,N(I144)&gt;0),ROUND(I144/(H144/100)^2,1),"")</f>
        <v/>
      </c>
      <c r="K144" s="27"/>
      <c r="L144" s="27"/>
      <c r="M144" s="27"/>
      <c r="N144" s="27"/>
      <c r="O144" s="27"/>
      <c r="P144" s="27"/>
      <c r="Q144" s="27"/>
      <c r="R144" s="29"/>
      <c r="S144" s="29"/>
      <c r="T144" s="27"/>
      <c r="U144" s="28" t="str">
        <f aca="false">IF(N(T144)=0,"",IF(T144&lt;12,"Under 12 months",IF(T144&lt;36,"12-35 months",IF(T144&lt;60,"36-59 months","≥60 months"))))</f>
        <v/>
      </c>
      <c r="V144" s="27"/>
      <c r="W144" s="30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9"/>
      <c r="AT144" s="30"/>
      <c r="AU144" s="30"/>
      <c r="AV144" s="30"/>
      <c r="AW144" s="27"/>
      <c r="AX144" s="27"/>
      <c r="AY144" s="29"/>
      <c r="AZ144" s="27"/>
      <c r="BA144" s="27"/>
      <c r="BB144" s="29"/>
      <c r="BC144" s="30"/>
      <c r="BD144" s="30"/>
      <c r="BE144" s="30"/>
      <c r="BF144" s="27"/>
      <c r="BG144" s="27"/>
      <c r="BH144" s="28" t="str">
        <f aca="false">IF(COUNT(BC144:BE144)=0,"",IF(MIN(BC144:BE144)&lt;=-2.5,"Yes","No"))</f>
        <v/>
      </c>
      <c r="BI144" s="27"/>
      <c r="BJ144" s="29"/>
      <c r="BK144" s="27"/>
      <c r="BL144" s="27"/>
      <c r="BM144" s="27"/>
      <c r="BN144" s="28" t="str">
        <f aca="false">IF(OR(AX144="Yes",BI144="Yes"),"Yes",IF(AND(AX144="No",BI144="No"),"No",IF(AND(AX144="",BI144=""),"","Unknown")))</f>
        <v/>
      </c>
      <c r="BO144" s="31" t="str">
        <f aca="false">IF(COUNT(AY144,BJ144)=0,"",MIN(AY144,BJ144))</f>
        <v/>
      </c>
      <c r="BP144" s="29"/>
      <c r="BQ144" s="29"/>
      <c r="BR144" s="29"/>
      <c r="BS144" s="28" t="str">
        <f aca="false">IF(AND(N(BP144)&gt;0,N(BR144)&gt;0),BR144-BP144,"")</f>
        <v/>
      </c>
      <c r="BT144" s="28" t="str">
        <f aca="false">IF(BS144="","",ROUND(BS144/365.25,2))</f>
        <v/>
      </c>
      <c r="BU144" s="28" t="str">
        <f aca="false">IF(BS144="","",IF(BS144&gt;=730.5,"Yes","No"))</f>
        <v/>
      </c>
      <c r="BV144" s="27"/>
      <c r="BW144" s="29"/>
      <c r="BX144" s="27"/>
      <c r="BY144" s="27"/>
      <c r="BZ144" s="28" t="str">
        <f aca="false">IF(N(E144)=0,"",IF(E144&lt;65,"Under 65","≥65"))</f>
        <v/>
      </c>
      <c r="CA144" s="28" t="str">
        <f aca="false">IF(OR(AC144="Yes",AC144="No"),AC144,"")</f>
        <v/>
      </c>
      <c r="CB144" s="28" t="str">
        <f aca="false">IF(OR(AD144="Yes",AD144="No"),AD144,"")</f>
        <v/>
      </c>
      <c r="CC144" s="28" t="str">
        <f aca="false">IF(F144="","",F144)</f>
        <v/>
      </c>
      <c r="CD144" s="27"/>
      <c r="CE144" s="27"/>
    </row>
    <row r="145" customFormat="false" ht="15" hidden="false" customHeight="false" outlineLevel="0" collapsed="false">
      <c r="A145" s="27"/>
      <c r="B145" s="27"/>
      <c r="C145" s="27"/>
      <c r="D145" s="27"/>
      <c r="E145" s="27"/>
      <c r="F145" s="27"/>
      <c r="G145" s="27"/>
      <c r="H145" s="27"/>
      <c r="I145" s="27"/>
      <c r="J145" s="28" t="str">
        <f aca="false">IF(AND(N(H145)&gt;0,N(I145)&gt;0),ROUND(I145/(H145/100)^2,1),"")</f>
        <v/>
      </c>
      <c r="K145" s="27"/>
      <c r="L145" s="27"/>
      <c r="M145" s="27"/>
      <c r="N145" s="27"/>
      <c r="O145" s="27"/>
      <c r="P145" s="27"/>
      <c r="Q145" s="27"/>
      <c r="R145" s="29"/>
      <c r="S145" s="29"/>
      <c r="T145" s="27"/>
      <c r="U145" s="28" t="str">
        <f aca="false">IF(N(T145)=0,"",IF(T145&lt;12,"Under 12 months",IF(T145&lt;36,"12-35 months",IF(T145&lt;60,"36-59 months","≥60 months"))))</f>
        <v/>
      </c>
      <c r="V145" s="27"/>
      <c r="W145" s="30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9"/>
      <c r="AT145" s="30"/>
      <c r="AU145" s="30"/>
      <c r="AV145" s="30"/>
      <c r="AW145" s="27"/>
      <c r="AX145" s="27"/>
      <c r="AY145" s="29"/>
      <c r="AZ145" s="27"/>
      <c r="BA145" s="27"/>
      <c r="BB145" s="29"/>
      <c r="BC145" s="30"/>
      <c r="BD145" s="30"/>
      <c r="BE145" s="30"/>
      <c r="BF145" s="27"/>
      <c r="BG145" s="27"/>
      <c r="BH145" s="28" t="str">
        <f aca="false">IF(COUNT(BC145:BE145)=0,"",IF(MIN(BC145:BE145)&lt;=-2.5,"Yes","No"))</f>
        <v/>
      </c>
      <c r="BI145" s="27"/>
      <c r="BJ145" s="29"/>
      <c r="BK145" s="27"/>
      <c r="BL145" s="27"/>
      <c r="BM145" s="27"/>
      <c r="BN145" s="28" t="str">
        <f aca="false">IF(OR(AX145="Yes",BI145="Yes"),"Yes",IF(AND(AX145="No",BI145="No"),"No",IF(AND(AX145="",BI145=""),"","Unknown")))</f>
        <v/>
      </c>
      <c r="BO145" s="31" t="str">
        <f aca="false">IF(COUNT(AY145,BJ145)=0,"",MIN(AY145,BJ145))</f>
        <v/>
      </c>
      <c r="BP145" s="29"/>
      <c r="BQ145" s="29"/>
      <c r="BR145" s="29"/>
      <c r="BS145" s="28" t="str">
        <f aca="false">IF(AND(N(BP145)&gt;0,N(BR145)&gt;0),BR145-BP145,"")</f>
        <v/>
      </c>
      <c r="BT145" s="28" t="str">
        <f aca="false">IF(BS145="","",ROUND(BS145/365.25,2))</f>
        <v/>
      </c>
      <c r="BU145" s="28" t="str">
        <f aca="false">IF(BS145="","",IF(BS145&gt;=730.5,"Yes","No"))</f>
        <v/>
      </c>
      <c r="BV145" s="27"/>
      <c r="BW145" s="29"/>
      <c r="BX145" s="27"/>
      <c r="BY145" s="27"/>
      <c r="BZ145" s="28" t="str">
        <f aca="false">IF(N(E145)=0,"",IF(E145&lt;65,"Under 65","≥65"))</f>
        <v/>
      </c>
      <c r="CA145" s="28" t="str">
        <f aca="false">IF(OR(AC145="Yes",AC145="No"),AC145,"")</f>
        <v/>
      </c>
      <c r="CB145" s="28" t="str">
        <f aca="false">IF(OR(AD145="Yes",AD145="No"),AD145,"")</f>
        <v/>
      </c>
      <c r="CC145" s="28" t="str">
        <f aca="false">IF(F145="","",F145)</f>
        <v/>
      </c>
      <c r="CD145" s="27"/>
      <c r="CE145" s="27"/>
    </row>
    <row r="146" customFormat="false" ht="15" hidden="false" customHeight="false" outlineLevel="0" collapsed="false">
      <c r="A146" s="27"/>
      <c r="B146" s="27"/>
      <c r="C146" s="27"/>
      <c r="D146" s="27"/>
      <c r="E146" s="27"/>
      <c r="F146" s="27"/>
      <c r="G146" s="27"/>
      <c r="H146" s="27"/>
      <c r="I146" s="27"/>
      <c r="J146" s="28" t="str">
        <f aca="false">IF(AND(N(H146)&gt;0,N(I146)&gt;0),ROUND(I146/(H146/100)^2,1),"")</f>
        <v/>
      </c>
      <c r="K146" s="27"/>
      <c r="L146" s="27"/>
      <c r="M146" s="27"/>
      <c r="N146" s="27"/>
      <c r="O146" s="27"/>
      <c r="P146" s="27"/>
      <c r="Q146" s="27"/>
      <c r="R146" s="29"/>
      <c r="S146" s="29"/>
      <c r="T146" s="27"/>
      <c r="U146" s="28" t="str">
        <f aca="false">IF(N(T146)=0,"",IF(T146&lt;12,"Under 12 months",IF(T146&lt;36,"12-35 months",IF(T146&lt;60,"36-59 months","≥60 months"))))</f>
        <v/>
      </c>
      <c r="V146" s="27"/>
      <c r="W146" s="30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9"/>
      <c r="AT146" s="30"/>
      <c r="AU146" s="30"/>
      <c r="AV146" s="30"/>
      <c r="AW146" s="27"/>
      <c r="AX146" s="27"/>
      <c r="AY146" s="29"/>
      <c r="AZ146" s="27"/>
      <c r="BA146" s="27"/>
      <c r="BB146" s="29"/>
      <c r="BC146" s="30"/>
      <c r="BD146" s="30"/>
      <c r="BE146" s="30"/>
      <c r="BF146" s="27"/>
      <c r="BG146" s="27"/>
      <c r="BH146" s="28" t="str">
        <f aca="false">IF(COUNT(BC146:BE146)=0,"",IF(MIN(BC146:BE146)&lt;=-2.5,"Yes","No"))</f>
        <v/>
      </c>
      <c r="BI146" s="27"/>
      <c r="BJ146" s="29"/>
      <c r="BK146" s="27"/>
      <c r="BL146" s="27"/>
      <c r="BM146" s="27"/>
      <c r="BN146" s="28" t="str">
        <f aca="false">IF(OR(AX146="Yes",BI146="Yes"),"Yes",IF(AND(AX146="No",BI146="No"),"No",IF(AND(AX146="",BI146=""),"","Unknown")))</f>
        <v/>
      </c>
      <c r="BO146" s="31" t="str">
        <f aca="false">IF(COUNT(AY146,BJ146)=0,"",MIN(AY146,BJ146))</f>
        <v/>
      </c>
      <c r="BP146" s="29"/>
      <c r="BQ146" s="29"/>
      <c r="BR146" s="29"/>
      <c r="BS146" s="28" t="str">
        <f aca="false">IF(AND(N(BP146)&gt;0,N(BR146)&gt;0),BR146-BP146,"")</f>
        <v/>
      </c>
      <c r="BT146" s="28" t="str">
        <f aca="false">IF(BS146="","",ROUND(BS146/365.25,2))</f>
        <v/>
      </c>
      <c r="BU146" s="28" t="str">
        <f aca="false">IF(BS146="","",IF(BS146&gt;=730.5,"Yes","No"))</f>
        <v/>
      </c>
      <c r="BV146" s="27"/>
      <c r="BW146" s="29"/>
      <c r="BX146" s="27"/>
      <c r="BY146" s="27"/>
      <c r="BZ146" s="28" t="str">
        <f aca="false">IF(N(E146)=0,"",IF(E146&lt;65,"Under 65","≥65"))</f>
        <v/>
      </c>
      <c r="CA146" s="28" t="str">
        <f aca="false">IF(OR(AC146="Yes",AC146="No"),AC146,"")</f>
        <v/>
      </c>
      <c r="CB146" s="28" t="str">
        <f aca="false">IF(OR(AD146="Yes",AD146="No"),AD146,"")</f>
        <v/>
      </c>
      <c r="CC146" s="28" t="str">
        <f aca="false">IF(F146="","",F146)</f>
        <v/>
      </c>
      <c r="CD146" s="27"/>
      <c r="CE146" s="27"/>
    </row>
    <row r="147" customFormat="false" ht="15" hidden="false" customHeight="false" outlineLevel="0" collapsed="false">
      <c r="A147" s="27"/>
      <c r="B147" s="27"/>
      <c r="C147" s="27"/>
      <c r="D147" s="27"/>
      <c r="E147" s="27"/>
      <c r="F147" s="27"/>
      <c r="G147" s="27"/>
      <c r="H147" s="27"/>
      <c r="I147" s="27"/>
      <c r="J147" s="28" t="str">
        <f aca="false">IF(AND(N(H147)&gt;0,N(I147)&gt;0),ROUND(I147/(H147/100)^2,1),"")</f>
        <v/>
      </c>
      <c r="K147" s="27"/>
      <c r="L147" s="27"/>
      <c r="M147" s="27"/>
      <c r="N147" s="27"/>
      <c r="O147" s="27"/>
      <c r="P147" s="27"/>
      <c r="Q147" s="27"/>
      <c r="R147" s="29"/>
      <c r="S147" s="29"/>
      <c r="T147" s="27"/>
      <c r="U147" s="28" t="str">
        <f aca="false">IF(N(T147)=0,"",IF(T147&lt;12,"Under 12 months",IF(T147&lt;36,"12-35 months",IF(T147&lt;60,"36-59 months","≥60 months"))))</f>
        <v/>
      </c>
      <c r="V147" s="27"/>
      <c r="W147" s="30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9"/>
      <c r="AT147" s="30"/>
      <c r="AU147" s="30"/>
      <c r="AV147" s="30"/>
      <c r="AW147" s="27"/>
      <c r="AX147" s="27"/>
      <c r="AY147" s="29"/>
      <c r="AZ147" s="27"/>
      <c r="BA147" s="27"/>
      <c r="BB147" s="29"/>
      <c r="BC147" s="30"/>
      <c r="BD147" s="30"/>
      <c r="BE147" s="30"/>
      <c r="BF147" s="27"/>
      <c r="BG147" s="27"/>
      <c r="BH147" s="28" t="str">
        <f aca="false">IF(COUNT(BC147:BE147)=0,"",IF(MIN(BC147:BE147)&lt;=-2.5,"Yes","No"))</f>
        <v/>
      </c>
      <c r="BI147" s="27"/>
      <c r="BJ147" s="29"/>
      <c r="BK147" s="27"/>
      <c r="BL147" s="27"/>
      <c r="BM147" s="27"/>
      <c r="BN147" s="28" t="str">
        <f aca="false">IF(OR(AX147="Yes",BI147="Yes"),"Yes",IF(AND(AX147="No",BI147="No"),"No",IF(AND(AX147="",BI147=""),"","Unknown")))</f>
        <v/>
      </c>
      <c r="BO147" s="31" t="str">
        <f aca="false">IF(COUNT(AY147,BJ147)=0,"",MIN(AY147,BJ147))</f>
        <v/>
      </c>
      <c r="BP147" s="29"/>
      <c r="BQ147" s="29"/>
      <c r="BR147" s="29"/>
      <c r="BS147" s="28" t="str">
        <f aca="false">IF(AND(N(BP147)&gt;0,N(BR147)&gt;0),BR147-BP147,"")</f>
        <v/>
      </c>
      <c r="BT147" s="28" t="str">
        <f aca="false">IF(BS147="","",ROUND(BS147/365.25,2))</f>
        <v/>
      </c>
      <c r="BU147" s="28" t="str">
        <f aca="false">IF(BS147="","",IF(BS147&gt;=730.5,"Yes","No"))</f>
        <v/>
      </c>
      <c r="BV147" s="27"/>
      <c r="BW147" s="29"/>
      <c r="BX147" s="27"/>
      <c r="BY147" s="27"/>
      <c r="BZ147" s="28" t="str">
        <f aca="false">IF(N(E147)=0,"",IF(E147&lt;65,"Under 65","≥65"))</f>
        <v/>
      </c>
      <c r="CA147" s="28" t="str">
        <f aca="false">IF(OR(AC147="Yes",AC147="No"),AC147,"")</f>
        <v/>
      </c>
      <c r="CB147" s="28" t="str">
        <f aca="false">IF(OR(AD147="Yes",AD147="No"),AD147,"")</f>
        <v/>
      </c>
      <c r="CC147" s="28" t="str">
        <f aca="false">IF(F147="","",F147)</f>
        <v/>
      </c>
      <c r="CD147" s="27"/>
      <c r="CE147" s="27"/>
    </row>
    <row r="148" customFormat="false" ht="15" hidden="false" customHeight="false" outlineLevel="0" collapsed="false">
      <c r="A148" s="27"/>
      <c r="B148" s="27"/>
      <c r="C148" s="27"/>
      <c r="D148" s="27"/>
      <c r="E148" s="27"/>
      <c r="F148" s="27"/>
      <c r="G148" s="27"/>
      <c r="H148" s="27"/>
      <c r="I148" s="27"/>
      <c r="J148" s="28" t="str">
        <f aca="false">IF(AND(N(H148)&gt;0,N(I148)&gt;0),ROUND(I148/(H148/100)^2,1),"")</f>
        <v/>
      </c>
      <c r="K148" s="27"/>
      <c r="L148" s="27"/>
      <c r="M148" s="27"/>
      <c r="N148" s="27"/>
      <c r="O148" s="27"/>
      <c r="P148" s="27"/>
      <c r="Q148" s="27"/>
      <c r="R148" s="29"/>
      <c r="S148" s="29"/>
      <c r="T148" s="27"/>
      <c r="U148" s="28" t="str">
        <f aca="false">IF(N(T148)=0,"",IF(T148&lt;12,"Under 12 months",IF(T148&lt;36,"12-35 months",IF(T148&lt;60,"36-59 months","≥60 months"))))</f>
        <v/>
      </c>
      <c r="V148" s="27"/>
      <c r="W148" s="30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9"/>
      <c r="AT148" s="30"/>
      <c r="AU148" s="30"/>
      <c r="AV148" s="30"/>
      <c r="AW148" s="27"/>
      <c r="AX148" s="27"/>
      <c r="AY148" s="29"/>
      <c r="AZ148" s="27"/>
      <c r="BA148" s="27"/>
      <c r="BB148" s="29"/>
      <c r="BC148" s="30"/>
      <c r="BD148" s="30"/>
      <c r="BE148" s="30"/>
      <c r="BF148" s="27"/>
      <c r="BG148" s="27"/>
      <c r="BH148" s="28" t="str">
        <f aca="false">IF(COUNT(BC148:BE148)=0,"",IF(MIN(BC148:BE148)&lt;=-2.5,"Yes","No"))</f>
        <v/>
      </c>
      <c r="BI148" s="27"/>
      <c r="BJ148" s="29"/>
      <c r="BK148" s="27"/>
      <c r="BL148" s="27"/>
      <c r="BM148" s="27"/>
      <c r="BN148" s="28" t="str">
        <f aca="false">IF(OR(AX148="Yes",BI148="Yes"),"Yes",IF(AND(AX148="No",BI148="No"),"No",IF(AND(AX148="",BI148=""),"","Unknown")))</f>
        <v/>
      </c>
      <c r="BO148" s="31" t="str">
        <f aca="false">IF(COUNT(AY148,BJ148)=0,"",MIN(AY148,BJ148))</f>
        <v/>
      </c>
      <c r="BP148" s="29"/>
      <c r="BQ148" s="29"/>
      <c r="BR148" s="29"/>
      <c r="BS148" s="28" t="str">
        <f aca="false">IF(AND(N(BP148)&gt;0,N(BR148)&gt;0),BR148-BP148,"")</f>
        <v/>
      </c>
      <c r="BT148" s="28" t="str">
        <f aca="false">IF(BS148="","",ROUND(BS148/365.25,2))</f>
        <v/>
      </c>
      <c r="BU148" s="28" t="str">
        <f aca="false">IF(BS148="","",IF(BS148&gt;=730.5,"Yes","No"))</f>
        <v/>
      </c>
      <c r="BV148" s="27"/>
      <c r="BW148" s="29"/>
      <c r="BX148" s="27"/>
      <c r="BY148" s="27"/>
      <c r="BZ148" s="28" t="str">
        <f aca="false">IF(N(E148)=0,"",IF(E148&lt;65,"Under 65","≥65"))</f>
        <v/>
      </c>
      <c r="CA148" s="28" t="str">
        <f aca="false">IF(OR(AC148="Yes",AC148="No"),AC148,"")</f>
        <v/>
      </c>
      <c r="CB148" s="28" t="str">
        <f aca="false">IF(OR(AD148="Yes",AD148="No"),AD148,"")</f>
        <v/>
      </c>
      <c r="CC148" s="28" t="str">
        <f aca="false">IF(F148="","",F148)</f>
        <v/>
      </c>
      <c r="CD148" s="27"/>
      <c r="CE148" s="27"/>
    </row>
    <row r="149" customFormat="false" ht="15" hidden="false" customHeight="false" outlineLevel="0" collapsed="false">
      <c r="A149" s="27"/>
      <c r="B149" s="27"/>
      <c r="C149" s="27"/>
      <c r="D149" s="27"/>
      <c r="E149" s="27"/>
      <c r="F149" s="27"/>
      <c r="G149" s="27"/>
      <c r="H149" s="27"/>
      <c r="I149" s="27"/>
      <c r="J149" s="28" t="str">
        <f aca="false">IF(AND(N(H149)&gt;0,N(I149)&gt;0),ROUND(I149/(H149/100)^2,1),"")</f>
        <v/>
      </c>
      <c r="K149" s="27"/>
      <c r="L149" s="27"/>
      <c r="M149" s="27"/>
      <c r="N149" s="27"/>
      <c r="O149" s="27"/>
      <c r="P149" s="27"/>
      <c r="Q149" s="27"/>
      <c r="R149" s="29"/>
      <c r="S149" s="29"/>
      <c r="T149" s="27"/>
      <c r="U149" s="28" t="str">
        <f aca="false">IF(N(T149)=0,"",IF(T149&lt;12,"Under 12 months",IF(T149&lt;36,"12-35 months",IF(T149&lt;60,"36-59 months","≥60 months"))))</f>
        <v/>
      </c>
      <c r="V149" s="27"/>
      <c r="W149" s="30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9"/>
      <c r="AT149" s="30"/>
      <c r="AU149" s="30"/>
      <c r="AV149" s="30"/>
      <c r="AW149" s="27"/>
      <c r="AX149" s="27"/>
      <c r="AY149" s="29"/>
      <c r="AZ149" s="27"/>
      <c r="BA149" s="27"/>
      <c r="BB149" s="29"/>
      <c r="BC149" s="30"/>
      <c r="BD149" s="30"/>
      <c r="BE149" s="30"/>
      <c r="BF149" s="27"/>
      <c r="BG149" s="27"/>
      <c r="BH149" s="28" t="str">
        <f aca="false">IF(COUNT(BC149:BE149)=0,"",IF(MIN(BC149:BE149)&lt;=-2.5,"Yes","No"))</f>
        <v/>
      </c>
      <c r="BI149" s="27"/>
      <c r="BJ149" s="29"/>
      <c r="BK149" s="27"/>
      <c r="BL149" s="27"/>
      <c r="BM149" s="27"/>
      <c r="BN149" s="28" t="str">
        <f aca="false">IF(OR(AX149="Yes",BI149="Yes"),"Yes",IF(AND(AX149="No",BI149="No"),"No",IF(AND(AX149="",BI149=""),"","Unknown")))</f>
        <v/>
      </c>
      <c r="BO149" s="31" t="str">
        <f aca="false">IF(COUNT(AY149,BJ149)=0,"",MIN(AY149,BJ149))</f>
        <v/>
      </c>
      <c r="BP149" s="29"/>
      <c r="BQ149" s="29"/>
      <c r="BR149" s="29"/>
      <c r="BS149" s="28" t="str">
        <f aca="false">IF(AND(N(BP149)&gt;0,N(BR149)&gt;0),BR149-BP149,"")</f>
        <v/>
      </c>
      <c r="BT149" s="28" t="str">
        <f aca="false">IF(BS149="","",ROUND(BS149/365.25,2))</f>
        <v/>
      </c>
      <c r="BU149" s="28" t="str">
        <f aca="false">IF(BS149="","",IF(BS149&gt;=730.5,"Yes","No"))</f>
        <v/>
      </c>
      <c r="BV149" s="27"/>
      <c r="BW149" s="29"/>
      <c r="BX149" s="27"/>
      <c r="BY149" s="27"/>
      <c r="BZ149" s="28" t="str">
        <f aca="false">IF(N(E149)=0,"",IF(E149&lt;65,"Under 65","≥65"))</f>
        <v/>
      </c>
      <c r="CA149" s="28" t="str">
        <f aca="false">IF(OR(AC149="Yes",AC149="No"),AC149,"")</f>
        <v/>
      </c>
      <c r="CB149" s="28" t="str">
        <f aca="false">IF(OR(AD149="Yes",AD149="No"),AD149,"")</f>
        <v/>
      </c>
      <c r="CC149" s="28" t="str">
        <f aca="false">IF(F149="","",F149)</f>
        <v/>
      </c>
      <c r="CD149" s="27"/>
      <c r="CE149" s="27"/>
    </row>
    <row r="150" customFormat="false" ht="15" hidden="false" customHeight="false" outlineLevel="0" collapsed="false">
      <c r="A150" s="27"/>
      <c r="B150" s="27"/>
      <c r="C150" s="27"/>
      <c r="D150" s="27"/>
      <c r="E150" s="27"/>
      <c r="F150" s="27"/>
      <c r="G150" s="27"/>
      <c r="H150" s="27"/>
      <c r="I150" s="27"/>
      <c r="J150" s="28" t="str">
        <f aca="false">IF(AND(N(H150)&gt;0,N(I150)&gt;0),ROUND(I150/(H150/100)^2,1),"")</f>
        <v/>
      </c>
      <c r="K150" s="27"/>
      <c r="L150" s="27"/>
      <c r="M150" s="27"/>
      <c r="N150" s="27"/>
      <c r="O150" s="27"/>
      <c r="P150" s="27"/>
      <c r="Q150" s="27"/>
      <c r="R150" s="29"/>
      <c r="S150" s="29"/>
      <c r="T150" s="27"/>
      <c r="U150" s="28" t="str">
        <f aca="false">IF(N(T150)=0,"",IF(T150&lt;12,"Under 12 months",IF(T150&lt;36,"12-35 months",IF(T150&lt;60,"36-59 months","≥60 months"))))</f>
        <v/>
      </c>
      <c r="V150" s="27"/>
      <c r="W150" s="30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9"/>
      <c r="AT150" s="30"/>
      <c r="AU150" s="30"/>
      <c r="AV150" s="30"/>
      <c r="AW150" s="27"/>
      <c r="AX150" s="27"/>
      <c r="AY150" s="29"/>
      <c r="AZ150" s="27"/>
      <c r="BA150" s="27"/>
      <c r="BB150" s="29"/>
      <c r="BC150" s="30"/>
      <c r="BD150" s="30"/>
      <c r="BE150" s="30"/>
      <c r="BF150" s="27"/>
      <c r="BG150" s="27"/>
      <c r="BH150" s="28" t="str">
        <f aca="false">IF(COUNT(BC150:BE150)=0,"",IF(MIN(BC150:BE150)&lt;=-2.5,"Yes","No"))</f>
        <v/>
      </c>
      <c r="BI150" s="27"/>
      <c r="BJ150" s="29"/>
      <c r="BK150" s="27"/>
      <c r="BL150" s="27"/>
      <c r="BM150" s="27"/>
      <c r="BN150" s="28" t="str">
        <f aca="false">IF(OR(AX150="Yes",BI150="Yes"),"Yes",IF(AND(AX150="No",BI150="No"),"No",IF(AND(AX150="",BI150=""),"","Unknown")))</f>
        <v/>
      </c>
      <c r="BO150" s="31" t="str">
        <f aca="false">IF(COUNT(AY150,BJ150)=0,"",MIN(AY150,BJ150))</f>
        <v/>
      </c>
      <c r="BP150" s="29"/>
      <c r="BQ150" s="29"/>
      <c r="BR150" s="29"/>
      <c r="BS150" s="28" t="str">
        <f aca="false">IF(AND(N(BP150)&gt;0,N(BR150)&gt;0),BR150-BP150,"")</f>
        <v/>
      </c>
      <c r="BT150" s="28" t="str">
        <f aca="false">IF(BS150="","",ROUND(BS150/365.25,2))</f>
        <v/>
      </c>
      <c r="BU150" s="28" t="str">
        <f aca="false">IF(BS150="","",IF(BS150&gt;=730.5,"Yes","No"))</f>
        <v/>
      </c>
      <c r="BV150" s="27"/>
      <c r="BW150" s="29"/>
      <c r="BX150" s="27"/>
      <c r="BY150" s="27"/>
      <c r="BZ150" s="28" t="str">
        <f aca="false">IF(N(E150)=0,"",IF(E150&lt;65,"Under 65","≥65"))</f>
        <v/>
      </c>
      <c r="CA150" s="28" t="str">
        <f aca="false">IF(OR(AC150="Yes",AC150="No"),AC150,"")</f>
        <v/>
      </c>
      <c r="CB150" s="28" t="str">
        <f aca="false">IF(OR(AD150="Yes",AD150="No"),AD150,"")</f>
        <v/>
      </c>
      <c r="CC150" s="28" t="str">
        <f aca="false">IF(F150="","",F150)</f>
        <v/>
      </c>
      <c r="CD150" s="27"/>
      <c r="CE150" s="27"/>
    </row>
    <row r="151" customFormat="false" ht="15" hidden="false" customHeight="false" outlineLevel="0" collapsed="false">
      <c r="A151" s="27"/>
      <c r="B151" s="27"/>
      <c r="C151" s="27"/>
      <c r="D151" s="27"/>
      <c r="E151" s="27"/>
      <c r="F151" s="27"/>
      <c r="G151" s="27"/>
      <c r="H151" s="27"/>
      <c r="I151" s="27"/>
      <c r="J151" s="28" t="str">
        <f aca="false">IF(AND(N(H151)&gt;0,N(I151)&gt;0),ROUND(I151/(H151/100)^2,1),"")</f>
        <v/>
      </c>
      <c r="K151" s="27"/>
      <c r="L151" s="27"/>
      <c r="M151" s="27"/>
      <c r="N151" s="27"/>
      <c r="O151" s="27"/>
      <c r="P151" s="27"/>
      <c r="Q151" s="27"/>
      <c r="R151" s="29"/>
      <c r="S151" s="29"/>
      <c r="T151" s="27"/>
      <c r="U151" s="28" t="str">
        <f aca="false">IF(N(T151)=0,"",IF(T151&lt;12,"Under 12 months",IF(T151&lt;36,"12-35 months",IF(T151&lt;60,"36-59 months","≥60 months"))))</f>
        <v/>
      </c>
      <c r="V151" s="27"/>
      <c r="W151" s="30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9"/>
      <c r="AT151" s="30"/>
      <c r="AU151" s="30"/>
      <c r="AV151" s="30"/>
      <c r="AW151" s="27"/>
      <c r="AX151" s="27"/>
      <c r="AY151" s="29"/>
      <c r="AZ151" s="27"/>
      <c r="BA151" s="27"/>
      <c r="BB151" s="29"/>
      <c r="BC151" s="30"/>
      <c r="BD151" s="30"/>
      <c r="BE151" s="30"/>
      <c r="BF151" s="27"/>
      <c r="BG151" s="27"/>
      <c r="BH151" s="28" t="str">
        <f aca="false">IF(COUNT(BC151:BE151)=0,"",IF(MIN(BC151:BE151)&lt;=-2.5,"Yes","No"))</f>
        <v/>
      </c>
      <c r="BI151" s="27"/>
      <c r="BJ151" s="29"/>
      <c r="BK151" s="27"/>
      <c r="BL151" s="27"/>
      <c r="BM151" s="27"/>
      <c r="BN151" s="28" t="str">
        <f aca="false">IF(OR(AX151="Yes",BI151="Yes"),"Yes",IF(AND(AX151="No",BI151="No"),"No",IF(AND(AX151="",BI151=""),"","Unknown")))</f>
        <v/>
      </c>
      <c r="BO151" s="31" t="str">
        <f aca="false">IF(COUNT(AY151,BJ151)=0,"",MIN(AY151,BJ151))</f>
        <v/>
      </c>
      <c r="BP151" s="29"/>
      <c r="BQ151" s="29"/>
      <c r="BR151" s="29"/>
      <c r="BS151" s="28" t="str">
        <f aca="false">IF(AND(N(BP151)&gt;0,N(BR151)&gt;0),BR151-BP151,"")</f>
        <v/>
      </c>
      <c r="BT151" s="28" t="str">
        <f aca="false">IF(BS151="","",ROUND(BS151/365.25,2))</f>
        <v/>
      </c>
      <c r="BU151" s="28" t="str">
        <f aca="false">IF(BS151="","",IF(BS151&gt;=730.5,"Yes","No"))</f>
        <v/>
      </c>
      <c r="BV151" s="27"/>
      <c r="BW151" s="29"/>
      <c r="BX151" s="27"/>
      <c r="BY151" s="27"/>
      <c r="BZ151" s="28" t="str">
        <f aca="false">IF(N(E151)=0,"",IF(E151&lt;65,"Under 65","≥65"))</f>
        <v/>
      </c>
      <c r="CA151" s="28" t="str">
        <f aca="false">IF(OR(AC151="Yes",AC151="No"),AC151,"")</f>
        <v/>
      </c>
      <c r="CB151" s="28" t="str">
        <f aca="false">IF(OR(AD151="Yes",AD151="No"),AD151,"")</f>
        <v/>
      </c>
      <c r="CC151" s="28" t="str">
        <f aca="false">IF(F151="","",F151)</f>
        <v/>
      </c>
      <c r="CD151" s="27"/>
      <c r="CE151" s="27"/>
    </row>
    <row r="152" customFormat="false" ht="15" hidden="false" customHeight="false" outlineLevel="0" collapsed="false">
      <c r="A152" s="27"/>
      <c r="B152" s="27"/>
      <c r="C152" s="27"/>
      <c r="D152" s="27"/>
      <c r="E152" s="27"/>
      <c r="F152" s="27"/>
      <c r="G152" s="27"/>
      <c r="H152" s="27"/>
      <c r="I152" s="27"/>
      <c r="J152" s="28" t="str">
        <f aca="false">IF(AND(N(H152)&gt;0,N(I152)&gt;0),ROUND(I152/(H152/100)^2,1),"")</f>
        <v/>
      </c>
      <c r="K152" s="27"/>
      <c r="L152" s="27"/>
      <c r="M152" s="27"/>
      <c r="N152" s="27"/>
      <c r="O152" s="27"/>
      <c r="P152" s="27"/>
      <c r="Q152" s="27"/>
      <c r="R152" s="29"/>
      <c r="S152" s="29"/>
      <c r="T152" s="27"/>
      <c r="U152" s="28" t="str">
        <f aca="false">IF(N(T152)=0,"",IF(T152&lt;12,"Under 12 months",IF(T152&lt;36,"12-35 months",IF(T152&lt;60,"36-59 months","≥60 months"))))</f>
        <v/>
      </c>
      <c r="V152" s="27"/>
      <c r="W152" s="30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9"/>
      <c r="AT152" s="30"/>
      <c r="AU152" s="30"/>
      <c r="AV152" s="30"/>
      <c r="AW152" s="27"/>
      <c r="AX152" s="27"/>
      <c r="AY152" s="29"/>
      <c r="AZ152" s="27"/>
      <c r="BA152" s="27"/>
      <c r="BB152" s="29"/>
      <c r="BC152" s="30"/>
      <c r="BD152" s="30"/>
      <c r="BE152" s="30"/>
      <c r="BF152" s="27"/>
      <c r="BG152" s="27"/>
      <c r="BH152" s="28" t="str">
        <f aca="false">IF(COUNT(BC152:BE152)=0,"",IF(MIN(BC152:BE152)&lt;=-2.5,"Yes","No"))</f>
        <v/>
      </c>
      <c r="BI152" s="27"/>
      <c r="BJ152" s="29"/>
      <c r="BK152" s="27"/>
      <c r="BL152" s="27"/>
      <c r="BM152" s="27"/>
      <c r="BN152" s="28" t="str">
        <f aca="false">IF(OR(AX152="Yes",BI152="Yes"),"Yes",IF(AND(AX152="No",BI152="No"),"No",IF(AND(AX152="",BI152=""),"","Unknown")))</f>
        <v/>
      </c>
      <c r="BO152" s="31" t="str">
        <f aca="false">IF(COUNT(AY152,BJ152)=0,"",MIN(AY152,BJ152))</f>
        <v/>
      </c>
      <c r="BP152" s="29"/>
      <c r="BQ152" s="29"/>
      <c r="BR152" s="29"/>
      <c r="BS152" s="28" t="str">
        <f aca="false">IF(AND(N(BP152)&gt;0,N(BR152)&gt;0),BR152-BP152,"")</f>
        <v/>
      </c>
      <c r="BT152" s="28" t="str">
        <f aca="false">IF(BS152="","",ROUND(BS152/365.25,2))</f>
        <v/>
      </c>
      <c r="BU152" s="28" t="str">
        <f aca="false">IF(BS152="","",IF(BS152&gt;=730.5,"Yes","No"))</f>
        <v/>
      </c>
      <c r="BV152" s="27"/>
      <c r="BW152" s="29"/>
      <c r="BX152" s="27"/>
      <c r="BY152" s="27"/>
      <c r="BZ152" s="28" t="str">
        <f aca="false">IF(N(E152)=0,"",IF(E152&lt;65,"Under 65","≥65"))</f>
        <v/>
      </c>
      <c r="CA152" s="28" t="str">
        <f aca="false">IF(OR(AC152="Yes",AC152="No"),AC152,"")</f>
        <v/>
      </c>
      <c r="CB152" s="28" t="str">
        <f aca="false">IF(OR(AD152="Yes",AD152="No"),AD152,"")</f>
        <v/>
      </c>
      <c r="CC152" s="28" t="str">
        <f aca="false">IF(F152="","",F152)</f>
        <v/>
      </c>
      <c r="CD152" s="27"/>
      <c r="CE152" s="27"/>
    </row>
    <row r="153" customFormat="false" ht="15" hidden="false" customHeight="false" outlineLevel="0" collapsed="false">
      <c r="A153" s="27"/>
      <c r="B153" s="27"/>
      <c r="C153" s="27"/>
      <c r="D153" s="27"/>
      <c r="E153" s="27"/>
      <c r="F153" s="27"/>
      <c r="G153" s="27"/>
      <c r="H153" s="27"/>
      <c r="I153" s="27"/>
      <c r="J153" s="28" t="str">
        <f aca="false">IF(AND(N(H153)&gt;0,N(I153)&gt;0),ROUND(I153/(H153/100)^2,1),"")</f>
        <v/>
      </c>
      <c r="K153" s="27"/>
      <c r="L153" s="27"/>
      <c r="M153" s="27"/>
      <c r="N153" s="27"/>
      <c r="O153" s="27"/>
      <c r="P153" s="27"/>
      <c r="Q153" s="27"/>
      <c r="R153" s="29"/>
      <c r="S153" s="29"/>
      <c r="T153" s="27"/>
      <c r="U153" s="28" t="str">
        <f aca="false">IF(N(T153)=0,"",IF(T153&lt;12,"Under 12 months",IF(T153&lt;36,"12-35 months",IF(T153&lt;60,"36-59 months","≥60 months"))))</f>
        <v/>
      </c>
      <c r="V153" s="27"/>
      <c r="W153" s="30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9"/>
      <c r="AT153" s="30"/>
      <c r="AU153" s="30"/>
      <c r="AV153" s="30"/>
      <c r="AW153" s="27"/>
      <c r="AX153" s="27"/>
      <c r="AY153" s="29"/>
      <c r="AZ153" s="27"/>
      <c r="BA153" s="27"/>
      <c r="BB153" s="29"/>
      <c r="BC153" s="30"/>
      <c r="BD153" s="30"/>
      <c r="BE153" s="30"/>
      <c r="BF153" s="27"/>
      <c r="BG153" s="27"/>
      <c r="BH153" s="28" t="str">
        <f aca="false">IF(COUNT(BC153:BE153)=0,"",IF(MIN(BC153:BE153)&lt;=-2.5,"Yes","No"))</f>
        <v/>
      </c>
      <c r="BI153" s="27"/>
      <c r="BJ153" s="29"/>
      <c r="BK153" s="27"/>
      <c r="BL153" s="27"/>
      <c r="BM153" s="27"/>
      <c r="BN153" s="28" t="str">
        <f aca="false">IF(OR(AX153="Yes",BI153="Yes"),"Yes",IF(AND(AX153="No",BI153="No"),"No",IF(AND(AX153="",BI153=""),"","Unknown")))</f>
        <v/>
      </c>
      <c r="BO153" s="31" t="str">
        <f aca="false">IF(COUNT(AY153,BJ153)=0,"",MIN(AY153,BJ153))</f>
        <v/>
      </c>
      <c r="BP153" s="29"/>
      <c r="BQ153" s="29"/>
      <c r="BR153" s="29"/>
      <c r="BS153" s="28" t="str">
        <f aca="false">IF(AND(N(BP153)&gt;0,N(BR153)&gt;0),BR153-BP153,"")</f>
        <v/>
      </c>
      <c r="BT153" s="28" t="str">
        <f aca="false">IF(BS153="","",ROUND(BS153/365.25,2))</f>
        <v/>
      </c>
      <c r="BU153" s="28" t="str">
        <f aca="false">IF(BS153="","",IF(BS153&gt;=730.5,"Yes","No"))</f>
        <v/>
      </c>
      <c r="BV153" s="27"/>
      <c r="BW153" s="29"/>
      <c r="BX153" s="27"/>
      <c r="BY153" s="27"/>
      <c r="BZ153" s="28" t="str">
        <f aca="false">IF(N(E153)=0,"",IF(E153&lt;65,"Under 65","≥65"))</f>
        <v/>
      </c>
      <c r="CA153" s="28" t="str">
        <f aca="false">IF(OR(AC153="Yes",AC153="No"),AC153,"")</f>
        <v/>
      </c>
      <c r="CB153" s="28" t="str">
        <f aca="false">IF(OR(AD153="Yes",AD153="No"),AD153,"")</f>
        <v/>
      </c>
      <c r="CC153" s="28" t="str">
        <f aca="false">IF(F153="","",F153)</f>
        <v/>
      </c>
      <c r="CD153" s="27"/>
      <c r="CE153" s="27"/>
    </row>
    <row r="154" customFormat="false" ht="15" hidden="false" customHeight="false" outlineLevel="0" collapsed="false">
      <c r="A154" s="27"/>
      <c r="B154" s="27"/>
      <c r="C154" s="27"/>
      <c r="D154" s="27"/>
      <c r="E154" s="27"/>
      <c r="F154" s="27"/>
      <c r="G154" s="27"/>
      <c r="H154" s="27"/>
      <c r="I154" s="27"/>
      <c r="J154" s="28" t="str">
        <f aca="false">IF(AND(N(H154)&gt;0,N(I154)&gt;0),ROUND(I154/(H154/100)^2,1),"")</f>
        <v/>
      </c>
      <c r="K154" s="27"/>
      <c r="L154" s="27"/>
      <c r="M154" s="27"/>
      <c r="N154" s="27"/>
      <c r="O154" s="27"/>
      <c r="P154" s="27"/>
      <c r="Q154" s="27"/>
      <c r="R154" s="29"/>
      <c r="S154" s="29"/>
      <c r="T154" s="27"/>
      <c r="U154" s="28" t="str">
        <f aca="false">IF(N(T154)=0,"",IF(T154&lt;12,"Under 12 months",IF(T154&lt;36,"12-35 months",IF(T154&lt;60,"36-59 months","≥60 months"))))</f>
        <v/>
      </c>
      <c r="V154" s="27"/>
      <c r="W154" s="30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9"/>
      <c r="AT154" s="30"/>
      <c r="AU154" s="30"/>
      <c r="AV154" s="30"/>
      <c r="AW154" s="27"/>
      <c r="AX154" s="27"/>
      <c r="AY154" s="29"/>
      <c r="AZ154" s="27"/>
      <c r="BA154" s="27"/>
      <c r="BB154" s="29"/>
      <c r="BC154" s="30"/>
      <c r="BD154" s="30"/>
      <c r="BE154" s="30"/>
      <c r="BF154" s="27"/>
      <c r="BG154" s="27"/>
      <c r="BH154" s="28" t="str">
        <f aca="false">IF(COUNT(BC154:BE154)=0,"",IF(MIN(BC154:BE154)&lt;=-2.5,"Yes","No"))</f>
        <v/>
      </c>
      <c r="BI154" s="27"/>
      <c r="BJ154" s="29"/>
      <c r="BK154" s="27"/>
      <c r="BL154" s="27"/>
      <c r="BM154" s="27"/>
      <c r="BN154" s="28" t="str">
        <f aca="false">IF(OR(AX154="Yes",BI154="Yes"),"Yes",IF(AND(AX154="No",BI154="No"),"No",IF(AND(AX154="",BI154=""),"","Unknown")))</f>
        <v/>
      </c>
      <c r="BO154" s="31" t="str">
        <f aca="false">IF(COUNT(AY154,BJ154)=0,"",MIN(AY154,BJ154))</f>
        <v/>
      </c>
      <c r="BP154" s="29"/>
      <c r="BQ154" s="29"/>
      <c r="BR154" s="29"/>
      <c r="BS154" s="28" t="str">
        <f aca="false">IF(AND(N(BP154)&gt;0,N(BR154)&gt;0),BR154-BP154,"")</f>
        <v/>
      </c>
      <c r="BT154" s="28" t="str">
        <f aca="false">IF(BS154="","",ROUND(BS154/365.25,2))</f>
        <v/>
      </c>
      <c r="BU154" s="28" t="str">
        <f aca="false">IF(BS154="","",IF(BS154&gt;=730.5,"Yes","No"))</f>
        <v/>
      </c>
      <c r="BV154" s="27"/>
      <c r="BW154" s="29"/>
      <c r="BX154" s="27"/>
      <c r="BY154" s="27"/>
      <c r="BZ154" s="28" t="str">
        <f aca="false">IF(N(E154)=0,"",IF(E154&lt;65,"Under 65","≥65"))</f>
        <v/>
      </c>
      <c r="CA154" s="28" t="str">
        <f aca="false">IF(OR(AC154="Yes",AC154="No"),AC154,"")</f>
        <v/>
      </c>
      <c r="CB154" s="28" t="str">
        <f aca="false">IF(OR(AD154="Yes",AD154="No"),AD154,"")</f>
        <v/>
      </c>
      <c r="CC154" s="28" t="str">
        <f aca="false">IF(F154="","",F154)</f>
        <v/>
      </c>
      <c r="CD154" s="27"/>
      <c r="CE154" s="27"/>
    </row>
    <row r="155" customFormat="false" ht="15" hidden="false" customHeight="false" outlineLevel="0" collapsed="false">
      <c r="A155" s="27"/>
      <c r="B155" s="27"/>
      <c r="C155" s="27"/>
      <c r="D155" s="27"/>
      <c r="E155" s="27"/>
      <c r="F155" s="27"/>
      <c r="G155" s="27"/>
      <c r="H155" s="27"/>
      <c r="I155" s="27"/>
      <c r="J155" s="28" t="str">
        <f aca="false">IF(AND(N(H155)&gt;0,N(I155)&gt;0),ROUND(I155/(H155/100)^2,1),"")</f>
        <v/>
      </c>
      <c r="K155" s="27"/>
      <c r="L155" s="27"/>
      <c r="M155" s="27"/>
      <c r="N155" s="27"/>
      <c r="O155" s="27"/>
      <c r="P155" s="27"/>
      <c r="Q155" s="27"/>
      <c r="R155" s="29"/>
      <c r="S155" s="29"/>
      <c r="T155" s="27"/>
      <c r="U155" s="28" t="str">
        <f aca="false">IF(N(T155)=0,"",IF(T155&lt;12,"Under 12 months",IF(T155&lt;36,"12-35 months",IF(T155&lt;60,"36-59 months","≥60 months"))))</f>
        <v/>
      </c>
      <c r="V155" s="27"/>
      <c r="W155" s="30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9"/>
      <c r="AT155" s="30"/>
      <c r="AU155" s="30"/>
      <c r="AV155" s="30"/>
      <c r="AW155" s="27"/>
      <c r="AX155" s="27"/>
      <c r="AY155" s="29"/>
      <c r="AZ155" s="27"/>
      <c r="BA155" s="27"/>
      <c r="BB155" s="29"/>
      <c r="BC155" s="30"/>
      <c r="BD155" s="30"/>
      <c r="BE155" s="30"/>
      <c r="BF155" s="27"/>
      <c r="BG155" s="27"/>
      <c r="BH155" s="28" t="str">
        <f aca="false">IF(COUNT(BC155:BE155)=0,"",IF(MIN(BC155:BE155)&lt;=-2.5,"Yes","No"))</f>
        <v/>
      </c>
      <c r="BI155" s="27"/>
      <c r="BJ155" s="29"/>
      <c r="BK155" s="27"/>
      <c r="BL155" s="27"/>
      <c r="BM155" s="27"/>
      <c r="BN155" s="28" t="str">
        <f aca="false">IF(OR(AX155="Yes",BI155="Yes"),"Yes",IF(AND(AX155="No",BI155="No"),"No",IF(AND(AX155="",BI155=""),"","Unknown")))</f>
        <v/>
      </c>
      <c r="BO155" s="31" t="str">
        <f aca="false">IF(COUNT(AY155,BJ155)=0,"",MIN(AY155,BJ155))</f>
        <v/>
      </c>
      <c r="BP155" s="29"/>
      <c r="BQ155" s="29"/>
      <c r="BR155" s="29"/>
      <c r="BS155" s="28" t="str">
        <f aca="false">IF(AND(N(BP155)&gt;0,N(BR155)&gt;0),BR155-BP155,"")</f>
        <v/>
      </c>
      <c r="BT155" s="28" t="str">
        <f aca="false">IF(BS155="","",ROUND(BS155/365.25,2))</f>
        <v/>
      </c>
      <c r="BU155" s="28" t="str">
        <f aca="false">IF(BS155="","",IF(BS155&gt;=730.5,"Yes","No"))</f>
        <v/>
      </c>
      <c r="BV155" s="27"/>
      <c r="BW155" s="29"/>
      <c r="BX155" s="27"/>
      <c r="BY155" s="27"/>
      <c r="BZ155" s="28" t="str">
        <f aca="false">IF(N(E155)=0,"",IF(E155&lt;65,"Under 65","≥65"))</f>
        <v/>
      </c>
      <c r="CA155" s="28" t="str">
        <f aca="false">IF(OR(AC155="Yes",AC155="No"),AC155,"")</f>
        <v/>
      </c>
      <c r="CB155" s="28" t="str">
        <f aca="false">IF(OR(AD155="Yes",AD155="No"),AD155,"")</f>
        <v/>
      </c>
      <c r="CC155" s="28" t="str">
        <f aca="false">IF(F155="","",F155)</f>
        <v/>
      </c>
      <c r="CD155" s="27"/>
      <c r="CE155" s="27"/>
    </row>
    <row r="156" customFormat="false" ht="15" hidden="false" customHeight="false" outlineLevel="0" collapsed="false">
      <c r="A156" s="27"/>
      <c r="B156" s="27"/>
      <c r="C156" s="27"/>
      <c r="D156" s="27"/>
      <c r="E156" s="27"/>
      <c r="F156" s="27"/>
      <c r="G156" s="27"/>
      <c r="H156" s="27"/>
      <c r="I156" s="27"/>
      <c r="J156" s="28" t="str">
        <f aca="false">IF(AND(N(H156)&gt;0,N(I156)&gt;0),ROUND(I156/(H156/100)^2,1),"")</f>
        <v/>
      </c>
      <c r="K156" s="27"/>
      <c r="L156" s="27"/>
      <c r="M156" s="27"/>
      <c r="N156" s="27"/>
      <c r="O156" s="27"/>
      <c r="P156" s="27"/>
      <c r="Q156" s="27"/>
      <c r="R156" s="29"/>
      <c r="S156" s="29"/>
      <c r="T156" s="27"/>
      <c r="U156" s="28" t="str">
        <f aca="false">IF(N(T156)=0,"",IF(T156&lt;12,"Under 12 months",IF(T156&lt;36,"12-35 months",IF(T156&lt;60,"36-59 months","≥60 months"))))</f>
        <v/>
      </c>
      <c r="V156" s="27"/>
      <c r="W156" s="30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9"/>
      <c r="AT156" s="30"/>
      <c r="AU156" s="30"/>
      <c r="AV156" s="30"/>
      <c r="AW156" s="27"/>
      <c r="AX156" s="27"/>
      <c r="AY156" s="29"/>
      <c r="AZ156" s="27"/>
      <c r="BA156" s="27"/>
      <c r="BB156" s="29"/>
      <c r="BC156" s="30"/>
      <c r="BD156" s="30"/>
      <c r="BE156" s="30"/>
      <c r="BF156" s="27"/>
      <c r="BG156" s="27"/>
      <c r="BH156" s="28" t="str">
        <f aca="false">IF(COUNT(BC156:BE156)=0,"",IF(MIN(BC156:BE156)&lt;=-2.5,"Yes","No"))</f>
        <v/>
      </c>
      <c r="BI156" s="27"/>
      <c r="BJ156" s="29"/>
      <c r="BK156" s="27"/>
      <c r="BL156" s="27"/>
      <c r="BM156" s="27"/>
      <c r="BN156" s="28" t="str">
        <f aca="false">IF(OR(AX156="Yes",BI156="Yes"),"Yes",IF(AND(AX156="No",BI156="No"),"No",IF(AND(AX156="",BI156=""),"","Unknown")))</f>
        <v/>
      </c>
      <c r="BO156" s="31" t="str">
        <f aca="false">IF(COUNT(AY156,BJ156)=0,"",MIN(AY156,BJ156))</f>
        <v/>
      </c>
      <c r="BP156" s="29"/>
      <c r="BQ156" s="29"/>
      <c r="BR156" s="29"/>
      <c r="BS156" s="28" t="str">
        <f aca="false">IF(AND(N(BP156)&gt;0,N(BR156)&gt;0),BR156-BP156,"")</f>
        <v/>
      </c>
      <c r="BT156" s="28" t="str">
        <f aca="false">IF(BS156="","",ROUND(BS156/365.25,2))</f>
        <v/>
      </c>
      <c r="BU156" s="28" t="str">
        <f aca="false">IF(BS156="","",IF(BS156&gt;=730.5,"Yes","No"))</f>
        <v/>
      </c>
      <c r="BV156" s="27"/>
      <c r="BW156" s="29"/>
      <c r="BX156" s="27"/>
      <c r="BY156" s="27"/>
      <c r="BZ156" s="28" t="str">
        <f aca="false">IF(N(E156)=0,"",IF(E156&lt;65,"Under 65","≥65"))</f>
        <v/>
      </c>
      <c r="CA156" s="28" t="str">
        <f aca="false">IF(OR(AC156="Yes",AC156="No"),AC156,"")</f>
        <v/>
      </c>
      <c r="CB156" s="28" t="str">
        <f aca="false">IF(OR(AD156="Yes",AD156="No"),AD156,"")</f>
        <v/>
      </c>
      <c r="CC156" s="28" t="str">
        <f aca="false">IF(F156="","",F156)</f>
        <v/>
      </c>
      <c r="CD156" s="27"/>
      <c r="CE156" s="27"/>
    </row>
    <row r="157" customFormat="false" ht="15" hidden="false" customHeight="false" outlineLevel="0" collapsed="false">
      <c r="A157" s="27"/>
      <c r="B157" s="27"/>
      <c r="C157" s="27"/>
      <c r="D157" s="27"/>
      <c r="E157" s="27"/>
      <c r="F157" s="27"/>
      <c r="G157" s="27"/>
      <c r="H157" s="27"/>
      <c r="I157" s="27"/>
      <c r="J157" s="28" t="str">
        <f aca="false">IF(AND(N(H157)&gt;0,N(I157)&gt;0),ROUND(I157/(H157/100)^2,1),"")</f>
        <v/>
      </c>
      <c r="K157" s="27"/>
      <c r="L157" s="27"/>
      <c r="M157" s="27"/>
      <c r="N157" s="27"/>
      <c r="O157" s="27"/>
      <c r="P157" s="27"/>
      <c r="Q157" s="27"/>
      <c r="R157" s="29"/>
      <c r="S157" s="29"/>
      <c r="T157" s="27"/>
      <c r="U157" s="28" t="str">
        <f aca="false">IF(N(T157)=0,"",IF(T157&lt;12,"Under 12 months",IF(T157&lt;36,"12-35 months",IF(T157&lt;60,"36-59 months","≥60 months"))))</f>
        <v/>
      </c>
      <c r="V157" s="27"/>
      <c r="W157" s="30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9"/>
      <c r="AT157" s="30"/>
      <c r="AU157" s="30"/>
      <c r="AV157" s="30"/>
      <c r="AW157" s="27"/>
      <c r="AX157" s="27"/>
      <c r="AY157" s="29"/>
      <c r="AZ157" s="27"/>
      <c r="BA157" s="27"/>
      <c r="BB157" s="29"/>
      <c r="BC157" s="30"/>
      <c r="BD157" s="30"/>
      <c r="BE157" s="30"/>
      <c r="BF157" s="27"/>
      <c r="BG157" s="27"/>
      <c r="BH157" s="28" t="str">
        <f aca="false">IF(COUNT(BC157:BE157)=0,"",IF(MIN(BC157:BE157)&lt;=-2.5,"Yes","No"))</f>
        <v/>
      </c>
      <c r="BI157" s="27"/>
      <c r="BJ157" s="29"/>
      <c r="BK157" s="27"/>
      <c r="BL157" s="27"/>
      <c r="BM157" s="27"/>
      <c r="BN157" s="28" t="str">
        <f aca="false">IF(OR(AX157="Yes",BI157="Yes"),"Yes",IF(AND(AX157="No",BI157="No"),"No",IF(AND(AX157="",BI157=""),"","Unknown")))</f>
        <v/>
      </c>
      <c r="BO157" s="31" t="str">
        <f aca="false">IF(COUNT(AY157,BJ157)=0,"",MIN(AY157,BJ157))</f>
        <v/>
      </c>
      <c r="BP157" s="29"/>
      <c r="BQ157" s="29"/>
      <c r="BR157" s="29"/>
      <c r="BS157" s="28" t="str">
        <f aca="false">IF(AND(N(BP157)&gt;0,N(BR157)&gt;0),BR157-BP157,"")</f>
        <v/>
      </c>
      <c r="BT157" s="28" t="str">
        <f aca="false">IF(BS157="","",ROUND(BS157/365.25,2))</f>
        <v/>
      </c>
      <c r="BU157" s="28" t="str">
        <f aca="false">IF(BS157="","",IF(BS157&gt;=730.5,"Yes","No"))</f>
        <v/>
      </c>
      <c r="BV157" s="27"/>
      <c r="BW157" s="29"/>
      <c r="BX157" s="27"/>
      <c r="BY157" s="27"/>
      <c r="BZ157" s="28" t="str">
        <f aca="false">IF(N(E157)=0,"",IF(E157&lt;65,"Under 65","≥65"))</f>
        <v/>
      </c>
      <c r="CA157" s="28" t="str">
        <f aca="false">IF(OR(AC157="Yes",AC157="No"),AC157,"")</f>
        <v/>
      </c>
      <c r="CB157" s="28" t="str">
        <f aca="false">IF(OR(AD157="Yes",AD157="No"),AD157,"")</f>
        <v/>
      </c>
      <c r="CC157" s="28" t="str">
        <f aca="false">IF(F157="","",F157)</f>
        <v/>
      </c>
      <c r="CD157" s="27"/>
      <c r="CE157" s="27"/>
    </row>
    <row r="158" customFormat="false" ht="15" hidden="false" customHeight="false" outlineLevel="0" collapsed="false">
      <c r="A158" s="27"/>
      <c r="B158" s="27"/>
      <c r="C158" s="27"/>
      <c r="D158" s="27"/>
      <c r="E158" s="27"/>
      <c r="F158" s="27"/>
      <c r="G158" s="27"/>
      <c r="H158" s="27"/>
      <c r="I158" s="27"/>
      <c r="J158" s="28" t="str">
        <f aca="false">IF(AND(N(H158)&gt;0,N(I158)&gt;0),ROUND(I158/(H158/100)^2,1),"")</f>
        <v/>
      </c>
      <c r="K158" s="27"/>
      <c r="L158" s="27"/>
      <c r="M158" s="27"/>
      <c r="N158" s="27"/>
      <c r="O158" s="27"/>
      <c r="P158" s="27"/>
      <c r="Q158" s="27"/>
      <c r="R158" s="29"/>
      <c r="S158" s="29"/>
      <c r="T158" s="27"/>
      <c r="U158" s="28" t="str">
        <f aca="false">IF(N(T158)=0,"",IF(T158&lt;12,"Under 12 months",IF(T158&lt;36,"12-35 months",IF(T158&lt;60,"36-59 months","≥60 months"))))</f>
        <v/>
      </c>
      <c r="V158" s="27"/>
      <c r="W158" s="30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9"/>
      <c r="AT158" s="30"/>
      <c r="AU158" s="30"/>
      <c r="AV158" s="30"/>
      <c r="AW158" s="27"/>
      <c r="AX158" s="27"/>
      <c r="AY158" s="29"/>
      <c r="AZ158" s="27"/>
      <c r="BA158" s="27"/>
      <c r="BB158" s="29"/>
      <c r="BC158" s="30"/>
      <c r="BD158" s="30"/>
      <c r="BE158" s="30"/>
      <c r="BF158" s="27"/>
      <c r="BG158" s="27"/>
      <c r="BH158" s="28" t="str">
        <f aca="false">IF(COUNT(BC158:BE158)=0,"",IF(MIN(BC158:BE158)&lt;=-2.5,"Yes","No"))</f>
        <v/>
      </c>
      <c r="BI158" s="27"/>
      <c r="BJ158" s="29"/>
      <c r="BK158" s="27"/>
      <c r="BL158" s="27"/>
      <c r="BM158" s="27"/>
      <c r="BN158" s="28" t="str">
        <f aca="false">IF(OR(AX158="Yes",BI158="Yes"),"Yes",IF(AND(AX158="No",BI158="No"),"No",IF(AND(AX158="",BI158=""),"","Unknown")))</f>
        <v/>
      </c>
      <c r="BO158" s="31" t="str">
        <f aca="false">IF(COUNT(AY158,BJ158)=0,"",MIN(AY158,BJ158))</f>
        <v/>
      </c>
      <c r="BP158" s="29"/>
      <c r="BQ158" s="29"/>
      <c r="BR158" s="29"/>
      <c r="BS158" s="28" t="str">
        <f aca="false">IF(AND(N(BP158)&gt;0,N(BR158)&gt;0),BR158-BP158,"")</f>
        <v/>
      </c>
      <c r="BT158" s="28" t="str">
        <f aca="false">IF(BS158="","",ROUND(BS158/365.25,2))</f>
        <v/>
      </c>
      <c r="BU158" s="28" t="str">
        <f aca="false">IF(BS158="","",IF(BS158&gt;=730.5,"Yes","No"))</f>
        <v/>
      </c>
      <c r="BV158" s="27"/>
      <c r="BW158" s="29"/>
      <c r="BX158" s="27"/>
      <c r="BY158" s="27"/>
      <c r="BZ158" s="28" t="str">
        <f aca="false">IF(N(E158)=0,"",IF(E158&lt;65,"Under 65","≥65"))</f>
        <v/>
      </c>
      <c r="CA158" s="28" t="str">
        <f aca="false">IF(OR(AC158="Yes",AC158="No"),AC158,"")</f>
        <v/>
      </c>
      <c r="CB158" s="28" t="str">
        <f aca="false">IF(OR(AD158="Yes",AD158="No"),AD158,"")</f>
        <v/>
      </c>
      <c r="CC158" s="28" t="str">
        <f aca="false">IF(F158="","",F158)</f>
        <v/>
      </c>
      <c r="CD158" s="27"/>
      <c r="CE158" s="27"/>
    </row>
    <row r="159" customFormat="false" ht="15" hidden="false" customHeight="false" outlineLevel="0" collapsed="false">
      <c r="A159" s="27"/>
      <c r="B159" s="27"/>
      <c r="C159" s="27"/>
      <c r="D159" s="27"/>
      <c r="E159" s="27"/>
      <c r="F159" s="27"/>
      <c r="G159" s="27"/>
      <c r="H159" s="27"/>
      <c r="I159" s="27"/>
      <c r="J159" s="28" t="str">
        <f aca="false">IF(AND(N(H159)&gt;0,N(I159)&gt;0),ROUND(I159/(H159/100)^2,1),"")</f>
        <v/>
      </c>
      <c r="K159" s="27"/>
      <c r="L159" s="27"/>
      <c r="M159" s="27"/>
      <c r="N159" s="27"/>
      <c r="O159" s="27"/>
      <c r="P159" s="27"/>
      <c r="Q159" s="27"/>
      <c r="R159" s="29"/>
      <c r="S159" s="29"/>
      <c r="T159" s="27"/>
      <c r="U159" s="28" t="str">
        <f aca="false">IF(N(T159)=0,"",IF(T159&lt;12,"Under 12 months",IF(T159&lt;36,"12-35 months",IF(T159&lt;60,"36-59 months","≥60 months"))))</f>
        <v/>
      </c>
      <c r="V159" s="27"/>
      <c r="W159" s="30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9"/>
      <c r="AT159" s="30"/>
      <c r="AU159" s="30"/>
      <c r="AV159" s="30"/>
      <c r="AW159" s="27"/>
      <c r="AX159" s="27"/>
      <c r="AY159" s="29"/>
      <c r="AZ159" s="27"/>
      <c r="BA159" s="27"/>
      <c r="BB159" s="29"/>
      <c r="BC159" s="30"/>
      <c r="BD159" s="30"/>
      <c r="BE159" s="30"/>
      <c r="BF159" s="27"/>
      <c r="BG159" s="27"/>
      <c r="BH159" s="28" t="str">
        <f aca="false">IF(COUNT(BC159:BE159)=0,"",IF(MIN(BC159:BE159)&lt;=-2.5,"Yes","No"))</f>
        <v/>
      </c>
      <c r="BI159" s="27"/>
      <c r="BJ159" s="29"/>
      <c r="BK159" s="27"/>
      <c r="BL159" s="27"/>
      <c r="BM159" s="27"/>
      <c r="BN159" s="28" t="str">
        <f aca="false">IF(OR(AX159="Yes",BI159="Yes"),"Yes",IF(AND(AX159="No",BI159="No"),"No",IF(AND(AX159="",BI159=""),"","Unknown")))</f>
        <v/>
      </c>
      <c r="BO159" s="31" t="str">
        <f aca="false">IF(COUNT(AY159,BJ159)=0,"",MIN(AY159,BJ159))</f>
        <v/>
      </c>
      <c r="BP159" s="29"/>
      <c r="BQ159" s="29"/>
      <c r="BR159" s="29"/>
      <c r="BS159" s="28" t="str">
        <f aca="false">IF(AND(N(BP159)&gt;0,N(BR159)&gt;0),BR159-BP159,"")</f>
        <v/>
      </c>
      <c r="BT159" s="28" t="str">
        <f aca="false">IF(BS159="","",ROUND(BS159/365.25,2))</f>
        <v/>
      </c>
      <c r="BU159" s="28" t="str">
        <f aca="false">IF(BS159="","",IF(BS159&gt;=730.5,"Yes","No"))</f>
        <v/>
      </c>
      <c r="BV159" s="27"/>
      <c r="BW159" s="29"/>
      <c r="BX159" s="27"/>
      <c r="BY159" s="27"/>
      <c r="BZ159" s="28" t="str">
        <f aca="false">IF(N(E159)=0,"",IF(E159&lt;65,"Under 65","≥65"))</f>
        <v/>
      </c>
      <c r="CA159" s="28" t="str">
        <f aca="false">IF(OR(AC159="Yes",AC159="No"),AC159,"")</f>
        <v/>
      </c>
      <c r="CB159" s="28" t="str">
        <f aca="false">IF(OR(AD159="Yes",AD159="No"),AD159,"")</f>
        <v/>
      </c>
      <c r="CC159" s="28" t="str">
        <f aca="false">IF(F159="","",F159)</f>
        <v/>
      </c>
      <c r="CD159" s="27"/>
      <c r="CE159" s="27"/>
    </row>
    <row r="160" customFormat="false" ht="15" hidden="false" customHeight="false" outlineLevel="0" collapsed="false">
      <c r="A160" s="27"/>
      <c r="B160" s="27"/>
      <c r="C160" s="27"/>
      <c r="D160" s="27"/>
      <c r="E160" s="27"/>
      <c r="F160" s="27"/>
      <c r="G160" s="27"/>
      <c r="H160" s="27"/>
      <c r="I160" s="27"/>
      <c r="J160" s="28" t="str">
        <f aca="false">IF(AND(N(H160)&gt;0,N(I160)&gt;0),ROUND(I160/(H160/100)^2,1),"")</f>
        <v/>
      </c>
      <c r="K160" s="27"/>
      <c r="L160" s="27"/>
      <c r="M160" s="27"/>
      <c r="N160" s="27"/>
      <c r="O160" s="27"/>
      <c r="P160" s="27"/>
      <c r="Q160" s="27"/>
      <c r="R160" s="29"/>
      <c r="S160" s="29"/>
      <c r="T160" s="27"/>
      <c r="U160" s="28" t="str">
        <f aca="false">IF(N(T160)=0,"",IF(T160&lt;12,"Under 12 months",IF(T160&lt;36,"12-35 months",IF(T160&lt;60,"36-59 months","≥60 months"))))</f>
        <v/>
      </c>
      <c r="V160" s="27"/>
      <c r="W160" s="30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9"/>
      <c r="AT160" s="30"/>
      <c r="AU160" s="30"/>
      <c r="AV160" s="30"/>
      <c r="AW160" s="27"/>
      <c r="AX160" s="27"/>
      <c r="AY160" s="29"/>
      <c r="AZ160" s="27"/>
      <c r="BA160" s="27"/>
      <c r="BB160" s="29"/>
      <c r="BC160" s="30"/>
      <c r="BD160" s="30"/>
      <c r="BE160" s="30"/>
      <c r="BF160" s="27"/>
      <c r="BG160" s="27"/>
      <c r="BH160" s="28" t="str">
        <f aca="false">IF(COUNT(BC160:BE160)=0,"",IF(MIN(BC160:BE160)&lt;=-2.5,"Yes","No"))</f>
        <v/>
      </c>
      <c r="BI160" s="27"/>
      <c r="BJ160" s="29"/>
      <c r="BK160" s="27"/>
      <c r="BL160" s="27"/>
      <c r="BM160" s="27"/>
      <c r="BN160" s="28" t="str">
        <f aca="false">IF(OR(AX160="Yes",BI160="Yes"),"Yes",IF(AND(AX160="No",BI160="No"),"No",IF(AND(AX160="",BI160=""),"","Unknown")))</f>
        <v/>
      </c>
      <c r="BO160" s="31" t="str">
        <f aca="false">IF(COUNT(AY160,BJ160)=0,"",MIN(AY160,BJ160))</f>
        <v/>
      </c>
      <c r="BP160" s="29"/>
      <c r="BQ160" s="29"/>
      <c r="BR160" s="29"/>
      <c r="BS160" s="28" t="str">
        <f aca="false">IF(AND(N(BP160)&gt;0,N(BR160)&gt;0),BR160-BP160,"")</f>
        <v/>
      </c>
      <c r="BT160" s="28" t="str">
        <f aca="false">IF(BS160="","",ROUND(BS160/365.25,2))</f>
        <v/>
      </c>
      <c r="BU160" s="28" t="str">
        <f aca="false">IF(BS160="","",IF(BS160&gt;=730.5,"Yes","No"))</f>
        <v/>
      </c>
      <c r="BV160" s="27"/>
      <c r="BW160" s="29"/>
      <c r="BX160" s="27"/>
      <c r="BY160" s="27"/>
      <c r="BZ160" s="28" t="str">
        <f aca="false">IF(N(E160)=0,"",IF(E160&lt;65,"Under 65","≥65"))</f>
        <v/>
      </c>
      <c r="CA160" s="28" t="str">
        <f aca="false">IF(OR(AC160="Yes",AC160="No"),AC160,"")</f>
        <v/>
      </c>
      <c r="CB160" s="28" t="str">
        <f aca="false">IF(OR(AD160="Yes",AD160="No"),AD160,"")</f>
        <v/>
      </c>
      <c r="CC160" s="28" t="str">
        <f aca="false">IF(F160="","",F160)</f>
        <v/>
      </c>
      <c r="CD160" s="27"/>
      <c r="CE160" s="27"/>
    </row>
    <row r="161" customFormat="false" ht="15" hidden="false" customHeight="false" outlineLevel="0" collapsed="false">
      <c r="A161" s="27"/>
      <c r="B161" s="27"/>
      <c r="C161" s="27"/>
      <c r="D161" s="27"/>
      <c r="E161" s="27"/>
      <c r="F161" s="27"/>
      <c r="G161" s="27"/>
      <c r="H161" s="27"/>
      <c r="I161" s="27"/>
      <c r="J161" s="28" t="str">
        <f aca="false">IF(AND(N(H161)&gt;0,N(I161)&gt;0),ROUND(I161/(H161/100)^2,1),"")</f>
        <v/>
      </c>
      <c r="K161" s="27"/>
      <c r="L161" s="27"/>
      <c r="M161" s="27"/>
      <c r="N161" s="27"/>
      <c r="O161" s="27"/>
      <c r="P161" s="27"/>
      <c r="Q161" s="27"/>
      <c r="R161" s="29"/>
      <c r="S161" s="29"/>
      <c r="T161" s="27"/>
      <c r="U161" s="28" t="str">
        <f aca="false">IF(N(T161)=0,"",IF(T161&lt;12,"Under 12 months",IF(T161&lt;36,"12-35 months",IF(T161&lt;60,"36-59 months","≥60 months"))))</f>
        <v/>
      </c>
      <c r="V161" s="27"/>
      <c r="W161" s="30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9"/>
      <c r="AT161" s="30"/>
      <c r="AU161" s="30"/>
      <c r="AV161" s="30"/>
      <c r="AW161" s="27"/>
      <c r="AX161" s="27"/>
      <c r="AY161" s="29"/>
      <c r="AZ161" s="27"/>
      <c r="BA161" s="27"/>
      <c r="BB161" s="29"/>
      <c r="BC161" s="30"/>
      <c r="BD161" s="30"/>
      <c r="BE161" s="30"/>
      <c r="BF161" s="27"/>
      <c r="BG161" s="27"/>
      <c r="BH161" s="28" t="str">
        <f aca="false">IF(COUNT(BC161:BE161)=0,"",IF(MIN(BC161:BE161)&lt;=-2.5,"Yes","No"))</f>
        <v/>
      </c>
      <c r="BI161" s="27"/>
      <c r="BJ161" s="29"/>
      <c r="BK161" s="27"/>
      <c r="BL161" s="27"/>
      <c r="BM161" s="27"/>
      <c r="BN161" s="28" t="str">
        <f aca="false">IF(OR(AX161="Yes",BI161="Yes"),"Yes",IF(AND(AX161="No",BI161="No"),"No",IF(AND(AX161="",BI161=""),"","Unknown")))</f>
        <v/>
      </c>
      <c r="BO161" s="31" t="str">
        <f aca="false">IF(COUNT(AY161,BJ161)=0,"",MIN(AY161,BJ161))</f>
        <v/>
      </c>
      <c r="BP161" s="29"/>
      <c r="BQ161" s="29"/>
      <c r="BR161" s="29"/>
      <c r="BS161" s="28" t="str">
        <f aca="false">IF(AND(N(BP161)&gt;0,N(BR161)&gt;0),BR161-BP161,"")</f>
        <v/>
      </c>
      <c r="BT161" s="28" t="str">
        <f aca="false">IF(BS161="","",ROUND(BS161/365.25,2))</f>
        <v/>
      </c>
      <c r="BU161" s="28" t="str">
        <f aca="false">IF(BS161="","",IF(BS161&gt;=730.5,"Yes","No"))</f>
        <v/>
      </c>
      <c r="BV161" s="27"/>
      <c r="BW161" s="29"/>
      <c r="BX161" s="27"/>
      <c r="BY161" s="27"/>
      <c r="BZ161" s="28" t="str">
        <f aca="false">IF(N(E161)=0,"",IF(E161&lt;65,"Under 65","≥65"))</f>
        <v/>
      </c>
      <c r="CA161" s="28" t="str">
        <f aca="false">IF(OR(AC161="Yes",AC161="No"),AC161,"")</f>
        <v/>
      </c>
      <c r="CB161" s="28" t="str">
        <f aca="false">IF(OR(AD161="Yes",AD161="No"),AD161,"")</f>
        <v/>
      </c>
      <c r="CC161" s="28" t="str">
        <f aca="false">IF(F161="","",F161)</f>
        <v/>
      </c>
      <c r="CD161" s="27"/>
      <c r="CE161" s="27"/>
    </row>
    <row r="162" customFormat="false" ht="15" hidden="false" customHeight="false" outlineLevel="0" collapsed="false">
      <c r="A162" s="27"/>
      <c r="B162" s="27"/>
      <c r="C162" s="27"/>
      <c r="D162" s="27"/>
      <c r="E162" s="27"/>
      <c r="F162" s="27"/>
      <c r="G162" s="27"/>
      <c r="H162" s="27"/>
      <c r="I162" s="27"/>
      <c r="J162" s="28" t="str">
        <f aca="false">IF(AND(N(H162)&gt;0,N(I162)&gt;0),ROUND(I162/(H162/100)^2,1),"")</f>
        <v/>
      </c>
      <c r="K162" s="27"/>
      <c r="L162" s="27"/>
      <c r="M162" s="27"/>
      <c r="N162" s="27"/>
      <c r="O162" s="27"/>
      <c r="P162" s="27"/>
      <c r="Q162" s="27"/>
      <c r="R162" s="29"/>
      <c r="S162" s="29"/>
      <c r="T162" s="27"/>
      <c r="U162" s="28" t="str">
        <f aca="false">IF(N(T162)=0,"",IF(T162&lt;12,"Under 12 months",IF(T162&lt;36,"12-35 months",IF(T162&lt;60,"36-59 months","≥60 months"))))</f>
        <v/>
      </c>
      <c r="V162" s="27"/>
      <c r="W162" s="30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9"/>
      <c r="AT162" s="30"/>
      <c r="AU162" s="30"/>
      <c r="AV162" s="30"/>
      <c r="AW162" s="27"/>
      <c r="AX162" s="27"/>
      <c r="AY162" s="29"/>
      <c r="AZ162" s="27"/>
      <c r="BA162" s="27"/>
      <c r="BB162" s="29"/>
      <c r="BC162" s="30"/>
      <c r="BD162" s="30"/>
      <c r="BE162" s="30"/>
      <c r="BF162" s="27"/>
      <c r="BG162" s="27"/>
      <c r="BH162" s="28" t="str">
        <f aca="false">IF(COUNT(BC162:BE162)=0,"",IF(MIN(BC162:BE162)&lt;=-2.5,"Yes","No"))</f>
        <v/>
      </c>
      <c r="BI162" s="27"/>
      <c r="BJ162" s="29"/>
      <c r="BK162" s="27"/>
      <c r="BL162" s="27"/>
      <c r="BM162" s="27"/>
      <c r="BN162" s="28" t="str">
        <f aca="false">IF(OR(AX162="Yes",BI162="Yes"),"Yes",IF(AND(AX162="No",BI162="No"),"No",IF(AND(AX162="",BI162=""),"","Unknown")))</f>
        <v/>
      </c>
      <c r="BO162" s="31" t="str">
        <f aca="false">IF(COUNT(AY162,BJ162)=0,"",MIN(AY162,BJ162))</f>
        <v/>
      </c>
      <c r="BP162" s="29"/>
      <c r="BQ162" s="29"/>
      <c r="BR162" s="29"/>
      <c r="BS162" s="28" t="str">
        <f aca="false">IF(AND(N(BP162)&gt;0,N(BR162)&gt;0),BR162-BP162,"")</f>
        <v/>
      </c>
      <c r="BT162" s="28" t="str">
        <f aca="false">IF(BS162="","",ROUND(BS162/365.25,2))</f>
        <v/>
      </c>
      <c r="BU162" s="28" t="str">
        <f aca="false">IF(BS162="","",IF(BS162&gt;=730.5,"Yes","No"))</f>
        <v/>
      </c>
      <c r="BV162" s="27"/>
      <c r="BW162" s="29"/>
      <c r="BX162" s="27"/>
      <c r="BY162" s="27"/>
      <c r="BZ162" s="28" t="str">
        <f aca="false">IF(N(E162)=0,"",IF(E162&lt;65,"Under 65","≥65"))</f>
        <v/>
      </c>
      <c r="CA162" s="28" t="str">
        <f aca="false">IF(OR(AC162="Yes",AC162="No"),AC162,"")</f>
        <v/>
      </c>
      <c r="CB162" s="28" t="str">
        <f aca="false">IF(OR(AD162="Yes",AD162="No"),AD162,"")</f>
        <v/>
      </c>
      <c r="CC162" s="28" t="str">
        <f aca="false">IF(F162="","",F162)</f>
        <v/>
      </c>
      <c r="CD162" s="27"/>
      <c r="CE162" s="27"/>
    </row>
    <row r="163" customFormat="false" ht="15" hidden="false" customHeight="false" outlineLevel="0" collapsed="false">
      <c r="A163" s="27"/>
      <c r="B163" s="27"/>
      <c r="C163" s="27"/>
      <c r="D163" s="27"/>
      <c r="E163" s="27"/>
      <c r="F163" s="27"/>
      <c r="G163" s="27"/>
      <c r="H163" s="27"/>
      <c r="I163" s="27"/>
      <c r="J163" s="28" t="str">
        <f aca="false">IF(AND(N(H163)&gt;0,N(I163)&gt;0),ROUND(I163/(H163/100)^2,1),"")</f>
        <v/>
      </c>
      <c r="K163" s="27"/>
      <c r="L163" s="27"/>
      <c r="M163" s="27"/>
      <c r="N163" s="27"/>
      <c r="O163" s="27"/>
      <c r="P163" s="27"/>
      <c r="Q163" s="27"/>
      <c r="R163" s="29"/>
      <c r="S163" s="29"/>
      <c r="T163" s="27"/>
      <c r="U163" s="28" t="str">
        <f aca="false">IF(N(T163)=0,"",IF(T163&lt;12,"Under 12 months",IF(T163&lt;36,"12-35 months",IF(T163&lt;60,"36-59 months","≥60 months"))))</f>
        <v/>
      </c>
      <c r="V163" s="27"/>
      <c r="W163" s="30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9"/>
      <c r="AT163" s="30"/>
      <c r="AU163" s="30"/>
      <c r="AV163" s="30"/>
      <c r="AW163" s="27"/>
      <c r="AX163" s="27"/>
      <c r="AY163" s="29"/>
      <c r="AZ163" s="27"/>
      <c r="BA163" s="27"/>
      <c r="BB163" s="29"/>
      <c r="BC163" s="30"/>
      <c r="BD163" s="30"/>
      <c r="BE163" s="30"/>
      <c r="BF163" s="27"/>
      <c r="BG163" s="27"/>
      <c r="BH163" s="28" t="str">
        <f aca="false">IF(COUNT(BC163:BE163)=0,"",IF(MIN(BC163:BE163)&lt;=-2.5,"Yes","No"))</f>
        <v/>
      </c>
      <c r="BI163" s="27"/>
      <c r="BJ163" s="29"/>
      <c r="BK163" s="27"/>
      <c r="BL163" s="27"/>
      <c r="BM163" s="27"/>
      <c r="BN163" s="28" t="str">
        <f aca="false">IF(OR(AX163="Yes",BI163="Yes"),"Yes",IF(AND(AX163="No",BI163="No"),"No",IF(AND(AX163="",BI163=""),"","Unknown")))</f>
        <v/>
      </c>
      <c r="BO163" s="31" t="str">
        <f aca="false">IF(COUNT(AY163,BJ163)=0,"",MIN(AY163,BJ163))</f>
        <v/>
      </c>
      <c r="BP163" s="29"/>
      <c r="BQ163" s="29"/>
      <c r="BR163" s="29"/>
      <c r="BS163" s="28" t="str">
        <f aca="false">IF(AND(N(BP163)&gt;0,N(BR163)&gt;0),BR163-BP163,"")</f>
        <v/>
      </c>
      <c r="BT163" s="28" t="str">
        <f aca="false">IF(BS163="","",ROUND(BS163/365.25,2))</f>
        <v/>
      </c>
      <c r="BU163" s="28" t="str">
        <f aca="false">IF(BS163="","",IF(BS163&gt;=730.5,"Yes","No"))</f>
        <v/>
      </c>
      <c r="BV163" s="27"/>
      <c r="BW163" s="29"/>
      <c r="BX163" s="27"/>
      <c r="BY163" s="27"/>
      <c r="BZ163" s="28" t="str">
        <f aca="false">IF(N(E163)=0,"",IF(E163&lt;65,"Under 65","≥65"))</f>
        <v/>
      </c>
      <c r="CA163" s="28" t="str">
        <f aca="false">IF(OR(AC163="Yes",AC163="No"),AC163,"")</f>
        <v/>
      </c>
      <c r="CB163" s="28" t="str">
        <f aca="false">IF(OR(AD163="Yes",AD163="No"),AD163,"")</f>
        <v/>
      </c>
      <c r="CC163" s="28" t="str">
        <f aca="false">IF(F163="","",F163)</f>
        <v/>
      </c>
      <c r="CD163" s="27"/>
      <c r="CE163" s="27"/>
    </row>
    <row r="164" customFormat="false" ht="15" hidden="false" customHeight="false" outlineLevel="0" collapsed="false">
      <c r="A164" s="27"/>
      <c r="B164" s="27"/>
      <c r="C164" s="27"/>
      <c r="D164" s="27"/>
      <c r="E164" s="27"/>
      <c r="F164" s="27"/>
      <c r="G164" s="27"/>
      <c r="H164" s="27"/>
      <c r="I164" s="27"/>
      <c r="J164" s="28" t="str">
        <f aca="false">IF(AND(N(H164)&gt;0,N(I164)&gt;0),ROUND(I164/(H164/100)^2,1),"")</f>
        <v/>
      </c>
      <c r="K164" s="27"/>
      <c r="L164" s="27"/>
      <c r="M164" s="27"/>
      <c r="N164" s="27"/>
      <c r="O164" s="27"/>
      <c r="P164" s="27"/>
      <c r="Q164" s="27"/>
      <c r="R164" s="29"/>
      <c r="S164" s="29"/>
      <c r="T164" s="27"/>
      <c r="U164" s="28" t="str">
        <f aca="false">IF(N(T164)=0,"",IF(T164&lt;12,"Under 12 months",IF(T164&lt;36,"12-35 months",IF(T164&lt;60,"36-59 months","≥60 months"))))</f>
        <v/>
      </c>
      <c r="V164" s="27"/>
      <c r="W164" s="30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9"/>
      <c r="AT164" s="30"/>
      <c r="AU164" s="30"/>
      <c r="AV164" s="30"/>
      <c r="AW164" s="27"/>
      <c r="AX164" s="27"/>
      <c r="AY164" s="29"/>
      <c r="AZ164" s="27"/>
      <c r="BA164" s="27"/>
      <c r="BB164" s="29"/>
      <c r="BC164" s="30"/>
      <c r="BD164" s="30"/>
      <c r="BE164" s="30"/>
      <c r="BF164" s="27"/>
      <c r="BG164" s="27"/>
      <c r="BH164" s="28" t="str">
        <f aca="false">IF(COUNT(BC164:BE164)=0,"",IF(MIN(BC164:BE164)&lt;=-2.5,"Yes","No"))</f>
        <v/>
      </c>
      <c r="BI164" s="27"/>
      <c r="BJ164" s="29"/>
      <c r="BK164" s="27"/>
      <c r="BL164" s="27"/>
      <c r="BM164" s="27"/>
      <c r="BN164" s="28" t="str">
        <f aca="false">IF(OR(AX164="Yes",BI164="Yes"),"Yes",IF(AND(AX164="No",BI164="No"),"No",IF(AND(AX164="",BI164=""),"","Unknown")))</f>
        <v/>
      </c>
      <c r="BO164" s="31" t="str">
        <f aca="false">IF(COUNT(AY164,BJ164)=0,"",MIN(AY164,BJ164))</f>
        <v/>
      </c>
      <c r="BP164" s="29"/>
      <c r="BQ164" s="29"/>
      <c r="BR164" s="29"/>
      <c r="BS164" s="28" t="str">
        <f aca="false">IF(AND(N(BP164)&gt;0,N(BR164)&gt;0),BR164-BP164,"")</f>
        <v/>
      </c>
      <c r="BT164" s="28" t="str">
        <f aca="false">IF(BS164="","",ROUND(BS164/365.25,2))</f>
        <v/>
      </c>
      <c r="BU164" s="28" t="str">
        <f aca="false">IF(BS164="","",IF(BS164&gt;=730.5,"Yes","No"))</f>
        <v/>
      </c>
      <c r="BV164" s="27"/>
      <c r="BW164" s="29"/>
      <c r="BX164" s="27"/>
      <c r="BY164" s="27"/>
      <c r="BZ164" s="28" t="str">
        <f aca="false">IF(N(E164)=0,"",IF(E164&lt;65,"Under 65","≥65"))</f>
        <v/>
      </c>
      <c r="CA164" s="28" t="str">
        <f aca="false">IF(OR(AC164="Yes",AC164="No"),AC164,"")</f>
        <v/>
      </c>
      <c r="CB164" s="28" t="str">
        <f aca="false">IF(OR(AD164="Yes",AD164="No"),AD164,"")</f>
        <v/>
      </c>
      <c r="CC164" s="28" t="str">
        <f aca="false">IF(F164="","",F164)</f>
        <v/>
      </c>
      <c r="CD164" s="27"/>
      <c r="CE164" s="27"/>
    </row>
    <row r="165" customFormat="false" ht="15" hidden="false" customHeight="false" outlineLevel="0" collapsed="false">
      <c r="A165" s="27"/>
      <c r="B165" s="27"/>
      <c r="C165" s="27"/>
      <c r="D165" s="27"/>
      <c r="E165" s="27"/>
      <c r="F165" s="27"/>
      <c r="G165" s="27"/>
      <c r="H165" s="27"/>
      <c r="I165" s="27"/>
      <c r="J165" s="28" t="str">
        <f aca="false">IF(AND(N(H165)&gt;0,N(I165)&gt;0),ROUND(I165/(H165/100)^2,1),"")</f>
        <v/>
      </c>
      <c r="K165" s="27"/>
      <c r="L165" s="27"/>
      <c r="M165" s="27"/>
      <c r="N165" s="27"/>
      <c r="O165" s="27"/>
      <c r="P165" s="27"/>
      <c r="Q165" s="27"/>
      <c r="R165" s="29"/>
      <c r="S165" s="29"/>
      <c r="T165" s="27"/>
      <c r="U165" s="28" t="str">
        <f aca="false">IF(N(T165)=0,"",IF(T165&lt;12,"Under 12 months",IF(T165&lt;36,"12-35 months",IF(T165&lt;60,"36-59 months","≥60 months"))))</f>
        <v/>
      </c>
      <c r="V165" s="27"/>
      <c r="W165" s="30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9"/>
      <c r="AT165" s="30"/>
      <c r="AU165" s="30"/>
      <c r="AV165" s="30"/>
      <c r="AW165" s="27"/>
      <c r="AX165" s="27"/>
      <c r="AY165" s="29"/>
      <c r="AZ165" s="27"/>
      <c r="BA165" s="27"/>
      <c r="BB165" s="29"/>
      <c r="BC165" s="30"/>
      <c r="BD165" s="30"/>
      <c r="BE165" s="30"/>
      <c r="BF165" s="27"/>
      <c r="BG165" s="27"/>
      <c r="BH165" s="28" t="str">
        <f aca="false">IF(COUNT(BC165:BE165)=0,"",IF(MIN(BC165:BE165)&lt;=-2.5,"Yes","No"))</f>
        <v/>
      </c>
      <c r="BI165" s="27"/>
      <c r="BJ165" s="29"/>
      <c r="BK165" s="27"/>
      <c r="BL165" s="27"/>
      <c r="BM165" s="27"/>
      <c r="BN165" s="28" t="str">
        <f aca="false">IF(OR(AX165="Yes",BI165="Yes"),"Yes",IF(AND(AX165="No",BI165="No"),"No",IF(AND(AX165="",BI165=""),"","Unknown")))</f>
        <v/>
      </c>
      <c r="BO165" s="31" t="str">
        <f aca="false">IF(COUNT(AY165,BJ165)=0,"",MIN(AY165,BJ165))</f>
        <v/>
      </c>
      <c r="BP165" s="29"/>
      <c r="BQ165" s="29"/>
      <c r="BR165" s="29"/>
      <c r="BS165" s="28" t="str">
        <f aca="false">IF(AND(N(BP165)&gt;0,N(BR165)&gt;0),BR165-BP165,"")</f>
        <v/>
      </c>
      <c r="BT165" s="28" t="str">
        <f aca="false">IF(BS165="","",ROUND(BS165/365.25,2))</f>
        <v/>
      </c>
      <c r="BU165" s="28" t="str">
        <f aca="false">IF(BS165="","",IF(BS165&gt;=730.5,"Yes","No"))</f>
        <v/>
      </c>
      <c r="BV165" s="27"/>
      <c r="BW165" s="29"/>
      <c r="BX165" s="27"/>
      <c r="BY165" s="27"/>
      <c r="BZ165" s="28" t="str">
        <f aca="false">IF(N(E165)=0,"",IF(E165&lt;65,"Under 65","≥65"))</f>
        <v/>
      </c>
      <c r="CA165" s="28" t="str">
        <f aca="false">IF(OR(AC165="Yes",AC165="No"),AC165,"")</f>
        <v/>
      </c>
      <c r="CB165" s="28" t="str">
        <f aca="false">IF(OR(AD165="Yes",AD165="No"),AD165,"")</f>
        <v/>
      </c>
      <c r="CC165" s="28" t="str">
        <f aca="false">IF(F165="","",F165)</f>
        <v/>
      </c>
      <c r="CD165" s="27"/>
      <c r="CE165" s="27"/>
    </row>
    <row r="166" customFormat="false" ht="15" hidden="false" customHeight="false" outlineLevel="0" collapsed="false">
      <c r="A166" s="27"/>
      <c r="B166" s="27"/>
      <c r="C166" s="27"/>
      <c r="D166" s="27"/>
      <c r="E166" s="27"/>
      <c r="F166" s="27"/>
      <c r="G166" s="27"/>
      <c r="H166" s="27"/>
      <c r="I166" s="27"/>
      <c r="J166" s="28" t="str">
        <f aca="false">IF(AND(N(H166)&gt;0,N(I166)&gt;0),ROUND(I166/(H166/100)^2,1),"")</f>
        <v/>
      </c>
      <c r="K166" s="27"/>
      <c r="L166" s="27"/>
      <c r="M166" s="27"/>
      <c r="N166" s="27"/>
      <c r="O166" s="27"/>
      <c r="P166" s="27"/>
      <c r="Q166" s="27"/>
      <c r="R166" s="29"/>
      <c r="S166" s="29"/>
      <c r="T166" s="27"/>
      <c r="U166" s="28" t="str">
        <f aca="false">IF(N(T166)=0,"",IF(T166&lt;12,"Under 12 months",IF(T166&lt;36,"12-35 months",IF(T166&lt;60,"36-59 months","≥60 months"))))</f>
        <v/>
      </c>
      <c r="V166" s="27"/>
      <c r="W166" s="30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9"/>
      <c r="AT166" s="30"/>
      <c r="AU166" s="30"/>
      <c r="AV166" s="30"/>
      <c r="AW166" s="27"/>
      <c r="AX166" s="27"/>
      <c r="AY166" s="29"/>
      <c r="AZ166" s="27"/>
      <c r="BA166" s="27"/>
      <c r="BB166" s="29"/>
      <c r="BC166" s="30"/>
      <c r="BD166" s="30"/>
      <c r="BE166" s="30"/>
      <c r="BF166" s="27"/>
      <c r="BG166" s="27"/>
      <c r="BH166" s="28" t="str">
        <f aca="false">IF(COUNT(BC166:BE166)=0,"",IF(MIN(BC166:BE166)&lt;=-2.5,"Yes","No"))</f>
        <v/>
      </c>
      <c r="BI166" s="27"/>
      <c r="BJ166" s="29"/>
      <c r="BK166" s="27"/>
      <c r="BL166" s="27"/>
      <c r="BM166" s="27"/>
      <c r="BN166" s="28" t="str">
        <f aca="false">IF(OR(AX166="Yes",BI166="Yes"),"Yes",IF(AND(AX166="No",BI166="No"),"No",IF(AND(AX166="",BI166=""),"","Unknown")))</f>
        <v/>
      </c>
      <c r="BO166" s="31" t="str">
        <f aca="false">IF(COUNT(AY166,BJ166)=0,"",MIN(AY166,BJ166))</f>
        <v/>
      </c>
      <c r="BP166" s="29"/>
      <c r="BQ166" s="29"/>
      <c r="BR166" s="29"/>
      <c r="BS166" s="28" t="str">
        <f aca="false">IF(AND(N(BP166)&gt;0,N(BR166)&gt;0),BR166-BP166,"")</f>
        <v/>
      </c>
      <c r="BT166" s="28" t="str">
        <f aca="false">IF(BS166="","",ROUND(BS166/365.25,2))</f>
        <v/>
      </c>
      <c r="BU166" s="28" t="str">
        <f aca="false">IF(BS166="","",IF(BS166&gt;=730.5,"Yes","No"))</f>
        <v/>
      </c>
      <c r="BV166" s="27"/>
      <c r="BW166" s="29"/>
      <c r="BX166" s="27"/>
      <c r="BY166" s="27"/>
      <c r="BZ166" s="28" t="str">
        <f aca="false">IF(N(E166)=0,"",IF(E166&lt;65,"Under 65","≥65"))</f>
        <v/>
      </c>
      <c r="CA166" s="28" t="str">
        <f aca="false">IF(OR(AC166="Yes",AC166="No"),AC166,"")</f>
        <v/>
      </c>
      <c r="CB166" s="28" t="str">
        <f aca="false">IF(OR(AD166="Yes",AD166="No"),AD166,"")</f>
        <v/>
      </c>
      <c r="CC166" s="28" t="str">
        <f aca="false">IF(F166="","",F166)</f>
        <v/>
      </c>
      <c r="CD166" s="27"/>
      <c r="CE166" s="27"/>
    </row>
    <row r="167" customFormat="false" ht="15" hidden="false" customHeight="false" outlineLevel="0" collapsed="false">
      <c r="A167" s="27"/>
      <c r="B167" s="27"/>
      <c r="C167" s="27"/>
      <c r="D167" s="27"/>
      <c r="E167" s="27"/>
      <c r="F167" s="27"/>
      <c r="G167" s="27"/>
      <c r="H167" s="27"/>
      <c r="I167" s="27"/>
      <c r="J167" s="28" t="str">
        <f aca="false">IF(AND(N(H167)&gt;0,N(I167)&gt;0),ROUND(I167/(H167/100)^2,1),"")</f>
        <v/>
      </c>
      <c r="K167" s="27"/>
      <c r="L167" s="27"/>
      <c r="M167" s="27"/>
      <c r="N167" s="27"/>
      <c r="O167" s="27"/>
      <c r="P167" s="27"/>
      <c r="Q167" s="27"/>
      <c r="R167" s="29"/>
      <c r="S167" s="29"/>
      <c r="T167" s="27"/>
      <c r="U167" s="28" t="str">
        <f aca="false">IF(N(T167)=0,"",IF(T167&lt;12,"Under 12 months",IF(T167&lt;36,"12-35 months",IF(T167&lt;60,"36-59 months","≥60 months"))))</f>
        <v/>
      </c>
      <c r="V167" s="27"/>
      <c r="W167" s="30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9"/>
      <c r="AT167" s="30"/>
      <c r="AU167" s="30"/>
      <c r="AV167" s="30"/>
      <c r="AW167" s="27"/>
      <c r="AX167" s="27"/>
      <c r="AY167" s="29"/>
      <c r="AZ167" s="27"/>
      <c r="BA167" s="27"/>
      <c r="BB167" s="29"/>
      <c r="BC167" s="30"/>
      <c r="BD167" s="30"/>
      <c r="BE167" s="30"/>
      <c r="BF167" s="27"/>
      <c r="BG167" s="27"/>
      <c r="BH167" s="28" t="str">
        <f aca="false">IF(COUNT(BC167:BE167)=0,"",IF(MIN(BC167:BE167)&lt;=-2.5,"Yes","No"))</f>
        <v/>
      </c>
      <c r="BI167" s="27"/>
      <c r="BJ167" s="29"/>
      <c r="BK167" s="27"/>
      <c r="BL167" s="27"/>
      <c r="BM167" s="27"/>
      <c r="BN167" s="28" t="str">
        <f aca="false">IF(OR(AX167="Yes",BI167="Yes"),"Yes",IF(AND(AX167="No",BI167="No"),"No",IF(AND(AX167="",BI167=""),"","Unknown")))</f>
        <v/>
      </c>
      <c r="BO167" s="31" t="str">
        <f aca="false">IF(COUNT(AY167,BJ167)=0,"",MIN(AY167,BJ167))</f>
        <v/>
      </c>
      <c r="BP167" s="29"/>
      <c r="BQ167" s="29"/>
      <c r="BR167" s="29"/>
      <c r="BS167" s="28" t="str">
        <f aca="false">IF(AND(N(BP167)&gt;0,N(BR167)&gt;0),BR167-BP167,"")</f>
        <v/>
      </c>
      <c r="BT167" s="28" t="str">
        <f aca="false">IF(BS167="","",ROUND(BS167/365.25,2))</f>
        <v/>
      </c>
      <c r="BU167" s="28" t="str">
        <f aca="false">IF(BS167="","",IF(BS167&gt;=730.5,"Yes","No"))</f>
        <v/>
      </c>
      <c r="BV167" s="27"/>
      <c r="BW167" s="29"/>
      <c r="BX167" s="27"/>
      <c r="BY167" s="27"/>
      <c r="BZ167" s="28" t="str">
        <f aca="false">IF(N(E167)=0,"",IF(E167&lt;65,"Under 65","≥65"))</f>
        <v/>
      </c>
      <c r="CA167" s="28" t="str">
        <f aca="false">IF(OR(AC167="Yes",AC167="No"),AC167,"")</f>
        <v/>
      </c>
      <c r="CB167" s="28" t="str">
        <f aca="false">IF(OR(AD167="Yes",AD167="No"),AD167,"")</f>
        <v/>
      </c>
      <c r="CC167" s="28" t="str">
        <f aca="false">IF(F167="","",F167)</f>
        <v/>
      </c>
      <c r="CD167" s="27"/>
      <c r="CE167" s="27"/>
    </row>
    <row r="168" customFormat="false" ht="15" hidden="false" customHeight="false" outlineLevel="0" collapsed="false">
      <c r="A168" s="27"/>
      <c r="B168" s="27"/>
      <c r="C168" s="27"/>
      <c r="D168" s="27"/>
      <c r="E168" s="27"/>
      <c r="F168" s="27"/>
      <c r="G168" s="27"/>
      <c r="H168" s="27"/>
      <c r="I168" s="27"/>
      <c r="J168" s="28" t="str">
        <f aca="false">IF(AND(N(H168)&gt;0,N(I168)&gt;0),ROUND(I168/(H168/100)^2,1),"")</f>
        <v/>
      </c>
      <c r="K168" s="27"/>
      <c r="L168" s="27"/>
      <c r="M168" s="27"/>
      <c r="N168" s="27"/>
      <c r="O168" s="27"/>
      <c r="P168" s="27"/>
      <c r="Q168" s="27"/>
      <c r="R168" s="29"/>
      <c r="S168" s="29"/>
      <c r="T168" s="27"/>
      <c r="U168" s="28" t="str">
        <f aca="false">IF(N(T168)=0,"",IF(T168&lt;12,"Under 12 months",IF(T168&lt;36,"12-35 months",IF(T168&lt;60,"36-59 months","≥60 months"))))</f>
        <v/>
      </c>
      <c r="V168" s="27"/>
      <c r="W168" s="30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9"/>
      <c r="AT168" s="30"/>
      <c r="AU168" s="30"/>
      <c r="AV168" s="30"/>
      <c r="AW168" s="27"/>
      <c r="AX168" s="27"/>
      <c r="AY168" s="29"/>
      <c r="AZ168" s="27"/>
      <c r="BA168" s="27"/>
      <c r="BB168" s="29"/>
      <c r="BC168" s="30"/>
      <c r="BD168" s="30"/>
      <c r="BE168" s="30"/>
      <c r="BF168" s="27"/>
      <c r="BG168" s="27"/>
      <c r="BH168" s="28" t="str">
        <f aca="false">IF(COUNT(BC168:BE168)=0,"",IF(MIN(BC168:BE168)&lt;=-2.5,"Yes","No"))</f>
        <v/>
      </c>
      <c r="BI168" s="27"/>
      <c r="BJ168" s="29"/>
      <c r="BK168" s="27"/>
      <c r="BL168" s="27"/>
      <c r="BM168" s="27"/>
      <c r="BN168" s="28" t="str">
        <f aca="false">IF(OR(AX168="Yes",BI168="Yes"),"Yes",IF(AND(AX168="No",BI168="No"),"No",IF(AND(AX168="",BI168=""),"","Unknown")))</f>
        <v/>
      </c>
      <c r="BO168" s="31" t="str">
        <f aca="false">IF(COUNT(AY168,BJ168)=0,"",MIN(AY168,BJ168))</f>
        <v/>
      </c>
      <c r="BP168" s="29"/>
      <c r="BQ168" s="29"/>
      <c r="BR168" s="29"/>
      <c r="BS168" s="28" t="str">
        <f aca="false">IF(AND(N(BP168)&gt;0,N(BR168)&gt;0),BR168-BP168,"")</f>
        <v/>
      </c>
      <c r="BT168" s="28" t="str">
        <f aca="false">IF(BS168="","",ROUND(BS168/365.25,2))</f>
        <v/>
      </c>
      <c r="BU168" s="28" t="str">
        <f aca="false">IF(BS168="","",IF(BS168&gt;=730.5,"Yes","No"))</f>
        <v/>
      </c>
      <c r="BV168" s="27"/>
      <c r="BW168" s="29"/>
      <c r="BX168" s="27"/>
      <c r="BY168" s="27"/>
      <c r="BZ168" s="28" t="str">
        <f aca="false">IF(N(E168)=0,"",IF(E168&lt;65,"Under 65","≥65"))</f>
        <v/>
      </c>
      <c r="CA168" s="28" t="str">
        <f aca="false">IF(OR(AC168="Yes",AC168="No"),AC168,"")</f>
        <v/>
      </c>
      <c r="CB168" s="28" t="str">
        <f aca="false">IF(OR(AD168="Yes",AD168="No"),AD168,"")</f>
        <v/>
      </c>
      <c r="CC168" s="28" t="str">
        <f aca="false">IF(F168="","",F168)</f>
        <v/>
      </c>
      <c r="CD168" s="27"/>
      <c r="CE168" s="27"/>
    </row>
    <row r="169" customFormat="false" ht="15" hidden="false" customHeight="false" outlineLevel="0" collapsed="false">
      <c r="A169" s="27"/>
      <c r="B169" s="27"/>
      <c r="C169" s="27"/>
      <c r="D169" s="27"/>
      <c r="E169" s="27"/>
      <c r="F169" s="27"/>
      <c r="G169" s="27"/>
      <c r="H169" s="27"/>
      <c r="I169" s="27"/>
      <c r="J169" s="28" t="str">
        <f aca="false">IF(AND(N(H169)&gt;0,N(I169)&gt;0),ROUND(I169/(H169/100)^2,1),"")</f>
        <v/>
      </c>
      <c r="K169" s="27"/>
      <c r="L169" s="27"/>
      <c r="M169" s="27"/>
      <c r="N169" s="27"/>
      <c r="O169" s="27"/>
      <c r="P169" s="27"/>
      <c r="Q169" s="27"/>
      <c r="R169" s="29"/>
      <c r="S169" s="29"/>
      <c r="T169" s="27"/>
      <c r="U169" s="28" t="str">
        <f aca="false">IF(N(T169)=0,"",IF(T169&lt;12,"Under 12 months",IF(T169&lt;36,"12-35 months",IF(T169&lt;60,"36-59 months","≥60 months"))))</f>
        <v/>
      </c>
      <c r="V169" s="27"/>
      <c r="W169" s="30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9"/>
      <c r="AT169" s="30"/>
      <c r="AU169" s="30"/>
      <c r="AV169" s="30"/>
      <c r="AW169" s="27"/>
      <c r="AX169" s="27"/>
      <c r="AY169" s="29"/>
      <c r="AZ169" s="27"/>
      <c r="BA169" s="27"/>
      <c r="BB169" s="29"/>
      <c r="BC169" s="30"/>
      <c r="BD169" s="30"/>
      <c r="BE169" s="30"/>
      <c r="BF169" s="27"/>
      <c r="BG169" s="27"/>
      <c r="BH169" s="28" t="str">
        <f aca="false">IF(COUNT(BC169:BE169)=0,"",IF(MIN(BC169:BE169)&lt;=-2.5,"Yes","No"))</f>
        <v/>
      </c>
      <c r="BI169" s="27"/>
      <c r="BJ169" s="29"/>
      <c r="BK169" s="27"/>
      <c r="BL169" s="27"/>
      <c r="BM169" s="27"/>
      <c r="BN169" s="28" t="str">
        <f aca="false">IF(OR(AX169="Yes",BI169="Yes"),"Yes",IF(AND(AX169="No",BI169="No"),"No",IF(AND(AX169="",BI169=""),"","Unknown")))</f>
        <v/>
      </c>
      <c r="BO169" s="31" t="str">
        <f aca="false">IF(COUNT(AY169,BJ169)=0,"",MIN(AY169,BJ169))</f>
        <v/>
      </c>
      <c r="BP169" s="29"/>
      <c r="BQ169" s="29"/>
      <c r="BR169" s="29"/>
      <c r="BS169" s="28" t="str">
        <f aca="false">IF(AND(N(BP169)&gt;0,N(BR169)&gt;0),BR169-BP169,"")</f>
        <v/>
      </c>
      <c r="BT169" s="28" t="str">
        <f aca="false">IF(BS169="","",ROUND(BS169/365.25,2))</f>
        <v/>
      </c>
      <c r="BU169" s="28" t="str">
        <f aca="false">IF(BS169="","",IF(BS169&gt;=730.5,"Yes","No"))</f>
        <v/>
      </c>
      <c r="BV169" s="27"/>
      <c r="BW169" s="29"/>
      <c r="BX169" s="27"/>
      <c r="BY169" s="27"/>
      <c r="BZ169" s="28" t="str">
        <f aca="false">IF(N(E169)=0,"",IF(E169&lt;65,"Under 65","≥65"))</f>
        <v/>
      </c>
      <c r="CA169" s="28" t="str">
        <f aca="false">IF(OR(AC169="Yes",AC169="No"),AC169,"")</f>
        <v/>
      </c>
      <c r="CB169" s="28" t="str">
        <f aca="false">IF(OR(AD169="Yes",AD169="No"),AD169,"")</f>
        <v/>
      </c>
      <c r="CC169" s="28" t="str">
        <f aca="false">IF(F169="","",F169)</f>
        <v/>
      </c>
      <c r="CD169" s="27"/>
      <c r="CE169" s="27"/>
    </row>
    <row r="170" customFormat="false" ht="15" hidden="false" customHeight="false" outlineLevel="0" collapsed="false">
      <c r="A170" s="27"/>
      <c r="B170" s="27"/>
      <c r="C170" s="27"/>
      <c r="D170" s="27"/>
      <c r="E170" s="27"/>
      <c r="F170" s="27"/>
      <c r="G170" s="27"/>
      <c r="H170" s="27"/>
      <c r="I170" s="27"/>
      <c r="J170" s="28" t="str">
        <f aca="false">IF(AND(N(H170)&gt;0,N(I170)&gt;0),ROUND(I170/(H170/100)^2,1),"")</f>
        <v/>
      </c>
      <c r="K170" s="27"/>
      <c r="L170" s="27"/>
      <c r="M170" s="27"/>
      <c r="N170" s="27"/>
      <c r="O170" s="27"/>
      <c r="P170" s="27"/>
      <c r="Q170" s="27"/>
      <c r="R170" s="29"/>
      <c r="S170" s="29"/>
      <c r="T170" s="27"/>
      <c r="U170" s="28" t="str">
        <f aca="false">IF(N(T170)=0,"",IF(T170&lt;12,"Under 12 months",IF(T170&lt;36,"12-35 months",IF(T170&lt;60,"36-59 months","≥60 months"))))</f>
        <v/>
      </c>
      <c r="V170" s="27"/>
      <c r="W170" s="30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9"/>
      <c r="AT170" s="30"/>
      <c r="AU170" s="30"/>
      <c r="AV170" s="30"/>
      <c r="AW170" s="27"/>
      <c r="AX170" s="27"/>
      <c r="AY170" s="29"/>
      <c r="AZ170" s="27"/>
      <c r="BA170" s="27"/>
      <c r="BB170" s="29"/>
      <c r="BC170" s="30"/>
      <c r="BD170" s="30"/>
      <c r="BE170" s="30"/>
      <c r="BF170" s="27"/>
      <c r="BG170" s="27"/>
      <c r="BH170" s="28" t="str">
        <f aca="false">IF(COUNT(BC170:BE170)=0,"",IF(MIN(BC170:BE170)&lt;=-2.5,"Yes","No"))</f>
        <v/>
      </c>
      <c r="BI170" s="27"/>
      <c r="BJ170" s="29"/>
      <c r="BK170" s="27"/>
      <c r="BL170" s="27"/>
      <c r="BM170" s="27"/>
      <c r="BN170" s="28" t="str">
        <f aca="false">IF(OR(AX170="Yes",BI170="Yes"),"Yes",IF(AND(AX170="No",BI170="No"),"No",IF(AND(AX170="",BI170=""),"","Unknown")))</f>
        <v/>
      </c>
      <c r="BO170" s="31" t="str">
        <f aca="false">IF(COUNT(AY170,BJ170)=0,"",MIN(AY170,BJ170))</f>
        <v/>
      </c>
      <c r="BP170" s="29"/>
      <c r="BQ170" s="29"/>
      <c r="BR170" s="29"/>
      <c r="BS170" s="28" t="str">
        <f aca="false">IF(AND(N(BP170)&gt;0,N(BR170)&gt;0),BR170-BP170,"")</f>
        <v/>
      </c>
      <c r="BT170" s="28" t="str">
        <f aca="false">IF(BS170="","",ROUND(BS170/365.25,2))</f>
        <v/>
      </c>
      <c r="BU170" s="28" t="str">
        <f aca="false">IF(BS170="","",IF(BS170&gt;=730.5,"Yes","No"))</f>
        <v/>
      </c>
      <c r="BV170" s="27"/>
      <c r="BW170" s="29"/>
      <c r="BX170" s="27"/>
      <c r="BY170" s="27"/>
      <c r="BZ170" s="28" t="str">
        <f aca="false">IF(N(E170)=0,"",IF(E170&lt;65,"Under 65","≥65"))</f>
        <v/>
      </c>
      <c r="CA170" s="28" t="str">
        <f aca="false">IF(OR(AC170="Yes",AC170="No"),AC170,"")</f>
        <v/>
      </c>
      <c r="CB170" s="28" t="str">
        <f aca="false">IF(OR(AD170="Yes",AD170="No"),AD170,"")</f>
        <v/>
      </c>
      <c r="CC170" s="28" t="str">
        <f aca="false">IF(F170="","",F170)</f>
        <v/>
      </c>
      <c r="CD170" s="27"/>
      <c r="CE170" s="27"/>
    </row>
    <row r="171" customFormat="false" ht="15" hidden="false" customHeight="false" outlineLevel="0" collapsed="false">
      <c r="A171" s="27"/>
      <c r="B171" s="27"/>
      <c r="C171" s="27"/>
      <c r="D171" s="27"/>
      <c r="E171" s="27"/>
      <c r="F171" s="27"/>
      <c r="G171" s="27"/>
      <c r="H171" s="27"/>
      <c r="I171" s="27"/>
      <c r="J171" s="28" t="str">
        <f aca="false">IF(AND(N(H171)&gt;0,N(I171)&gt;0),ROUND(I171/(H171/100)^2,1),"")</f>
        <v/>
      </c>
      <c r="K171" s="27"/>
      <c r="L171" s="27"/>
      <c r="M171" s="27"/>
      <c r="N171" s="27"/>
      <c r="O171" s="27"/>
      <c r="P171" s="27"/>
      <c r="Q171" s="27"/>
      <c r="R171" s="29"/>
      <c r="S171" s="29"/>
      <c r="T171" s="27"/>
      <c r="U171" s="28" t="str">
        <f aca="false">IF(N(T171)=0,"",IF(T171&lt;12,"Under 12 months",IF(T171&lt;36,"12-35 months",IF(T171&lt;60,"36-59 months","≥60 months"))))</f>
        <v/>
      </c>
      <c r="V171" s="27"/>
      <c r="W171" s="30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9"/>
      <c r="AT171" s="30"/>
      <c r="AU171" s="30"/>
      <c r="AV171" s="30"/>
      <c r="AW171" s="27"/>
      <c r="AX171" s="27"/>
      <c r="AY171" s="29"/>
      <c r="AZ171" s="27"/>
      <c r="BA171" s="27"/>
      <c r="BB171" s="29"/>
      <c r="BC171" s="30"/>
      <c r="BD171" s="30"/>
      <c r="BE171" s="30"/>
      <c r="BF171" s="27"/>
      <c r="BG171" s="27"/>
      <c r="BH171" s="28" t="str">
        <f aca="false">IF(COUNT(BC171:BE171)=0,"",IF(MIN(BC171:BE171)&lt;=-2.5,"Yes","No"))</f>
        <v/>
      </c>
      <c r="BI171" s="27"/>
      <c r="BJ171" s="29"/>
      <c r="BK171" s="27"/>
      <c r="BL171" s="27"/>
      <c r="BM171" s="27"/>
      <c r="BN171" s="28" t="str">
        <f aca="false">IF(OR(AX171="Yes",BI171="Yes"),"Yes",IF(AND(AX171="No",BI171="No"),"No",IF(AND(AX171="",BI171=""),"","Unknown")))</f>
        <v/>
      </c>
      <c r="BO171" s="31" t="str">
        <f aca="false">IF(COUNT(AY171,BJ171)=0,"",MIN(AY171,BJ171))</f>
        <v/>
      </c>
      <c r="BP171" s="29"/>
      <c r="BQ171" s="29"/>
      <c r="BR171" s="29"/>
      <c r="BS171" s="28" t="str">
        <f aca="false">IF(AND(N(BP171)&gt;0,N(BR171)&gt;0),BR171-BP171,"")</f>
        <v/>
      </c>
      <c r="BT171" s="28" t="str">
        <f aca="false">IF(BS171="","",ROUND(BS171/365.25,2))</f>
        <v/>
      </c>
      <c r="BU171" s="28" t="str">
        <f aca="false">IF(BS171="","",IF(BS171&gt;=730.5,"Yes","No"))</f>
        <v/>
      </c>
      <c r="BV171" s="27"/>
      <c r="BW171" s="29"/>
      <c r="BX171" s="27"/>
      <c r="BY171" s="27"/>
      <c r="BZ171" s="28" t="str">
        <f aca="false">IF(N(E171)=0,"",IF(E171&lt;65,"Under 65","≥65"))</f>
        <v/>
      </c>
      <c r="CA171" s="28" t="str">
        <f aca="false">IF(OR(AC171="Yes",AC171="No"),AC171,"")</f>
        <v/>
      </c>
      <c r="CB171" s="28" t="str">
        <f aca="false">IF(OR(AD171="Yes",AD171="No"),AD171,"")</f>
        <v/>
      </c>
      <c r="CC171" s="28" t="str">
        <f aca="false">IF(F171="","",F171)</f>
        <v/>
      </c>
      <c r="CD171" s="27"/>
      <c r="CE171" s="27"/>
    </row>
    <row r="172" customFormat="false" ht="15" hidden="false" customHeight="false" outlineLevel="0" collapsed="false">
      <c r="A172" s="27"/>
      <c r="B172" s="27"/>
      <c r="C172" s="27"/>
      <c r="D172" s="27"/>
      <c r="E172" s="27"/>
      <c r="F172" s="27"/>
      <c r="G172" s="27"/>
      <c r="H172" s="27"/>
      <c r="I172" s="27"/>
      <c r="J172" s="28" t="str">
        <f aca="false">IF(AND(N(H172)&gt;0,N(I172)&gt;0),ROUND(I172/(H172/100)^2,1),"")</f>
        <v/>
      </c>
      <c r="K172" s="27"/>
      <c r="L172" s="27"/>
      <c r="M172" s="27"/>
      <c r="N172" s="27"/>
      <c r="O172" s="27"/>
      <c r="P172" s="27"/>
      <c r="Q172" s="27"/>
      <c r="R172" s="29"/>
      <c r="S172" s="29"/>
      <c r="T172" s="27"/>
      <c r="U172" s="28" t="str">
        <f aca="false">IF(N(T172)=0,"",IF(T172&lt;12,"Under 12 months",IF(T172&lt;36,"12-35 months",IF(T172&lt;60,"36-59 months","≥60 months"))))</f>
        <v/>
      </c>
      <c r="V172" s="27"/>
      <c r="W172" s="30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9"/>
      <c r="AT172" s="30"/>
      <c r="AU172" s="30"/>
      <c r="AV172" s="30"/>
      <c r="AW172" s="27"/>
      <c r="AX172" s="27"/>
      <c r="AY172" s="29"/>
      <c r="AZ172" s="27"/>
      <c r="BA172" s="27"/>
      <c r="BB172" s="29"/>
      <c r="BC172" s="30"/>
      <c r="BD172" s="30"/>
      <c r="BE172" s="30"/>
      <c r="BF172" s="27"/>
      <c r="BG172" s="27"/>
      <c r="BH172" s="28" t="str">
        <f aca="false">IF(COUNT(BC172:BE172)=0,"",IF(MIN(BC172:BE172)&lt;=-2.5,"Yes","No"))</f>
        <v/>
      </c>
      <c r="BI172" s="27"/>
      <c r="BJ172" s="29"/>
      <c r="BK172" s="27"/>
      <c r="BL172" s="27"/>
      <c r="BM172" s="27"/>
      <c r="BN172" s="28" t="str">
        <f aca="false">IF(OR(AX172="Yes",BI172="Yes"),"Yes",IF(AND(AX172="No",BI172="No"),"No",IF(AND(AX172="",BI172=""),"","Unknown")))</f>
        <v/>
      </c>
      <c r="BO172" s="31" t="str">
        <f aca="false">IF(COUNT(AY172,BJ172)=0,"",MIN(AY172,BJ172))</f>
        <v/>
      </c>
      <c r="BP172" s="29"/>
      <c r="BQ172" s="29"/>
      <c r="BR172" s="29"/>
      <c r="BS172" s="28" t="str">
        <f aca="false">IF(AND(N(BP172)&gt;0,N(BR172)&gt;0),BR172-BP172,"")</f>
        <v/>
      </c>
      <c r="BT172" s="28" t="str">
        <f aca="false">IF(BS172="","",ROUND(BS172/365.25,2))</f>
        <v/>
      </c>
      <c r="BU172" s="28" t="str">
        <f aca="false">IF(BS172="","",IF(BS172&gt;=730.5,"Yes","No"))</f>
        <v/>
      </c>
      <c r="BV172" s="27"/>
      <c r="BW172" s="29"/>
      <c r="BX172" s="27"/>
      <c r="BY172" s="27"/>
      <c r="BZ172" s="28" t="str">
        <f aca="false">IF(N(E172)=0,"",IF(E172&lt;65,"Under 65","≥65"))</f>
        <v/>
      </c>
      <c r="CA172" s="28" t="str">
        <f aca="false">IF(OR(AC172="Yes",AC172="No"),AC172,"")</f>
        <v/>
      </c>
      <c r="CB172" s="28" t="str">
        <f aca="false">IF(OR(AD172="Yes",AD172="No"),AD172,"")</f>
        <v/>
      </c>
      <c r="CC172" s="28" t="str">
        <f aca="false">IF(F172="","",F172)</f>
        <v/>
      </c>
      <c r="CD172" s="27"/>
      <c r="CE172" s="27"/>
    </row>
    <row r="173" customFormat="false" ht="15" hidden="false" customHeight="false" outlineLevel="0" collapsed="false">
      <c r="A173" s="27"/>
      <c r="B173" s="27"/>
      <c r="C173" s="27"/>
      <c r="D173" s="27"/>
      <c r="E173" s="27"/>
      <c r="F173" s="27"/>
      <c r="G173" s="27"/>
      <c r="H173" s="27"/>
      <c r="I173" s="27"/>
      <c r="J173" s="28" t="str">
        <f aca="false">IF(AND(N(H173)&gt;0,N(I173)&gt;0),ROUND(I173/(H173/100)^2,1),"")</f>
        <v/>
      </c>
      <c r="K173" s="27"/>
      <c r="L173" s="27"/>
      <c r="M173" s="27"/>
      <c r="N173" s="27"/>
      <c r="O173" s="27"/>
      <c r="P173" s="27"/>
      <c r="Q173" s="27"/>
      <c r="R173" s="29"/>
      <c r="S173" s="29"/>
      <c r="T173" s="27"/>
      <c r="U173" s="28" t="str">
        <f aca="false">IF(N(T173)=0,"",IF(T173&lt;12,"Under 12 months",IF(T173&lt;36,"12-35 months",IF(T173&lt;60,"36-59 months","≥60 months"))))</f>
        <v/>
      </c>
      <c r="V173" s="27"/>
      <c r="W173" s="30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9"/>
      <c r="AT173" s="30"/>
      <c r="AU173" s="30"/>
      <c r="AV173" s="30"/>
      <c r="AW173" s="27"/>
      <c r="AX173" s="27"/>
      <c r="AY173" s="29"/>
      <c r="AZ173" s="27"/>
      <c r="BA173" s="27"/>
      <c r="BB173" s="29"/>
      <c r="BC173" s="30"/>
      <c r="BD173" s="30"/>
      <c r="BE173" s="30"/>
      <c r="BF173" s="27"/>
      <c r="BG173" s="27"/>
      <c r="BH173" s="28" t="str">
        <f aca="false">IF(COUNT(BC173:BE173)=0,"",IF(MIN(BC173:BE173)&lt;=-2.5,"Yes","No"))</f>
        <v/>
      </c>
      <c r="BI173" s="27"/>
      <c r="BJ173" s="29"/>
      <c r="BK173" s="27"/>
      <c r="BL173" s="27"/>
      <c r="BM173" s="27"/>
      <c r="BN173" s="28" t="str">
        <f aca="false">IF(OR(AX173="Yes",BI173="Yes"),"Yes",IF(AND(AX173="No",BI173="No"),"No",IF(AND(AX173="",BI173=""),"","Unknown")))</f>
        <v/>
      </c>
      <c r="BO173" s="31" t="str">
        <f aca="false">IF(COUNT(AY173,BJ173)=0,"",MIN(AY173,BJ173))</f>
        <v/>
      </c>
      <c r="BP173" s="29"/>
      <c r="BQ173" s="29"/>
      <c r="BR173" s="29"/>
      <c r="BS173" s="28" t="str">
        <f aca="false">IF(AND(N(BP173)&gt;0,N(BR173)&gt;0),BR173-BP173,"")</f>
        <v/>
      </c>
      <c r="BT173" s="28" t="str">
        <f aca="false">IF(BS173="","",ROUND(BS173/365.25,2))</f>
        <v/>
      </c>
      <c r="BU173" s="28" t="str">
        <f aca="false">IF(BS173="","",IF(BS173&gt;=730.5,"Yes","No"))</f>
        <v/>
      </c>
      <c r="BV173" s="27"/>
      <c r="BW173" s="29"/>
      <c r="BX173" s="27"/>
      <c r="BY173" s="27"/>
      <c r="BZ173" s="28" t="str">
        <f aca="false">IF(N(E173)=0,"",IF(E173&lt;65,"Under 65","≥65"))</f>
        <v/>
      </c>
      <c r="CA173" s="28" t="str">
        <f aca="false">IF(OR(AC173="Yes",AC173="No"),AC173,"")</f>
        <v/>
      </c>
      <c r="CB173" s="28" t="str">
        <f aca="false">IF(OR(AD173="Yes",AD173="No"),AD173,"")</f>
        <v/>
      </c>
      <c r="CC173" s="28" t="str">
        <f aca="false">IF(F173="","",F173)</f>
        <v/>
      </c>
      <c r="CD173" s="27"/>
      <c r="CE173" s="27"/>
    </row>
    <row r="174" customFormat="false" ht="15" hidden="false" customHeight="false" outlineLevel="0" collapsed="false">
      <c r="A174" s="27"/>
      <c r="B174" s="27"/>
      <c r="C174" s="27"/>
      <c r="D174" s="27"/>
      <c r="E174" s="27"/>
      <c r="F174" s="27"/>
      <c r="G174" s="27"/>
      <c r="H174" s="27"/>
      <c r="I174" s="27"/>
      <c r="J174" s="28" t="str">
        <f aca="false">IF(AND(N(H174)&gt;0,N(I174)&gt;0),ROUND(I174/(H174/100)^2,1),"")</f>
        <v/>
      </c>
      <c r="K174" s="27"/>
      <c r="L174" s="27"/>
      <c r="M174" s="27"/>
      <c r="N174" s="27"/>
      <c r="O174" s="27"/>
      <c r="P174" s="27"/>
      <c r="Q174" s="27"/>
      <c r="R174" s="29"/>
      <c r="S174" s="29"/>
      <c r="T174" s="27"/>
      <c r="U174" s="28" t="str">
        <f aca="false">IF(N(T174)=0,"",IF(T174&lt;12,"Under 12 months",IF(T174&lt;36,"12-35 months",IF(T174&lt;60,"36-59 months","≥60 months"))))</f>
        <v/>
      </c>
      <c r="V174" s="27"/>
      <c r="W174" s="30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9"/>
      <c r="AT174" s="30"/>
      <c r="AU174" s="30"/>
      <c r="AV174" s="30"/>
      <c r="AW174" s="27"/>
      <c r="AX174" s="27"/>
      <c r="AY174" s="29"/>
      <c r="AZ174" s="27"/>
      <c r="BA174" s="27"/>
      <c r="BB174" s="29"/>
      <c r="BC174" s="30"/>
      <c r="BD174" s="30"/>
      <c r="BE174" s="30"/>
      <c r="BF174" s="27"/>
      <c r="BG174" s="27"/>
      <c r="BH174" s="28" t="str">
        <f aca="false">IF(COUNT(BC174:BE174)=0,"",IF(MIN(BC174:BE174)&lt;=-2.5,"Yes","No"))</f>
        <v/>
      </c>
      <c r="BI174" s="27"/>
      <c r="BJ174" s="29"/>
      <c r="BK174" s="27"/>
      <c r="BL174" s="27"/>
      <c r="BM174" s="27"/>
      <c r="BN174" s="28" t="str">
        <f aca="false">IF(OR(AX174="Yes",BI174="Yes"),"Yes",IF(AND(AX174="No",BI174="No"),"No",IF(AND(AX174="",BI174=""),"","Unknown")))</f>
        <v/>
      </c>
      <c r="BO174" s="31" t="str">
        <f aca="false">IF(COUNT(AY174,BJ174)=0,"",MIN(AY174,BJ174))</f>
        <v/>
      </c>
      <c r="BP174" s="29"/>
      <c r="BQ174" s="29"/>
      <c r="BR174" s="29"/>
      <c r="BS174" s="28" t="str">
        <f aca="false">IF(AND(N(BP174)&gt;0,N(BR174)&gt;0),BR174-BP174,"")</f>
        <v/>
      </c>
      <c r="BT174" s="28" t="str">
        <f aca="false">IF(BS174="","",ROUND(BS174/365.25,2))</f>
        <v/>
      </c>
      <c r="BU174" s="28" t="str">
        <f aca="false">IF(BS174="","",IF(BS174&gt;=730.5,"Yes","No"))</f>
        <v/>
      </c>
      <c r="BV174" s="27"/>
      <c r="BW174" s="29"/>
      <c r="BX174" s="27"/>
      <c r="BY174" s="27"/>
      <c r="BZ174" s="28" t="str">
        <f aca="false">IF(N(E174)=0,"",IF(E174&lt;65,"Under 65","≥65"))</f>
        <v/>
      </c>
      <c r="CA174" s="28" t="str">
        <f aca="false">IF(OR(AC174="Yes",AC174="No"),AC174,"")</f>
        <v/>
      </c>
      <c r="CB174" s="28" t="str">
        <f aca="false">IF(OR(AD174="Yes",AD174="No"),AD174,"")</f>
        <v/>
      </c>
      <c r="CC174" s="28" t="str">
        <f aca="false">IF(F174="","",F174)</f>
        <v/>
      </c>
      <c r="CD174" s="27"/>
      <c r="CE174" s="27"/>
    </row>
    <row r="175" customFormat="false" ht="15" hidden="false" customHeight="false" outlineLevel="0" collapsed="false">
      <c r="A175" s="27"/>
      <c r="B175" s="27"/>
      <c r="C175" s="27"/>
      <c r="D175" s="27"/>
      <c r="E175" s="27"/>
      <c r="F175" s="27"/>
      <c r="G175" s="27"/>
      <c r="H175" s="27"/>
      <c r="I175" s="27"/>
      <c r="J175" s="28" t="str">
        <f aca="false">IF(AND(N(H175)&gt;0,N(I175)&gt;0),ROUND(I175/(H175/100)^2,1),"")</f>
        <v/>
      </c>
      <c r="K175" s="27"/>
      <c r="L175" s="27"/>
      <c r="M175" s="27"/>
      <c r="N175" s="27"/>
      <c r="O175" s="27"/>
      <c r="P175" s="27"/>
      <c r="Q175" s="27"/>
      <c r="R175" s="29"/>
      <c r="S175" s="29"/>
      <c r="T175" s="27"/>
      <c r="U175" s="28" t="str">
        <f aca="false">IF(N(T175)=0,"",IF(T175&lt;12,"Under 12 months",IF(T175&lt;36,"12-35 months",IF(T175&lt;60,"36-59 months","≥60 months"))))</f>
        <v/>
      </c>
      <c r="V175" s="27"/>
      <c r="W175" s="30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9"/>
      <c r="AT175" s="30"/>
      <c r="AU175" s="30"/>
      <c r="AV175" s="30"/>
      <c r="AW175" s="27"/>
      <c r="AX175" s="27"/>
      <c r="AY175" s="29"/>
      <c r="AZ175" s="27"/>
      <c r="BA175" s="27"/>
      <c r="BB175" s="29"/>
      <c r="BC175" s="30"/>
      <c r="BD175" s="30"/>
      <c r="BE175" s="30"/>
      <c r="BF175" s="27"/>
      <c r="BG175" s="27"/>
      <c r="BH175" s="28" t="str">
        <f aca="false">IF(COUNT(BC175:BE175)=0,"",IF(MIN(BC175:BE175)&lt;=-2.5,"Yes","No"))</f>
        <v/>
      </c>
      <c r="BI175" s="27"/>
      <c r="BJ175" s="29"/>
      <c r="BK175" s="27"/>
      <c r="BL175" s="27"/>
      <c r="BM175" s="27"/>
      <c r="BN175" s="28" t="str">
        <f aca="false">IF(OR(AX175="Yes",BI175="Yes"),"Yes",IF(AND(AX175="No",BI175="No"),"No",IF(AND(AX175="",BI175=""),"","Unknown")))</f>
        <v/>
      </c>
      <c r="BO175" s="31" t="str">
        <f aca="false">IF(COUNT(AY175,BJ175)=0,"",MIN(AY175,BJ175))</f>
        <v/>
      </c>
      <c r="BP175" s="29"/>
      <c r="BQ175" s="29"/>
      <c r="BR175" s="29"/>
      <c r="BS175" s="28" t="str">
        <f aca="false">IF(AND(N(BP175)&gt;0,N(BR175)&gt;0),BR175-BP175,"")</f>
        <v/>
      </c>
      <c r="BT175" s="28" t="str">
        <f aca="false">IF(BS175="","",ROUND(BS175/365.25,2))</f>
        <v/>
      </c>
      <c r="BU175" s="28" t="str">
        <f aca="false">IF(BS175="","",IF(BS175&gt;=730.5,"Yes","No"))</f>
        <v/>
      </c>
      <c r="BV175" s="27"/>
      <c r="BW175" s="29"/>
      <c r="BX175" s="27"/>
      <c r="BY175" s="27"/>
      <c r="BZ175" s="28" t="str">
        <f aca="false">IF(N(E175)=0,"",IF(E175&lt;65,"Under 65","≥65"))</f>
        <v/>
      </c>
      <c r="CA175" s="28" t="str">
        <f aca="false">IF(OR(AC175="Yes",AC175="No"),AC175,"")</f>
        <v/>
      </c>
      <c r="CB175" s="28" t="str">
        <f aca="false">IF(OR(AD175="Yes",AD175="No"),AD175,"")</f>
        <v/>
      </c>
      <c r="CC175" s="28" t="str">
        <f aca="false">IF(F175="","",F175)</f>
        <v/>
      </c>
      <c r="CD175" s="27"/>
      <c r="CE175" s="27"/>
    </row>
    <row r="176" customFormat="false" ht="15" hidden="false" customHeight="false" outlineLevel="0" collapsed="false">
      <c r="A176" s="27"/>
      <c r="B176" s="27"/>
      <c r="C176" s="27"/>
      <c r="D176" s="27"/>
      <c r="E176" s="27"/>
      <c r="F176" s="27"/>
      <c r="G176" s="27"/>
      <c r="H176" s="27"/>
      <c r="I176" s="27"/>
      <c r="J176" s="28" t="str">
        <f aca="false">IF(AND(N(H176)&gt;0,N(I176)&gt;0),ROUND(I176/(H176/100)^2,1),"")</f>
        <v/>
      </c>
      <c r="K176" s="27"/>
      <c r="L176" s="27"/>
      <c r="M176" s="27"/>
      <c r="N176" s="27"/>
      <c r="O176" s="27"/>
      <c r="P176" s="27"/>
      <c r="Q176" s="27"/>
      <c r="R176" s="29"/>
      <c r="S176" s="29"/>
      <c r="T176" s="27"/>
      <c r="U176" s="28" t="str">
        <f aca="false">IF(N(T176)=0,"",IF(T176&lt;12,"Under 12 months",IF(T176&lt;36,"12-35 months",IF(T176&lt;60,"36-59 months","≥60 months"))))</f>
        <v/>
      </c>
      <c r="V176" s="27"/>
      <c r="W176" s="30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9"/>
      <c r="AT176" s="30"/>
      <c r="AU176" s="30"/>
      <c r="AV176" s="30"/>
      <c r="AW176" s="27"/>
      <c r="AX176" s="27"/>
      <c r="AY176" s="29"/>
      <c r="AZ176" s="27"/>
      <c r="BA176" s="27"/>
      <c r="BB176" s="29"/>
      <c r="BC176" s="30"/>
      <c r="BD176" s="30"/>
      <c r="BE176" s="30"/>
      <c r="BF176" s="27"/>
      <c r="BG176" s="27"/>
      <c r="BH176" s="28" t="str">
        <f aca="false">IF(COUNT(BC176:BE176)=0,"",IF(MIN(BC176:BE176)&lt;=-2.5,"Yes","No"))</f>
        <v/>
      </c>
      <c r="BI176" s="27"/>
      <c r="BJ176" s="29"/>
      <c r="BK176" s="27"/>
      <c r="BL176" s="27"/>
      <c r="BM176" s="27"/>
      <c r="BN176" s="28" t="str">
        <f aca="false">IF(OR(AX176="Yes",BI176="Yes"),"Yes",IF(AND(AX176="No",BI176="No"),"No",IF(AND(AX176="",BI176=""),"","Unknown")))</f>
        <v/>
      </c>
      <c r="BO176" s="31" t="str">
        <f aca="false">IF(COUNT(AY176,BJ176)=0,"",MIN(AY176,BJ176))</f>
        <v/>
      </c>
      <c r="BP176" s="29"/>
      <c r="BQ176" s="29"/>
      <c r="BR176" s="29"/>
      <c r="BS176" s="28" t="str">
        <f aca="false">IF(AND(N(BP176)&gt;0,N(BR176)&gt;0),BR176-BP176,"")</f>
        <v/>
      </c>
      <c r="BT176" s="28" t="str">
        <f aca="false">IF(BS176="","",ROUND(BS176/365.25,2))</f>
        <v/>
      </c>
      <c r="BU176" s="28" t="str">
        <f aca="false">IF(BS176="","",IF(BS176&gt;=730.5,"Yes","No"))</f>
        <v/>
      </c>
      <c r="BV176" s="27"/>
      <c r="BW176" s="29"/>
      <c r="BX176" s="27"/>
      <c r="BY176" s="27"/>
      <c r="BZ176" s="28" t="str">
        <f aca="false">IF(N(E176)=0,"",IF(E176&lt;65,"Under 65","≥65"))</f>
        <v/>
      </c>
      <c r="CA176" s="28" t="str">
        <f aca="false">IF(OR(AC176="Yes",AC176="No"),AC176,"")</f>
        <v/>
      </c>
      <c r="CB176" s="28" t="str">
        <f aca="false">IF(OR(AD176="Yes",AD176="No"),AD176,"")</f>
        <v/>
      </c>
      <c r="CC176" s="28" t="str">
        <f aca="false">IF(F176="","",F176)</f>
        <v/>
      </c>
      <c r="CD176" s="27"/>
      <c r="CE176" s="27"/>
    </row>
    <row r="177" customFormat="false" ht="15" hidden="false" customHeight="false" outlineLevel="0" collapsed="false">
      <c r="A177" s="27"/>
      <c r="B177" s="27"/>
      <c r="C177" s="27"/>
      <c r="D177" s="27"/>
      <c r="E177" s="27"/>
      <c r="F177" s="27"/>
      <c r="G177" s="27"/>
      <c r="H177" s="27"/>
      <c r="I177" s="27"/>
      <c r="J177" s="28" t="str">
        <f aca="false">IF(AND(N(H177)&gt;0,N(I177)&gt;0),ROUND(I177/(H177/100)^2,1),"")</f>
        <v/>
      </c>
      <c r="K177" s="27"/>
      <c r="L177" s="27"/>
      <c r="M177" s="27"/>
      <c r="N177" s="27"/>
      <c r="O177" s="27"/>
      <c r="P177" s="27"/>
      <c r="Q177" s="27"/>
      <c r="R177" s="29"/>
      <c r="S177" s="29"/>
      <c r="T177" s="27"/>
      <c r="U177" s="28" t="str">
        <f aca="false">IF(N(T177)=0,"",IF(T177&lt;12,"Under 12 months",IF(T177&lt;36,"12-35 months",IF(T177&lt;60,"36-59 months","≥60 months"))))</f>
        <v/>
      </c>
      <c r="V177" s="27"/>
      <c r="W177" s="30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9"/>
      <c r="AT177" s="30"/>
      <c r="AU177" s="30"/>
      <c r="AV177" s="30"/>
      <c r="AW177" s="27"/>
      <c r="AX177" s="27"/>
      <c r="AY177" s="29"/>
      <c r="AZ177" s="27"/>
      <c r="BA177" s="27"/>
      <c r="BB177" s="29"/>
      <c r="BC177" s="30"/>
      <c r="BD177" s="30"/>
      <c r="BE177" s="30"/>
      <c r="BF177" s="27"/>
      <c r="BG177" s="27"/>
      <c r="BH177" s="28" t="str">
        <f aca="false">IF(COUNT(BC177:BE177)=0,"",IF(MIN(BC177:BE177)&lt;=-2.5,"Yes","No"))</f>
        <v/>
      </c>
      <c r="BI177" s="27"/>
      <c r="BJ177" s="29"/>
      <c r="BK177" s="27"/>
      <c r="BL177" s="27"/>
      <c r="BM177" s="27"/>
      <c r="BN177" s="28" t="str">
        <f aca="false">IF(OR(AX177="Yes",BI177="Yes"),"Yes",IF(AND(AX177="No",BI177="No"),"No",IF(AND(AX177="",BI177=""),"","Unknown")))</f>
        <v/>
      </c>
      <c r="BO177" s="31" t="str">
        <f aca="false">IF(COUNT(AY177,BJ177)=0,"",MIN(AY177,BJ177))</f>
        <v/>
      </c>
      <c r="BP177" s="29"/>
      <c r="BQ177" s="29"/>
      <c r="BR177" s="29"/>
      <c r="BS177" s="28" t="str">
        <f aca="false">IF(AND(N(BP177)&gt;0,N(BR177)&gt;0),BR177-BP177,"")</f>
        <v/>
      </c>
      <c r="BT177" s="28" t="str">
        <f aca="false">IF(BS177="","",ROUND(BS177/365.25,2))</f>
        <v/>
      </c>
      <c r="BU177" s="28" t="str">
        <f aca="false">IF(BS177="","",IF(BS177&gt;=730.5,"Yes","No"))</f>
        <v/>
      </c>
      <c r="BV177" s="27"/>
      <c r="BW177" s="29"/>
      <c r="BX177" s="27"/>
      <c r="BY177" s="27"/>
      <c r="BZ177" s="28" t="str">
        <f aca="false">IF(N(E177)=0,"",IF(E177&lt;65,"Under 65","≥65"))</f>
        <v/>
      </c>
      <c r="CA177" s="28" t="str">
        <f aca="false">IF(OR(AC177="Yes",AC177="No"),AC177,"")</f>
        <v/>
      </c>
      <c r="CB177" s="28" t="str">
        <f aca="false">IF(OR(AD177="Yes",AD177="No"),AD177,"")</f>
        <v/>
      </c>
      <c r="CC177" s="28" t="str">
        <f aca="false">IF(F177="","",F177)</f>
        <v/>
      </c>
      <c r="CD177" s="27"/>
      <c r="CE177" s="27"/>
    </row>
    <row r="178" customFormat="false" ht="15" hidden="false" customHeight="false" outlineLevel="0" collapsed="false">
      <c r="A178" s="27"/>
      <c r="B178" s="27"/>
      <c r="C178" s="27"/>
      <c r="D178" s="27"/>
      <c r="E178" s="27"/>
      <c r="F178" s="27"/>
      <c r="G178" s="27"/>
      <c r="H178" s="27"/>
      <c r="I178" s="27"/>
      <c r="J178" s="28" t="str">
        <f aca="false">IF(AND(N(H178)&gt;0,N(I178)&gt;0),ROUND(I178/(H178/100)^2,1),"")</f>
        <v/>
      </c>
      <c r="K178" s="27"/>
      <c r="L178" s="27"/>
      <c r="M178" s="27"/>
      <c r="N178" s="27"/>
      <c r="O178" s="27"/>
      <c r="P178" s="27"/>
      <c r="Q178" s="27"/>
      <c r="R178" s="29"/>
      <c r="S178" s="29"/>
      <c r="T178" s="27"/>
      <c r="U178" s="28" t="str">
        <f aca="false">IF(N(T178)=0,"",IF(T178&lt;12,"Under 12 months",IF(T178&lt;36,"12-35 months",IF(T178&lt;60,"36-59 months","≥60 months"))))</f>
        <v/>
      </c>
      <c r="V178" s="27"/>
      <c r="W178" s="30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9"/>
      <c r="AT178" s="30"/>
      <c r="AU178" s="30"/>
      <c r="AV178" s="30"/>
      <c r="AW178" s="27"/>
      <c r="AX178" s="27"/>
      <c r="AY178" s="29"/>
      <c r="AZ178" s="27"/>
      <c r="BA178" s="27"/>
      <c r="BB178" s="29"/>
      <c r="BC178" s="30"/>
      <c r="BD178" s="30"/>
      <c r="BE178" s="30"/>
      <c r="BF178" s="27"/>
      <c r="BG178" s="27"/>
      <c r="BH178" s="28" t="str">
        <f aca="false">IF(COUNT(BC178:BE178)=0,"",IF(MIN(BC178:BE178)&lt;=-2.5,"Yes","No"))</f>
        <v/>
      </c>
      <c r="BI178" s="27"/>
      <c r="BJ178" s="29"/>
      <c r="BK178" s="27"/>
      <c r="BL178" s="27"/>
      <c r="BM178" s="27"/>
      <c r="BN178" s="28" t="str">
        <f aca="false">IF(OR(AX178="Yes",BI178="Yes"),"Yes",IF(AND(AX178="No",BI178="No"),"No",IF(AND(AX178="",BI178=""),"","Unknown")))</f>
        <v/>
      </c>
      <c r="BO178" s="31" t="str">
        <f aca="false">IF(COUNT(AY178,BJ178)=0,"",MIN(AY178,BJ178))</f>
        <v/>
      </c>
      <c r="BP178" s="29"/>
      <c r="BQ178" s="29"/>
      <c r="BR178" s="29"/>
      <c r="BS178" s="28" t="str">
        <f aca="false">IF(AND(N(BP178)&gt;0,N(BR178)&gt;0),BR178-BP178,"")</f>
        <v/>
      </c>
      <c r="BT178" s="28" t="str">
        <f aca="false">IF(BS178="","",ROUND(BS178/365.25,2))</f>
        <v/>
      </c>
      <c r="BU178" s="28" t="str">
        <f aca="false">IF(BS178="","",IF(BS178&gt;=730.5,"Yes","No"))</f>
        <v/>
      </c>
      <c r="BV178" s="27"/>
      <c r="BW178" s="29"/>
      <c r="BX178" s="27"/>
      <c r="BY178" s="27"/>
      <c r="BZ178" s="28" t="str">
        <f aca="false">IF(N(E178)=0,"",IF(E178&lt;65,"Under 65","≥65"))</f>
        <v/>
      </c>
      <c r="CA178" s="28" t="str">
        <f aca="false">IF(OR(AC178="Yes",AC178="No"),AC178,"")</f>
        <v/>
      </c>
      <c r="CB178" s="28" t="str">
        <f aca="false">IF(OR(AD178="Yes",AD178="No"),AD178,"")</f>
        <v/>
      </c>
      <c r="CC178" s="28" t="str">
        <f aca="false">IF(F178="","",F178)</f>
        <v/>
      </c>
      <c r="CD178" s="27"/>
      <c r="CE178" s="27"/>
    </row>
    <row r="179" customFormat="false" ht="15" hidden="false" customHeight="false" outlineLevel="0" collapsed="false">
      <c r="A179" s="27"/>
      <c r="B179" s="27"/>
      <c r="C179" s="27"/>
      <c r="D179" s="27"/>
      <c r="E179" s="27"/>
      <c r="F179" s="27"/>
      <c r="G179" s="27"/>
      <c r="H179" s="27"/>
      <c r="I179" s="27"/>
      <c r="J179" s="28" t="str">
        <f aca="false">IF(AND(N(H179)&gt;0,N(I179)&gt;0),ROUND(I179/(H179/100)^2,1),"")</f>
        <v/>
      </c>
      <c r="K179" s="27"/>
      <c r="L179" s="27"/>
      <c r="M179" s="27"/>
      <c r="N179" s="27"/>
      <c r="O179" s="27"/>
      <c r="P179" s="27"/>
      <c r="Q179" s="27"/>
      <c r="R179" s="29"/>
      <c r="S179" s="29"/>
      <c r="T179" s="27"/>
      <c r="U179" s="28" t="str">
        <f aca="false">IF(N(T179)=0,"",IF(T179&lt;12,"Under 12 months",IF(T179&lt;36,"12-35 months",IF(T179&lt;60,"36-59 months","≥60 months"))))</f>
        <v/>
      </c>
      <c r="V179" s="27"/>
      <c r="W179" s="30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9"/>
      <c r="AT179" s="30"/>
      <c r="AU179" s="30"/>
      <c r="AV179" s="30"/>
      <c r="AW179" s="27"/>
      <c r="AX179" s="27"/>
      <c r="AY179" s="29"/>
      <c r="AZ179" s="27"/>
      <c r="BA179" s="27"/>
      <c r="BB179" s="29"/>
      <c r="BC179" s="30"/>
      <c r="BD179" s="30"/>
      <c r="BE179" s="30"/>
      <c r="BF179" s="27"/>
      <c r="BG179" s="27"/>
      <c r="BH179" s="28" t="str">
        <f aca="false">IF(COUNT(BC179:BE179)=0,"",IF(MIN(BC179:BE179)&lt;=-2.5,"Yes","No"))</f>
        <v/>
      </c>
      <c r="BI179" s="27"/>
      <c r="BJ179" s="29"/>
      <c r="BK179" s="27"/>
      <c r="BL179" s="27"/>
      <c r="BM179" s="27"/>
      <c r="BN179" s="28" t="str">
        <f aca="false">IF(OR(AX179="Yes",BI179="Yes"),"Yes",IF(AND(AX179="No",BI179="No"),"No",IF(AND(AX179="",BI179=""),"","Unknown")))</f>
        <v/>
      </c>
      <c r="BO179" s="31" t="str">
        <f aca="false">IF(COUNT(AY179,BJ179)=0,"",MIN(AY179,BJ179))</f>
        <v/>
      </c>
      <c r="BP179" s="29"/>
      <c r="BQ179" s="29"/>
      <c r="BR179" s="29"/>
      <c r="BS179" s="28" t="str">
        <f aca="false">IF(AND(N(BP179)&gt;0,N(BR179)&gt;0),BR179-BP179,"")</f>
        <v/>
      </c>
      <c r="BT179" s="28" t="str">
        <f aca="false">IF(BS179="","",ROUND(BS179/365.25,2))</f>
        <v/>
      </c>
      <c r="BU179" s="28" t="str">
        <f aca="false">IF(BS179="","",IF(BS179&gt;=730.5,"Yes","No"))</f>
        <v/>
      </c>
      <c r="BV179" s="27"/>
      <c r="BW179" s="29"/>
      <c r="BX179" s="27"/>
      <c r="BY179" s="27"/>
      <c r="BZ179" s="28" t="str">
        <f aca="false">IF(N(E179)=0,"",IF(E179&lt;65,"Under 65","≥65"))</f>
        <v/>
      </c>
      <c r="CA179" s="28" t="str">
        <f aca="false">IF(OR(AC179="Yes",AC179="No"),AC179,"")</f>
        <v/>
      </c>
      <c r="CB179" s="28" t="str">
        <f aca="false">IF(OR(AD179="Yes",AD179="No"),AD179,"")</f>
        <v/>
      </c>
      <c r="CC179" s="28" t="str">
        <f aca="false">IF(F179="","",F179)</f>
        <v/>
      </c>
      <c r="CD179" s="27"/>
      <c r="CE179" s="27"/>
    </row>
    <row r="180" customFormat="false" ht="15" hidden="false" customHeight="false" outlineLevel="0" collapsed="false">
      <c r="A180" s="27"/>
      <c r="B180" s="27"/>
      <c r="C180" s="27"/>
      <c r="D180" s="27"/>
      <c r="E180" s="27"/>
      <c r="F180" s="27"/>
      <c r="G180" s="27"/>
      <c r="H180" s="27"/>
      <c r="I180" s="27"/>
      <c r="J180" s="28" t="str">
        <f aca="false">IF(AND(N(H180)&gt;0,N(I180)&gt;0),ROUND(I180/(H180/100)^2,1),"")</f>
        <v/>
      </c>
      <c r="K180" s="27"/>
      <c r="L180" s="27"/>
      <c r="M180" s="27"/>
      <c r="N180" s="27"/>
      <c r="O180" s="27"/>
      <c r="P180" s="27"/>
      <c r="Q180" s="27"/>
      <c r="R180" s="29"/>
      <c r="S180" s="29"/>
      <c r="T180" s="27"/>
      <c r="U180" s="28" t="str">
        <f aca="false">IF(N(T180)=0,"",IF(T180&lt;12,"Under 12 months",IF(T180&lt;36,"12-35 months",IF(T180&lt;60,"36-59 months","≥60 months"))))</f>
        <v/>
      </c>
      <c r="V180" s="27"/>
      <c r="W180" s="30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9"/>
      <c r="AT180" s="30"/>
      <c r="AU180" s="30"/>
      <c r="AV180" s="30"/>
      <c r="AW180" s="27"/>
      <c r="AX180" s="27"/>
      <c r="AY180" s="29"/>
      <c r="AZ180" s="27"/>
      <c r="BA180" s="27"/>
      <c r="BB180" s="29"/>
      <c r="BC180" s="30"/>
      <c r="BD180" s="30"/>
      <c r="BE180" s="30"/>
      <c r="BF180" s="27"/>
      <c r="BG180" s="27"/>
      <c r="BH180" s="28" t="str">
        <f aca="false">IF(COUNT(BC180:BE180)=0,"",IF(MIN(BC180:BE180)&lt;=-2.5,"Yes","No"))</f>
        <v/>
      </c>
      <c r="BI180" s="27"/>
      <c r="BJ180" s="29"/>
      <c r="BK180" s="27"/>
      <c r="BL180" s="27"/>
      <c r="BM180" s="27"/>
      <c r="BN180" s="28" t="str">
        <f aca="false">IF(OR(AX180="Yes",BI180="Yes"),"Yes",IF(AND(AX180="No",BI180="No"),"No",IF(AND(AX180="",BI180=""),"","Unknown")))</f>
        <v/>
      </c>
      <c r="BO180" s="31" t="str">
        <f aca="false">IF(COUNT(AY180,BJ180)=0,"",MIN(AY180,BJ180))</f>
        <v/>
      </c>
      <c r="BP180" s="29"/>
      <c r="BQ180" s="29"/>
      <c r="BR180" s="29"/>
      <c r="BS180" s="28" t="str">
        <f aca="false">IF(AND(N(BP180)&gt;0,N(BR180)&gt;0),BR180-BP180,"")</f>
        <v/>
      </c>
      <c r="BT180" s="28" t="str">
        <f aca="false">IF(BS180="","",ROUND(BS180/365.25,2))</f>
        <v/>
      </c>
      <c r="BU180" s="28" t="str">
        <f aca="false">IF(BS180="","",IF(BS180&gt;=730.5,"Yes","No"))</f>
        <v/>
      </c>
      <c r="BV180" s="27"/>
      <c r="BW180" s="29"/>
      <c r="BX180" s="27"/>
      <c r="BY180" s="27"/>
      <c r="BZ180" s="28" t="str">
        <f aca="false">IF(N(E180)=0,"",IF(E180&lt;65,"Under 65","≥65"))</f>
        <v/>
      </c>
      <c r="CA180" s="28" t="str">
        <f aca="false">IF(OR(AC180="Yes",AC180="No"),AC180,"")</f>
        <v/>
      </c>
      <c r="CB180" s="28" t="str">
        <f aca="false">IF(OR(AD180="Yes",AD180="No"),AD180,"")</f>
        <v/>
      </c>
      <c r="CC180" s="28" t="str">
        <f aca="false">IF(F180="","",F180)</f>
        <v/>
      </c>
      <c r="CD180" s="27"/>
      <c r="CE180" s="27"/>
    </row>
    <row r="181" customFormat="false" ht="15" hidden="false" customHeight="false" outlineLevel="0" collapsed="false">
      <c r="A181" s="27"/>
      <c r="B181" s="27"/>
      <c r="C181" s="27"/>
      <c r="D181" s="27"/>
      <c r="E181" s="27"/>
      <c r="F181" s="27"/>
      <c r="G181" s="27"/>
      <c r="H181" s="27"/>
      <c r="I181" s="27"/>
      <c r="J181" s="28" t="str">
        <f aca="false">IF(AND(N(H181)&gt;0,N(I181)&gt;0),ROUND(I181/(H181/100)^2,1),"")</f>
        <v/>
      </c>
      <c r="K181" s="27"/>
      <c r="L181" s="27"/>
      <c r="M181" s="27"/>
      <c r="N181" s="27"/>
      <c r="O181" s="27"/>
      <c r="P181" s="27"/>
      <c r="Q181" s="27"/>
      <c r="R181" s="29"/>
      <c r="S181" s="29"/>
      <c r="T181" s="27"/>
      <c r="U181" s="28" t="str">
        <f aca="false">IF(N(T181)=0,"",IF(T181&lt;12,"Under 12 months",IF(T181&lt;36,"12-35 months",IF(T181&lt;60,"36-59 months","≥60 months"))))</f>
        <v/>
      </c>
      <c r="V181" s="27"/>
      <c r="W181" s="30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9"/>
      <c r="AT181" s="30"/>
      <c r="AU181" s="30"/>
      <c r="AV181" s="30"/>
      <c r="AW181" s="27"/>
      <c r="AX181" s="27"/>
      <c r="AY181" s="29"/>
      <c r="AZ181" s="27"/>
      <c r="BA181" s="27"/>
      <c r="BB181" s="29"/>
      <c r="BC181" s="30"/>
      <c r="BD181" s="30"/>
      <c r="BE181" s="30"/>
      <c r="BF181" s="27"/>
      <c r="BG181" s="27"/>
      <c r="BH181" s="28" t="str">
        <f aca="false">IF(COUNT(BC181:BE181)=0,"",IF(MIN(BC181:BE181)&lt;=-2.5,"Yes","No"))</f>
        <v/>
      </c>
      <c r="BI181" s="27"/>
      <c r="BJ181" s="29"/>
      <c r="BK181" s="27"/>
      <c r="BL181" s="27"/>
      <c r="BM181" s="27"/>
      <c r="BN181" s="28" t="str">
        <f aca="false">IF(OR(AX181="Yes",BI181="Yes"),"Yes",IF(AND(AX181="No",BI181="No"),"No",IF(AND(AX181="",BI181=""),"","Unknown")))</f>
        <v/>
      </c>
      <c r="BO181" s="31" t="str">
        <f aca="false">IF(COUNT(AY181,BJ181)=0,"",MIN(AY181,BJ181))</f>
        <v/>
      </c>
      <c r="BP181" s="29"/>
      <c r="BQ181" s="29"/>
      <c r="BR181" s="29"/>
      <c r="BS181" s="28" t="str">
        <f aca="false">IF(AND(N(BP181)&gt;0,N(BR181)&gt;0),BR181-BP181,"")</f>
        <v/>
      </c>
      <c r="BT181" s="28" t="str">
        <f aca="false">IF(BS181="","",ROUND(BS181/365.25,2))</f>
        <v/>
      </c>
      <c r="BU181" s="28" t="str">
        <f aca="false">IF(BS181="","",IF(BS181&gt;=730.5,"Yes","No"))</f>
        <v/>
      </c>
      <c r="BV181" s="27"/>
      <c r="BW181" s="29"/>
      <c r="BX181" s="27"/>
      <c r="BY181" s="27"/>
      <c r="BZ181" s="28" t="str">
        <f aca="false">IF(N(E181)=0,"",IF(E181&lt;65,"Under 65","≥65"))</f>
        <v/>
      </c>
      <c r="CA181" s="28" t="str">
        <f aca="false">IF(OR(AC181="Yes",AC181="No"),AC181,"")</f>
        <v/>
      </c>
      <c r="CB181" s="28" t="str">
        <f aca="false">IF(OR(AD181="Yes",AD181="No"),AD181,"")</f>
        <v/>
      </c>
      <c r="CC181" s="28" t="str">
        <f aca="false">IF(F181="","",F181)</f>
        <v/>
      </c>
      <c r="CD181" s="27"/>
      <c r="CE181" s="27"/>
    </row>
    <row r="182" customFormat="false" ht="15" hidden="false" customHeight="false" outlineLevel="0" collapsed="false">
      <c r="A182" s="27"/>
      <c r="B182" s="27"/>
      <c r="C182" s="27"/>
      <c r="D182" s="27"/>
      <c r="E182" s="27"/>
      <c r="F182" s="27"/>
      <c r="G182" s="27"/>
      <c r="H182" s="27"/>
      <c r="I182" s="27"/>
      <c r="J182" s="28" t="str">
        <f aca="false">IF(AND(N(H182)&gt;0,N(I182)&gt;0),ROUND(I182/(H182/100)^2,1),"")</f>
        <v/>
      </c>
      <c r="K182" s="27"/>
      <c r="L182" s="27"/>
      <c r="M182" s="27"/>
      <c r="N182" s="27"/>
      <c r="O182" s="27"/>
      <c r="P182" s="27"/>
      <c r="Q182" s="27"/>
      <c r="R182" s="29"/>
      <c r="S182" s="29"/>
      <c r="T182" s="27"/>
      <c r="U182" s="28" t="str">
        <f aca="false">IF(N(T182)=0,"",IF(T182&lt;12,"Under 12 months",IF(T182&lt;36,"12-35 months",IF(T182&lt;60,"36-59 months","≥60 months"))))</f>
        <v/>
      </c>
      <c r="V182" s="27"/>
      <c r="W182" s="30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9"/>
      <c r="AT182" s="30"/>
      <c r="AU182" s="30"/>
      <c r="AV182" s="30"/>
      <c r="AW182" s="27"/>
      <c r="AX182" s="27"/>
      <c r="AY182" s="29"/>
      <c r="AZ182" s="27"/>
      <c r="BA182" s="27"/>
      <c r="BB182" s="29"/>
      <c r="BC182" s="30"/>
      <c r="BD182" s="30"/>
      <c r="BE182" s="30"/>
      <c r="BF182" s="27"/>
      <c r="BG182" s="27"/>
      <c r="BH182" s="28" t="str">
        <f aca="false">IF(COUNT(BC182:BE182)=0,"",IF(MIN(BC182:BE182)&lt;=-2.5,"Yes","No"))</f>
        <v/>
      </c>
      <c r="BI182" s="27"/>
      <c r="BJ182" s="29"/>
      <c r="BK182" s="27"/>
      <c r="BL182" s="27"/>
      <c r="BM182" s="27"/>
      <c r="BN182" s="28" t="str">
        <f aca="false">IF(OR(AX182="Yes",BI182="Yes"),"Yes",IF(AND(AX182="No",BI182="No"),"No",IF(AND(AX182="",BI182=""),"","Unknown")))</f>
        <v/>
      </c>
      <c r="BO182" s="31" t="str">
        <f aca="false">IF(COUNT(AY182,BJ182)=0,"",MIN(AY182,BJ182))</f>
        <v/>
      </c>
      <c r="BP182" s="29"/>
      <c r="BQ182" s="29"/>
      <c r="BR182" s="29"/>
      <c r="BS182" s="28" t="str">
        <f aca="false">IF(AND(N(BP182)&gt;0,N(BR182)&gt;0),BR182-BP182,"")</f>
        <v/>
      </c>
      <c r="BT182" s="28" t="str">
        <f aca="false">IF(BS182="","",ROUND(BS182/365.25,2))</f>
        <v/>
      </c>
      <c r="BU182" s="28" t="str">
        <f aca="false">IF(BS182="","",IF(BS182&gt;=730.5,"Yes","No"))</f>
        <v/>
      </c>
      <c r="BV182" s="27"/>
      <c r="BW182" s="29"/>
      <c r="BX182" s="27"/>
      <c r="BY182" s="27"/>
      <c r="BZ182" s="28" t="str">
        <f aca="false">IF(N(E182)=0,"",IF(E182&lt;65,"Under 65","≥65"))</f>
        <v/>
      </c>
      <c r="CA182" s="28" t="str">
        <f aca="false">IF(OR(AC182="Yes",AC182="No"),AC182,"")</f>
        <v/>
      </c>
      <c r="CB182" s="28" t="str">
        <f aca="false">IF(OR(AD182="Yes",AD182="No"),AD182,"")</f>
        <v/>
      </c>
      <c r="CC182" s="28" t="str">
        <f aca="false">IF(F182="","",F182)</f>
        <v/>
      </c>
      <c r="CD182" s="27"/>
      <c r="CE182" s="27"/>
    </row>
    <row r="183" customFormat="false" ht="15" hidden="false" customHeight="false" outlineLevel="0" collapsed="false">
      <c r="A183" s="27"/>
      <c r="B183" s="27"/>
      <c r="C183" s="27"/>
      <c r="D183" s="27"/>
      <c r="E183" s="27"/>
      <c r="F183" s="27"/>
      <c r="G183" s="27"/>
      <c r="H183" s="27"/>
      <c r="I183" s="27"/>
      <c r="J183" s="28" t="str">
        <f aca="false">IF(AND(N(H183)&gt;0,N(I183)&gt;0),ROUND(I183/(H183/100)^2,1),"")</f>
        <v/>
      </c>
      <c r="K183" s="27"/>
      <c r="L183" s="27"/>
      <c r="M183" s="27"/>
      <c r="N183" s="27"/>
      <c r="O183" s="27"/>
      <c r="P183" s="27"/>
      <c r="Q183" s="27"/>
      <c r="R183" s="29"/>
      <c r="S183" s="29"/>
      <c r="T183" s="27"/>
      <c r="U183" s="28" t="str">
        <f aca="false">IF(N(T183)=0,"",IF(T183&lt;12,"Under 12 months",IF(T183&lt;36,"12-35 months",IF(T183&lt;60,"36-59 months","≥60 months"))))</f>
        <v/>
      </c>
      <c r="V183" s="27"/>
      <c r="W183" s="30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9"/>
      <c r="AT183" s="30"/>
      <c r="AU183" s="30"/>
      <c r="AV183" s="30"/>
      <c r="AW183" s="27"/>
      <c r="AX183" s="27"/>
      <c r="AY183" s="29"/>
      <c r="AZ183" s="27"/>
      <c r="BA183" s="27"/>
      <c r="BB183" s="29"/>
      <c r="BC183" s="30"/>
      <c r="BD183" s="30"/>
      <c r="BE183" s="30"/>
      <c r="BF183" s="27"/>
      <c r="BG183" s="27"/>
      <c r="BH183" s="28" t="str">
        <f aca="false">IF(COUNT(BC183:BE183)=0,"",IF(MIN(BC183:BE183)&lt;=-2.5,"Yes","No"))</f>
        <v/>
      </c>
      <c r="BI183" s="27"/>
      <c r="BJ183" s="29"/>
      <c r="BK183" s="27"/>
      <c r="BL183" s="27"/>
      <c r="BM183" s="27"/>
      <c r="BN183" s="28" t="str">
        <f aca="false">IF(OR(AX183="Yes",BI183="Yes"),"Yes",IF(AND(AX183="No",BI183="No"),"No",IF(AND(AX183="",BI183=""),"","Unknown")))</f>
        <v/>
      </c>
      <c r="BO183" s="31" t="str">
        <f aca="false">IF(COUNT(AY183,BJ183)=0,"",MIN(AY183,BJ183))</f>
        <v/>
      </c>
      <c r="BP183" s="29"/>
      <c r="BQ183" s="29"/>
      <c r="BR183" s="29"/>
      <c r="BS183" s="28" t="str">
        <f aca="false">IF(AND(N(BP183)&gt;0,N(BR183)&gt;0),BR183-BP183,"")</f>
        <v/>
      </c>
      <c r="BT183" s="28" t="str">
        <f aca="false">IF(BS183="","",ROUND(BS183/365.25,2))</f>
        <v/>
      </c>
      <c r="BU183" s="28" t="str">
        <f aca="false">IF(BS183="","",IF(BS183&gt;=730.5,"Yes","No"))</f>
        <v/>
      </c>
      <c r="BV183" s="27"/>
      <c r="BW183" s="29"/>
      <c r="BX183" s="27"/>
      <c r="BY183" s="27"/>
      <c r="BZ183" s="28" t="str">
        <f aca="false">IF(N(E183)=0,"",IF(E183&lt;65,"Under 65","≥65"))</f>
        <v/>
      </c>
      <c r="CA183" s="28" t="str">
        <f aca="false">IF(OR(AC183="Yes",AC183="No"),AC183,"")</f>
        <v/>
      </c>
      <c r="CB183" s="28" t="str">
        <f aca="false">IF(OR(AD183="Yes",AD183="No"),AD183,"")</f>
        <v/>
      </c>
      <c r="CC183" s="28" t="str">
        <f aca="false">IF(F183="","",F183)</f>
        <v/>
      </c>
      <c r="CD183" s="27"/>
      <c r="CE183" s="27"/>
    </row>
    <row r="184" customFormat="false" ht="15" hidden="false" customHeight="false" outlineLevel="0" collapsed="false">
      <c r="A184" s="27"/>
      <c r="B184" s="27"/>
      <c r="C184" s="27"/>
      <c r="D184" s="27"/>
      <c r="E184" s="27"/>
      <c r="F184" s="27"/>
      <c r="G184" s="27"/>
      <c r="H184" s="27"/>
      <c r="I184" s="27"/>
      <c r="J184" s="28" t="str">
        <f aca="false">IF(AND(N(H184)&gt;0,N(I184)&gt;0),ROUND(I184/(H184/100)^2,1),"")</f>
        <v/>
      </c>
      <c r="K184" s="27"/>
      <c r="L184" s="27"/>
      <c r="M184" s="27"/>
      <c r="N184" s="27"/>
      <c r="O184" s="27"/>
      <c r="P184" s="27"/>
      <c r="Q184" s="27"/>
      <c r="R184" s="29"/>
      <c r="S184" s="29"/>
      <c r="T184" s="27"/>
      <c r="U184" s="28" t="str">
        <f aca="false">IF(N(T184)=0,"",IF(T184&lt;12,"Under 12 months",IF(T184&lt;36,"12-35 months",IF(T184&lt;60,"36-59 months","≥60 months"))))</f>
        <v/>
      </c>
      <c r="V184" s="27"/>
      <c r="W184" s="30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9"/>
      <c r="AT184" s="30"/>
      <c r="AU184" s="30"/>
      <c r="AV184" s="30"/>
      <c r="AW184" s="27"/>
      <c r="AX184" s="27"/>
      <c r="AY184" s="29"/>
      <c r="AZ184" s="27"/>
      <c r="BA184" s="27"/>
      <c r="BB184" s="29"/>
      <c r="BC184" s="30"/>
      <c r="BD184" s="30"/>
      <c r="BE184" s="30"/>
      <c r="BF184" s="27"/>
      <c r="BG184" s="27"/>
      <c r="BH184" s="28" t="str">
        <f aca="false">IF(COUNT(BC184:BE184)=0,"",IF(MIN(BC184:BE184)&lt;=-2.5,"Yes","No"))</f>
        <v/>
      </c>
      <c r="BI184" s="27"/>
      <c r="BJ184" s="29"/>
      <c r="BK184" s="27"/>
      <c r="BL184" s="27"/>
      <c r="BM184" s="27"/>
      <c r="BN184" s="28" t="str">
        <f aca="false">IF(OR(AX184="Yes",BI184="Yes"),"Yes",IF(AND(AX184="No",BI184="No"),"No",IF(AND(AX184="",BI184=""),"","Unknown")))</f>
        <v/>
      </c>
      <c r="BO184" s="31" t="str">
        <f aca="false">IF(COUNT(AY184,BJ184)=0,"",MIN(AY184,BJ184))</f>
        <v/>
      </c>
      <c r="BP184" s="29"/>
      <c r="BQ184" s="29"/>
      <c r="BR184" s="29"/>
      <c r="BS184" s="28" t="str">
        <f aca="false">IF(AND(N(BP184)&gt;0,N(BR184)&gt;0),BR184-BP184,"")</f>
        <v/>
      </c>
      <c r="BT184" s="28" t="str">
        <f aca="false">IF(BS184="","",ROUND(BS184/365.25,2))</f>
        <v/>
      </c>
      <c r="BU184" s="28" t="str">
        <f aca="false">IF(BS184="","",IF(BS184&gt;=730.5,"Yes","No"))</f>
        <v/>
      </c>
      <c r="BV184" s="27"/>
      <c r="BW184" s="29"/>
      <c r="BX184" s="27"/>
      <c r="BY184" s="27"/>
      <c r="BZ184" s="28" t="str">
        <f aca="false">IF(N(E184)=0,"",IF(E184&lt;65,"Under 65","≥65"))</f>
        <v/>
      </c>
      <c r="CA184" s="28" t="str">
        <f aca="false">IF(OR(AC184="Yes",AC184="No"),AC184,"")</f>
        <v/>
      </c>
      <c r="CB184" s="28" t="str">
        <f aca="false">IF(OR(AD184="Yes",AD184="No"),AD184,"")</f>
        <v/>
      </c>
      <c r="CC184" s="28" t="str">
        <f aca="false">IF(F184="","",F184)</f>
        <v/>
      </c>
      <c r="CD184" s="27"/>
      <c r="CE184" s="27"/>
    </row>
    <row r="185" customFormat="false" ht="15" hidden="false" customHeight="false" outlineLevel="0" collapsed="false">
      <c r="A185" s="27"/>
      <c r="B185" s="27"/>
      <c r="C185" s="27"/>
      <c r="D185" s="27"/>
      <c r="E185" s="27"/>
      <c r="F185" s="27"/>
      <c r="G185" s="27"/>
      <c r="H185" s="27"/>
      <c r="I185" s="27"/>
      <c r="J185" s="28" t="str">
        <f aca="false">IF(AND(N(H185)&gt;0,N(I185)&gt;0),ROUND(I185/(H185/100)^2,1),"")</f>
        <v/>
      </c>
      <c r="K185" s="27"/>
      <c r="L185" s="27"/>
      <c r="M185" s="27"/>
      <c r="N185" s="27"/>
      <c r="O185" s="27"/>
      <c r="P185" s="27"/>
      <c r="Q185" s="27"/>
      <c r="R185" s="29"/>
      <c r="S185" s="29"/>
      <c r="T185" s="27"/>
      <c r="U185" s="28" t="str">
        <f aca="false">IF(N(T185)=0,"",IF(T185&lt;12,"Under 12 months",IF(T185&lt;36,"12-35 months",IF(T185&lt;60,"36-59 months","≥60 months"))))</f>
        <v/>
      </c>
      <c r="V185" s="27"/>
      <c r="W185" s="30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9"/>
      <c r="AT185" s="30"/>
      <c r="AU185" s="30"/>
      <c r="AV185" s="30"/>
      <c r="AW185" s="27"/>
      <c r="AX185" s="27"/>
      <c r="AY185" s="29"/>
      <c r="AZ185" s="27"/>
      <c r="BA185" s="27"/>
      <c r="BB185" s="29"/>
      <c r="BC185" s="30"/>
      <c r="BD185" s="30"/>
      <c r="BE185" s="30"/>
      <c r="BF185" s="27"/>
      <c r="BG185" s="27"/>
      <c r="BH185" s="28" t="str">
        <f aca="false">IF(COUNT(BC185:BE185)=0,"",IF(MIN(BC185:BE185)&lt;=-2.5,"Yes","No"))</f>
        <v/>
      </c>
      <c r="BI185" s="27"/>
      <c r="BJ185" s="29"/>
      <c r="BK185" s="27"/>
      <c r="BL185" s="27"/>
      <c r="BM185" s="27"/>
      <c r="BN185" s="28" t="str">
        <f aca="false">IF(OR(AX185="Yes",BI185="Yes"),"Yes",IF(AND(AX185="No",BI185="No"),"No",IF(AND(AX185="",BI185=""),"","Unknown")))</f>
        <v/>
      </c>
      <c r="BO185" s="31" t="str">
        <f aca="false">IF(COUNT(AY185,BJ185)=0,"",MIN(AY185,BJ185))</f>
        <v/>
      </c>
      <c r="BP185" s="29"/>
      <c r="BQ185" s="29"/>
      <c r="BR185" s="29"/>
      <c r="BS185" s="28" t="str">
        <f aca="false">IF(AND(N(BP185)&gt;0,N(BR185)&gt;0),BR185-BP185,"")</f>
        <v/>
      </c>
      <c r="BT185" s="28" t="str">
        <f aca="false">IF(BS185="","",ROUND(BS185/365.25,2))</f>
        <v/>
      </c>
      <c r="BU185" s="28" t="str">
        <f aca="false">IF(BS185="","",IF(BS185&gt;=730.5,"Yes","No"))</f>
        <v/>
      </c>
      <c r="BV185" s="27"/>
      <c r="BW185" s="29"/>
      <c r="BX185" s="27"/>
      <c r="BY185" s="27"/>
      <c r="BZ185" s="28" t="str">
        <f aca="false">IF(N(E185)=0,"",IF(E185&lt;65,"Under 65","≥65"))</f>
        <v/>
      </c>
      <c r="CA185" s="28" t="str">
        <f aca="false">IF(OR(AC185="Yes",AC185="No"),AC185,"")</f>
        <v/>
      </c>
      <c r="CB185" s="28" t="str">
        <f aca="false">IF(OR(AD185="Yes",AD185="No"),AD185,"")</f>
        <v/>
      </c>
      <c r="CC185" s="28" t="str">
        <f aca="false">IF(F185="","",F185)</f>
        <v/>
      </c>
      <c r="CD185" s="27"/>
      <c r="CE185" s="27"/>
    </row>
    <row r="186" customFormat="false" ht="15" hidden="false" customHeight="false" outlineLevel="0" collapsed="false">
      <c r="A186" s="27"/>
      <c r="B186" s="27"/>
      <c r="C186" s="27"/>
      <c r="D186" s="27"/>
      <c r="E186" s="27"/>
      <c r="F186" s="27"/>
      <c r="G186" s="27"/>
      <c r="H186" s="27"/>
      <c r="I186" s="27"/>
      <c r="J186" s="28" t="str">
        <f aca="false">IF(AND(N(H186)&gt;0,N(I186)&gt;0),ROUND(I186/(H186/100)^2,1),"")</f>
        <v/>
      </c>
      <c r="K186" s="27"/>
      <c r="L186" s="27"/>
      <c r="M186" s="27"/>
      <c r="N186" s="27"/>
      <c r="O186" s="27"/>
      <c r="P186" s="27"/>
      <c r="Q186" s="27"/>
      <c r="R186" s="29"/>
      <c r="S186" s="29"/>
      <c r="T186" s="27"/>
      <c r="U186" s="28" t="str">
        <f aca="false">IF(N(T186)=0,"",IF(T186&lt;12,"Under 12 months",IF(T186&lt;36,"12-35 months",IF(T186&lt;60,"36-59 months","≥60 months"))))</f>
        <v/>
      </c>
      <c r="V186" s="27"/>
      <c r="W186" s="30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9"/>
      <c r="AT186" s="30"/>
      <c r="AU186" s="30"/>
      <c r="AV186" s="30"/>
      <c r="AW186" s="27"/>
      <c r="AX186" s="27"/>
      <c r="AY186" s="29"/>
      <c r="AZ186" s="27"/>
      <c r="BA186" s="27"/>
      <c r="BB186" s="29"/>
      <c r="BC186" s="30"/>
      <c r="BD186" s="30"/>
      <c r="BE186" s="30"/>
      <c r="BF186" s="27"/>
      <c r="BG186" s="27"/>
      <c r="BH186" s="28" t="str">
        <f aca="false">IF(COUNT(BC186:BE186)=0,"",IF(MIN(BC186:BE186)&lt;=-2.5,"Yes","No"))</f>
        <v/>
      </c>
      <c r="BI186" s="27"/>
      <c r="BJ186" s="29"/>
      <c r="BK186" s="27"/>
      <c r="BL186" s="27"/>
      <c r="BM186" s="27"/>
      <c r="BN186" s="28" t="str">
        <f aca="false">IF(OR(AX186="Yes",BI186="Yes"),"Yes",IF(AND(AX186="No",BI186="No"),"No",IF(AND(AX186="",BI186=""),"","Unknown")))</f>
        <v/>
      </c>
      <c r="BO186" s="31" t="str">
        <f aca="false">IF(COUNT(AY186,BJ186)=0,"",MIN(AY186,BJ186))</f>
        <v/>
      </c>
      <c r="BP186" s="29"/>
      <c r="BQ186" s="29"/>
      <c r="BR186" s="29"/>
      <c r="BS186" s="28" t="str">
        <f aca="false">IF(AND(N(BP186)&gt;0,N(BR186)&gt;0),BR186-BP186,"")</f>
        <v/>
      </c>
      <c r="BT186" s="28" t="str">
        <f aca="false">IF(BS186="","",ROUND(BS186/365.25,2))</f>
        <v/>
      </c>
      <c r="BU186" s="28" t="str">
        <f aca="false">IF(BS186="","",IF(BS186&gt;=730.5,"Yes","No"))</f>
        <v/>
      </c>
      <c r="BV186" s="27"/>
      <c r="BW186" s="29"/>
      <c r="BX186" s="27"/>
      <c r="BY186" s="27"/>
      <c r="BZ186" s="28" t="str">
        <f aca="false">IF(N(E186)=0,"",IF(E186&lt;65,"Under 65","≥65"))</f>
        <v/>
      </c>
      <c r="CA186" s="28" t="str">
        <f aca="false">IF(OR(AC186="Yes",AC186="No"),AC186,"")</f>
        <v/>
      </c>
      <c r="CB186" s="28" t="str">
        <f aca="false">IF(OR(AD186="Yes",AD186="No"),AD186,"")</f>
        <v/>
      </c>
      <c r="CC186" s="28" t="str">
        <f aca="false">IF(F186="","",F186)</f>
        <v/>
      </c>
      <c r="CD186" s="27"/>
      <c r="CE186" s="27"/>
    </row>
    <row r="187" customFormat="false" ht="15" hidden="false" customHeight="false" outlineLevel="0" collapsed="false">
      <c r="A187" s="27"/>
      <c r="B187" s="27"/>
      <c r="C187" s="27"/>
      <c r="D187" s="27"/>
      <c r="E187" s="27"/>
      <c r="F187" s="27"/>
      <c r="G187" s="27"/>
      <c r="H187" s="27"/>
      <c r="I187" s="27"/>
      <c r="J187" s="28" t="str">
        <f aca="false">IF(AND(N(H187)&gt;0,N(I187)&gt;0),ROUND(I187/(H187/100)^2,1),"")</f>
        <v/>
      </c>
      <c r="K187" s="27"/>
      <c r="L187" s="27"/>
      <c r="M187" s="27"/>
      <c r="N187" s="27"/>
      <c r="O187" s="27"/>
      <c r="P187" s="27"/>
      <c r="Q187" s="27"/>
      <c r="R187" s="29"/>
      <c r="S187" s="29"/>
      <c r="T187" s="27"/>
      <c r="U187" s="28" t="str">
        <f aca="false">IF(N(T187)=0,"",IF(T187&lt;12,"Under 12 months",IF(T187&lt;36,"12-35 months",IF(T187&lt;60,"36-59 months","≥60 months"))))</f>
        <v/>
      </c>
      <c r="V187" s="27"/>
      <c r="W187" s="30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9"/>
      <c r="AT187" s="30"/>
      <c r="AU187" s="30"/>
      <c r="AV187" s="30"/>
      <c r="AW187" s="27"/>
      <c r="AX187" s="27"/>
      <c r="AY187" s="29"/>
      <c r="AZ187" s="27"/>
      <c r="BA187" s="27"/>
      <c r="BB187" s="29"/>
      <c r="BC187" s="30"/>
      <c r="BD187" s="30"/>
      <c r="BE187" s="30"/>
      <c r="BF187" s="27"/>
      <c r="BG187" s="27"/>
      <c r="BH187" s="28" t="str">
        <f aca="false">IF(COUNT(BC187:BE187)=0,"",IF(MIN(BC187:BE187)&lt;=-2.5,"Yes","No"))</f>
        <v/>
      </c>
      <c r="BI187" s="27"/>
      <c r="BJ187" s="29"/>
      <c r="BK187" s="27"/>
      <c r="BL187" s="27"/>
      <c r="BM187" s="27"/>
      <c r="BN187" s="28" t="str">
        <f aca="false">IF(OR(AX187="Yes",BI187="Yes"),"Yes",IF(AND(AX187="No",BI187="No"),"No",IF(AND(AX187="",BI187=""),"","Unknown")))</f>
        <v/>
      </c>
      <c r="BO187" s="31" t="str">
        <f aca="false">IF(COUNT(AY187,BJ187)=0,"",MIN(AY187,BJ187))</f>
        <v/>
      </c>
      <c r="BP187" s="29"/>
      <c r="BQ187" s="29"/>
      <c r="BR187" s="29"/>
      <c r="BS187" s="28" t="str">
        <f aca="false">IF(AND(N(BP187)&gt;0,N(BR187)&gt;0),BR187-BP187,"")</f>
        <v/>
      </c>
      <c r="BT187" s="28" t="str">
        <f aca="false">IF(BS187="","",ROUND(BS187/365.25,2))</f>
        <v/>
      </c>
      <c r="BU187" s="28" t="str">
        <f aca="false">IF(BS187="","",IF(BS187&gt;=730.5,"Yes","No"))</f>
        <v/>
      </c>
      <c r="BV187" s="27"/>
      <c r="BW187" s="29"/>
      <c r="BX187" s="27"/>
      <c r="BY187" s="27"/>
      <c r="BZ187" s="28" t="str">
        <f aca="false">IF(N(E187)=0,"",IF(E187&lt;65,"Under 65","≥65"))</f>
        <v/>
      </c>
      <c r="CA187" s="28" t="str">
        <f aca="false">IF(OR(AC187="Yes",AC187="No"),AC187,"")</f>
        <v/>
      </c>
      <c r="CB187" s="28" t="str">
        <f aca="false">IF(OR(AD187="Yes",AD187="No"),AD187,"")</f>
        <v/>
      </c>
      <c r="CC187" s="28" t="str">
        <f aca="false">IF(F187="","",F187)</f>
        <v/>
      </c>
      <c r="CD187" s="27"/>
      <c r="CE187" s="27"/>
    </row>
    <row r="188" customFormat="false" ht="15" hidden="false" customHeight="false" outlineLevel="0" collapsed="false">
      <c r="A188" s="27"/>
      <c r="B188" s="27"/>
      <c r="C188" s="27"/>
      <c r="D188" s="27"/>
      <c r="E188" s="27"/>
      <c r="F188" s="27"/>
      <c r="G188" s="27"/>
      <c r="H188" s="27"/>
      <c r="I188" s="27"/>
      <c r="J188" s="28" t="str">
        <f aca="false">IF(AND(N(H188)&gt;0,N(I188)&gt;0),ROUND(I188/(H188/100)^2,1),"")</f>
        <v/>
      </c>
      <c r="K188" s="27"/>
      <c r="L188" s="27"/>
      <c r="M188" s="27"/>
      <c r="N188" s="27"/>
      <c r="O188" s="27"/>
      <c r="P188" s="27"/>
      <c r="Q188" s="27"/>
      <c r="R188" s="29"/>
      <c r="S188" s="29"/>
      <c r="T188" s="27"/>
      <c r="U188" s="28" t="str">
        <f aca="false">IF(N(T188)=0,"",IF(T188&lt;12,"Under 12 months",IF(T188&lt;36,"12-35 months",IF(T188&lt;60,"36-59 months","≥60 months"))))</f>
        <v/>
      </c>
      <c r="V188" s="27"/>
      <c r="W188" s="30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9"/>
      <c r="AT188" s="30"/>
      <c r="AU188" s="30"/>
      <c r="AV188" s="30"/>
      <c r="AW188" s="27"/>
      <c r="AX188" s="27"/>
      <c r="AY188" s="29"/>
      <c r="AZ188" s="27"/>
      <c r="BA188" s="27"/>
      <c r="BB188" s="29"/>
      <c r="BC188" s="30"/>
      <c r="BD188" s="30"/>
      <c r="BE188" s="30"/>
      <c r="BF188" s="27"/>
      <c r="BG188" s="27"/>
      <c r="BH188" s="28" t="str">
        <f aca="false">IF(COUNT(BC188:BE188)=0,"",IF(MIN(BC188:BE188)&lt;=-2.5,"Yes","No"))</f>
        <v/>
      </c>
      <c r="BI188" s="27"/>
      <c r="BJ188" s="29"/>
      <c r="BK188" s="27"/>
      <c r="BL188" s="27"/>
      <c r="BM188" s="27"/>
      <c r="BN188" s="28" t="str">
        <f aca="false">IF(OR(AX188="Yes",BI188="Yes"),"Yes",IF(AND(AX188="No",BI188="No"),"No",IF(AND(AX188="",BI188=""),"","Unknown")))</f>
        <v/>
      </c>
      <c r="BO188" s="31" t="str">
        <f aca="false">IF(COUNT(AY188,BJ188)=0,"",MIN(AY188,BJ188))</f>
        <v/>
      </c>
      <c r="BP188" s="29"/>
      <c r="BQ188" s="29"/>
      <c r="BR188" s="29"/>
      <c r="BS188" s="28" t="str">
        <f aca="false">IF(AND(N(BP188)&gt;0,N(BR188)&gt;0),BR188-BP188,"")</f>
        <v/>
      </c>
      <c r="BT188" s="28" t="str">
        <f aca="false">IF(BS188="","",ROUND(BS188/365.25,2))</f>
        <v/>
      </c>
      <c r="BU188" s="28" t="str">
        <f aca="false">IF(BS188="","",IF(BS188&gt;=730.5,"Yes","No"))</f>
        <v/>
      </c>
      <c r="BV188" s="27"/>
      <c r="BW188" s="29"/>
      <c r="BX188" s="27"/>
      <c r="BY188" s="27"/>
      <c r="BZ188" s="28" t="str">
        <f aca="false">IF(N(E188)=0,"",IF(E188&lt;65,"Under 65","≥65"))</f>
        <v/>
      </c>
      <c r="CA188" s="28" t="str">
        <f aca="false">IF(OR(AC188="Yes",AC188="No"),AC188,"")</f>
        <v/>
      </c>
      <c r="CB188" s="28" t="str">
        <f aca="false">IF(OR(AD188="Yes",AD188="No"),AD188,"")</f>
        <v/>
      </c>
      <c r="CC188" s="28" t="str">
        <f aca="false">IF(F188="","",F188)</f>
        <v/>
      </c>
      <c r="CD188" s="27"/>
      <c r="CE188" s="27"/>
    </row>
    <row r="189" customFormat="false" ht="15" hidden="false" customHeight="false" outlineLevel="0" collapsed="false">
      <c r="A189" s="27"/>
      <c r="B189" s="27"/>
      <c r="C189" s="27"/>
      <c r="D189" s="27"/>
      <c r="E189" s="27"/>
      <c r="F189" s="27"/>
      <c r="G189" s="27"/>
      <c r="H189" s="27"/>
      <c r="I189" s="27"/>
      <c r="J189" s="28" t="str">
        <f aca="false">IF(AND(N(H189)&gt;0,N(I189)&gt;0),ROUND(I189/(H189/100)^2,1),"")</f>
        <v/>
      </c>
      <c r="K189" s="27"/>
      <c r="L189" s="27"/>
      <c r="M189" s="27"/>
      <c r="N189" s="27"/>
      <c r="O189" s="27"/>
      <c r="P189" s="27"/>
      <c r="Q189" s="27"/>
      <c r="R189" s="29"/>
      <c r="S189" s="29"/>
      <c r="T189" s="27"/>
      <c r="U189" s="28" t="str">
        <f aca="false">IF(N(T189)=0,"",IF(T189&lt;12,"Under 12 months",IF(T189&lt;36,"12-35 months",IF(T189&lt;60,"36-59 months","≥60 months"))))</f>
        <v/>
      </c>
      <c r="V189" s="27"/>
      <c r="W189" s="30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9"/>
      <c r="AT189" s="30"/>
      <c r="AU189" s="30"/>
      <c r="AV189" s="30"/>
      <c r="AW189" s="27"/>
      <c r="AX189" s="27"/>
      <c r="AY189" s="29"/>
      <c r="AZ189" s="27"/>
      <c r="BA189" s="27"/>
      <c r="BB189" s="29"/>
      <c r="BC189" s="30"/>
      <c r="BD189" s="30"/>
      <c r="BE189" s="30"/>
      <c r="BF189" s="27"/>
      <c r="BG189" s="27"/>
      <c r="BH189" s="28" t="str">
        <f aca="false">IF(COUNT(BC189:BE189)=0,"",IF(MIN(BC189:BE189)&lt;=-2.5,"Yes","No"))</f>
        <v/>
      </c>
      <c r="BI189" s="27"/>
      <c r="BJ189" s="29"/>
      <c r="BK189" s="27"/>
      <c r="BL189" s="27"/>
      <c r="BM189" s="27"/>
      <c r="BN189" s="28" t="str">
        <f aca="false">IF(OR(AX189="Yes",BI189="Yes"),"Yes",IF(AND(AX189="No",BI189="No"),"No",IF(AND(AX189="",BI189=""),"","Unknown")))</f>
        <v/>
      </c>
      <c r="BO189" s="31" t="str">
        <f aca="false">IF(COUNT(AY189,BJ189)=0,"",MIN(AY189,BJ189))</f>
        <v/>
      </c>
      <c r="BP189" s="29"/>
      <c r="BQ189" s="29"/>
      <c r="BR189" s="29"/>
      <c r="BS189" s="28" t="str">
        <f aca="false">IF(AND(N(BP189)&gt;0,N(BR189)&gt;0),BR189-BP189,"")</f>
        <v/>
      </c>
      <c r="BT189" s="28" t="str">
        <f aca="false">IF(BS189="","",ROUND(BS189/365.25,2))</f>
        <v/>
      </c>
      <c r="BU189" s="28" t="str">
        <f aca="false">IF(BS189="","",IF(BS189&gt;=730.5,"Yes","No"))</f>
        <v/>
      </c>
      <c r="BV189" s="27"/>
      <c r="BW189" s="29"/>
      <c r="BX189" s="27"/>
      <c r="BY189" s="27"/>
      <c r="BZ189" s="28" t="str">
        <f aca="false">IF(N(E189)=0,"",IF(E189&lt;65,"Under 65","≥65"))</f>
        <v/>
      </c>
      <c r="CA189" s="28" t="str">
        <f aca="false">IF(OR(AC189="Yes",AC189="No"),AC189,"")</f>
        <v/>
      </c>
      <c r="CB189" s="28" t="str">
        <f aca="false">IF(OR(AD189="Yes",AD189="No"),AD189,"")</f>
        <v/>
      </c>
      <c r="CC189" s="28" t="str">
        <f aca="false">IF(F189="","",F189)</f>
        <v/>
      </c>
      <c r="CD189" s="27"/>
      <c r="CE189" s="27"/>
    </row>
    <row r="190" customFormat="false" ht="15" hidden="false" customHeight="false" outlineLevel="0" collapsed="false">
      <c r="A190" s="27"/>
      <c r="B190" s="27"/>
      <c r="C190" s="27"/>
      <c r="D190" s="27"/>
      <c r="E190" s="27"/>
      <c r="F190" s="27"/>
      <c r="G190" s="27"/>
      <c r="H190" s="27"/>
      <c r="I190" s="27"/>
      <c r="J190" s="28" t="str">
        <f aca="false">IF(AND(N(H190)&gt;0,N(I190)&gt;0),ROUND(I190/(H190/100)^2,1),"")</f>
        <v/>
      </c>
      <c r="K190" s="27"/>
      <c r="L190" s="27"/>
      <c r="M190" s="27"/>
      <c r="N190" s="27"/>
      <c r="O190" s="27"/>
      <c r="P190" s="27"/>
      <c r="Q190" s="27"/>
      <c r="R190" s="29"/>
      <c r="S190" s="29"/>
      <c r="T190" s="27"/>
      <c r="U190" s="28" t="str">
        <f aca="false">IF(N(T190)=0,"",IF(T190&lt;12,"Under 12 months",IF(T190&lt;36,"12-35 months",IF(T190&lt;60,"36-59 months","≥60 months"))))</f>
        <v/>
      </c>
      <c r="V190" s="27"/>
      <c r="W190" s="30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9"/>
      <c r="AT190" s="30"/>
      <c r="AU190" s="30"/>
      <c r="AV190" s="30"/>
      <c r="AW190" s="27"/>
      <c r="AX190" s="27"/>
      <c r="AY190" s="29"/>
      <c r="AZ190" s="27"/>
      <c r="BA190" s="27"/>
      <c r="BB190" s="29"/>
      <c r="BC190" s="30"/>
      <c r="BD190" s="30"/>
      <c r="BE190" s="30"/>
      <c r="BF190" s="27"/>
      <c r="BG190" s="27"/>
      <c r="BH190" s="28" t="str">
        <f aca="false">IF(COUNT(BC190:BE190)=0,"",IF(MIN(BC190:BE190)&lt;=-2.5,"Yes","No"))</f>
        <v/>
      </c>
      <c r="BI190" s="27"/>
      <c r="BJ190" s="29"/>
      <c r="BK190" s="27"/>
      <c r="BL190" s="27"/>
      <c r="BM190" s="27"/>
      <c r="BN190" s="28" t="str">
        <f aca="false">IF(OR(AX190="Yes",BI190="Yes"),"Yes",IF(AND(AX190="No",BI190="No"),"No",IF(AND(AX190="",BI190=""),"","Unknown")))</f>
        <v/>
      </c>
      <c r="BO190" s="31" t="str">
        <f aca="false">IF(COUNT(AY190,BJ190)=0,"",MIN(AY190,BJ190))</f>
        <v/>
      </c>
      <c r="BP190" s="29"/>
      <c r="BQ190" s="29"/>
      <c r="BR190" s="29"/>
      <c r="BS190" s="28" t="str">
        <f aca="false">IF(AND(N(BP190)&gt;0,N(BR190)&gt;0),BR190-BP190,"")</f>
        <v/>
      </c>
      <c r="BT190" s="28" t="str">
        <f aca="false">IF(BS190="","",ROUND(BS190/365.25,2))</f>
        <v/>
      </c>
      <c r="BU190" s="28" t="str">
        <f aca="false">IF(BS190="","",IF(BS190&gt;=730.5,"Yes","No"))</f>
        <v/>
      </c>
      <c r="BV190" s="27"/>
      <c r="BW190" s="29"/>
      <c r="BX190" s="27"/>
      <c r="BY190" s="27"/>
      <c r="BZ190" s="28" t="str">
        <f aca="false">IF(N(E190)=0,"",IF(E190&lt;65,"Under 65","≥65"))</f>
        <v/>
      </c>
      <c r="CA190" s="28" t="str">
        <f aca="false">IF(OR(AC190="Yes",AC190="No"),AC190,"")</f>
        <v/>
      </c>
      <c r="CB190" s="28" t="str">
        <f aca="false">IF(OR(AD190="Yes",AD190="No"),AD190,"")</f>
        <v/>
      </c>
      <c r="CC190" s="28" t="str">
        <f aca="false">IF(F190="","",F190)</f>
        <v/>
      </c>
      <c r="CD190" s="27"/>
      <c r="CE190" s="27"/>
    </row>
    <row r="191" customFormat="false" ht="15" hidden="false" customHeight="false" outlineLevel="0" collapsed="false">
      <c r="A191" s="27"/>
      <c r="B191" s="27"/>
      <c r="C191" s="27"/>
      <c r="D191" s="27"/>
      <c r="E191" s="27"/>
      <c r="F191" s="27"/>
      <c r="G191" s="27"/>
      <c r="H191" s="27"/>
      <c r="I191" s="27"/>
      <c r="J191" s="28" t="str">
        <f aca="false">IF(AND(N(H191)&gt;0,N(I191)&gt;0),ROUND(I191/(H191/100)^2,1),"")</f>
        <v/>
      </c>
      <c r="K191" s="27"/>
      <c r="L191" s="27"/>
      <c r="M191" s="27"/>
      <c r="N191" s="27"/>
      <c r="O191" s="27"/>
      <c r="P191" s="27"/>
      <c r="Q191" s="27"/>
      <c r="R191" s="29"/>
      <c r="S191" s="29"/>
      <c r="T191" s="27"/>
      <c r="U191" s="28" t="str">
        <f aca="false">IF(N(T191)=0,"",IF(T191&lt;12,"Under 12 months",IF(T191&lt;36,"12-35 months",IF(T191&lt;60,"36-59 months","≥60 months"))))</f>
        <v/>
      </c>
      <c r="V191" s="27"/>
      <c r="W191" s="30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9"/>
      <c r="AT191" s="30"/>
      <c r="AU191" s="30"/>
      <c r="AV191" s="30"/>
      <c r="AW191" s="27"/>
      <c r="AX191" s="27"/>
      <c r="AY191" s="29"/>
      <c r="AZ191" s="27"/>
      <c r="BA191" s="27"/>
      <c r="BB191" s="29"/>
      <c r="BC191" s="30"/>
      <c r="BD191" s="30"/>
      <c r="BE191" s="30"/>
      <c r="BF191" s="27"/>
      <c r="BG191" s="27"/>
      <c r="BH191" s="28" t="str">
        <f aca="false">IF(COUNT(BC191:BE191)=0,"",IF(MIN(BC191:BE191)&lt;=-2.5,"Yes","No"))</f>
        <v/>
      </c>
      <c r="BI191" s="27"/>
      <c r="BJ191" s="29"/>
      <c r="BK191" s="27"/>
      <c r="BL191" s="27"/>
      <c r="BM191" s="27"/>
      <c r="BN191" s="28" t="str">
        <f aca="false">IF(OR(AX191="Yes",BI191="Yes"),"Yes",IF(AND(AX191="No",BI191="No"),"No",IF(AND(AX191="",BI191=""),"","Unknown")))</f>
        <v/>
      </c>
      <c r="BO191" s="31" t="str">
        <f aca="false">IF(COUNT(AY191,BJ191)=0,"",MIN(AY191,BJ191))</f>
        <v/>
      </c>
      <c r="BP191" s="29"/>
      <c r="BQ191" s="29"/>
      <c r="BR191" s="29"/>
      <c r="BS191" s="28" t="str">
        <f aca="false">IF(AND(N(BP191)&gt;0,N(BR191)&gt;0),BR191-BP191,"")</f>
        <v/>
      </c>
      <c r="BT191" s="28" t="str">
        <f aca="false">IF(BS191="","",ROUND(BS191/365.25,2))</f>
        <v/>
      </c>
      <c r="BU191" s="28" t="str">
        <f aca="false">IF(BS191="","",IF(BS191&gt;=730.5,"Yes","No"))</f>
        <v/>
      </c>
      <c r="BV191" s="27"/>
      <c r="BW191" s="29"/>
      <c r="BX191" s="27"/>
      <c r="BY191" s="27"/>
      <c r="BZ191" s="28" t="str">
        <f aca="false">IF(N(E191)=0,"",IF(E191&lt;65,"Under 65","≥65"))</f>
        <v/>
      </c>
      <c r="CA191" s="28" t="str">
        <f aca="false">IF(OR(AC191="Yes",AC191="No"),AC191,"")</f>
        <v/>
      </c>
      <c r="CB191" s="28" t="str">
        <f aca="false">IF(OR(AD191="Yes",AD191="No"),AD191,"")</f>
        <v/>
      </c>
      <c r="CC191" s="28" t="str">
        <f aca="false">IF(F191="","",F191)</f>
        <v/>
      </c>
      <c r="CD191" s="27"/>
      <c r="CE191" s="27"/>
    </row>
    <row r="192" customFormat="false" ht="15" hidden="false" customHeight="false" outlineLevel="0" collapsed="false">
      <c r="A192" s="27"/>
      <c r="B192" s="27"/>
      <c r="C192" s="27"/>
      <c r="D192" s="27"/>
      <c r="E192" s="27"/>
      <c r="F192" s="27"/>
      <c r="G192" s="27"/>
      <c r="H192" s="27"/>
      <c r="I192" s="27"/>
      <c r="J192" s="28" t="str">
        <f aca="false">IF(AND(N(H192)&gt;0,N(I192)&gt;0),ROUND(I192/(H192/100)^2,1),"")</f>
        <v/>
      </c>
      <c r="K192" s="27"/>
      <c r="L192" s="27"/>
      <c r="M192" s="27"/>
      <c r="N192" s="27"/>
      <c r="O192" s="27"/>
      <c r="P192" s="27"/>
      <c r="Q192" s="27"/>
      <c r="R192" s="29"/>
      <c r="S192" s="29"/>
      <c r="T192" s="27"/>
      <c r="U192" s="28" t="str">
        <f aca="false">IF(N(T192)=0,"",IF(T192&lt;12,"Under 12 months",IF(T192&lt;36,"12-35 months",IF(T192&lt;60,"36-59 months","≥60 months"))))</f>
        <v/>
      </c>
      <c r="V192" s="27"/>
      <c r="W192" s="30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9"/>
      <c r="AT192" s="30"/>
      <c r="AU192" s="30"/>
      <c r="AV192" s="30"/>
      <c r="AW192" s="27"/>
      <c r="AX192" s="27"/>
      <c r="AY192" s="29"/>
      <c r="AZ192" s="27"/>
      <c r="BA192" s="27"/>
      <c r="BB192" s="29"/>
      <c r="BC192" s="30"/>
      <c r="BD192" s="30"/>
      <c r="BE192" s="30"/>
      <c r="BF192" s="27"/>
      <c r="BG192" s="27"/>
      <c r="BH192" s="28" t="str">
        <f aca="false">IF(COUNT(BC192:BE192)=0,"",IF(MIN(BC192:BE192)&lt;=-2.5,"Yes","No"))</f>
        <v/>
      </c>
      <c r="BI192" s="27"/>
      <c r="BJ192" s="29"/>
      <c r="BK192" s="27"/>
      <c r="BL192" s="27"/>
      <c r="BM192" s="27"/>
      <c r="BN192" s="28" t="str">
        <f aca="false">IF(OR(AX192="Yes",BI192="Yes"),"Yes",IF(AND(AX192="No",BI192="No"),"No",IF(AND(AX192="",BI192=""),"","Unknown")))</f>
        <v/>
      </c>
      <c r="BO192" s="31" t="str">
        <f aca="false">IF(COUNT(AY192,BJ192)=0,"",MIN(AY192,BJ192))</f>
        <v/>
      </c>
      <c r="BP192" s="29"/>
      <c r="BQ192" s="29"/>
      <c r="BR192" s="29"/>
      <c r="BS192" s="28" t="str">
        <f aca="false">IF(AND(N(BP192)&gt;0,N(BR192)&gt;0),BR192-BP192,"")</f>
        <v/>
      </c>
      <c r="BT192" s="28" t="str">
        <f aca="false">IF(BS192="","",ROUND(BS192/365.25,2))</f>
        <v/>
      </c>
      <c r="BU192" s="28" t="str">
        <f aca="false">IF(BS192="","",IF(BS192&gt;=730.5,"Yes","No"))</f>
        <v/>
      </c>
      <c r="BV192" s="27"/>
      <c r="BW192" s="29"/>
      <c r="BX192" s="27"/>
      <c r="BY192" s="27"/>
      <c r="BZ192" s="28" t="str">
        <f aca="false">IF(N(E192)=0,"",IF(E192&lt;65,"Under 65","≥65"))</f>
        <v/>
      </c>
      <c r="CA192" s="28" t="str">
        <f aca="false">IF(OR(AC192="Yes",AC192="No"),AC192,"")</f>
        <v/>
      </c>
      <c r="CB192" s="28" t="str">
        <f aca="false">IF(OR(AD192="Yes",AD192="No"),AD192,"")</f>
        <v/>
      </c>
      <c r="CC192" s="28" t="str">
        <f aca="false">IF(F192="","",F192)</f>
        <v/>
      </c>
      <c r="CD192" s="27"/>
      <c r="CE192" s="27"/>
    </row>
    <row r="193" customFormat="false" ht="15" hidden="false" customHeight="false" outlineLevel="0" collapsed="false">
      <c r="A193" s="27"/>
      <c r="B193" s="27"/>
      <c r="C193" s="27"/>
      <c r="D193" s="27"/>
      <c r="E193" s="27"/>
      <c r="F193" s="27"/>
      <c r="G193" s="27"/>
      <c r="H193" s="27"/>
      <c r="I193" s="27"/>
      <c r="J193" s="28" t="str">
        <f aca="false">IF(AND(N(H193)&gt;0,N(I193)&gt;0),ROUND(I193/(H193/100)^2,1),"")</f>
        <v/>
      </c>
      <c r="K193" s="27"/>
      <c r="L193" s="27"/>
      <c r="M193" s="27"/>
      <c r="N193" s="27"/>
      <c r="O193" s="27"/>
      <c r="P193" s="27"/>
      <c r="Q193" s="27"/>
      <c r="R193" s="29"/>
      <c r="S193" s="29"/>
      <c r="T193" s="27"/>
      <c r="U193" s="28" t="str">
        <f aca="false">IF(N(T193)=0,"",IF(T193&lt;12,"Under 12 months",IF(T193&lt;36,"12-35 months",IF(T193&lt;60,"36-59 months","≥60 months"))))</f>
        <v/>
      </c>
      <c r="V193" s="27"/>
      <c r="W193" s="30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9"/>
      <c r="AT193" s="30"/>
      <c r="AU193" s="30"/>
      <c r="AV193" s="30"/>
      <c r="AW193" s="27"/>
      <c r="AX193" s="27"/>
      <c r="AY193" s="29"/>
      <c r="AZ193" s="27"/>
      <c r="BA193" s="27"/>
      <c r="BB193" s="29"/>
      <c r="BC193" s="30"/>
      <c r="BD193" s="30"/>
      <c r="BE193" s="30"/>
      <c r="BF193" s="27"/>
      <c r="BG193" s="27"/>
      <c r="BH193" s="28" t="str">
        <f aca="false">IF(COUNT(BC193:BE193)=0,"",IF(MIN(BC193:BE193)&lt;=-2.5,"Yes","No"))</f>
        <v/>
      </c>
      <c r="BI193" s="27"/>
      <c r="BJ193" s="29"/>
      <c r="BK193" s="27"/>
      <c r="BL193" s="27"/>
      <c r="BM193" s="27"/>
      <c r="BN193" s="28" t="str">
        <f aca="false">IF(OR(AX193="Yes",BI193="Yes"),"Yes",IF(AND(AX193="No",BI193="No"),"No",IF(AND(AX193="",BI193=""),"","Unknown")))</f>
        <v/>
      </c>
      <c r="BO193" s="31" t="str">
        <f aca="false">IF(COUNT(AY193,BJ193)=0,"",MIN(AY193,BJ193))</f>
        <v/>
      </c>
      <c r="BP193" s="29"/>
      <c r="BQ193" s="29"/>
      <c r="BR193" s="29"/>
      <c r="BS193" s="28" t="str">
        <f aca="false">IF(AND(N(BP193)&gt;0,N(BR193)&gt;0),BR193-BP193,"")</f>
        <v/>
      </c>
      <c r="BT193" s="28" t="str">
        <f aca="false">IF(BS193="","",ROUND(BS193/365.25,2))</f>
        <v/>
      </c>
      <c r="BU193" s="28" t="str">
        <f aca="false">IF(BS193="","",IF(BS193&gt;=730.5,"Yes","No"))</f>
        <v/>
      </c>
      <c r="BV193" s="27"/>
      <c r="BW193" s="29"/>
      <c r="BX193" s="27"/>
      <c r="BY193" s="27"/>
      <c r="BZ193" s="28" t="str">
        <f aca="false">IF(N(E193)=0,"",IF(E193&lt;65,"Under 65","≥65"))</f>
        <v/>
      </c>
      <c r="CA193" s="28" t="str">
        <f aca="false">IF(OR(AC193="Yes",AC193="No"),AC193,"")</f>
        <v/>
      </c>
      <c r="CB193" s="28" t="str">
        <f aca="false">IF(OR(AD193="Yes",AD193="No"),AD193,"")</f>
        <v/>
      </c>
      <c r="CC193" s="28" t="str">
        <f aca="false">IF(F193="","",F193)</f>
        <v/>
      </c>
      <c r="CD193" s="27"/>
      <c r="CE193" s="27"/>
    </row>
    <row r="194" customFormat="false" ht="15" hidden="false" customHeight="false" outlineLevel="0" collapsed="false">
      <c r="A194" s="27"/>
      <c r="B194" s="27"/>
      <c r="C194" s="27"/>
      <c r="D194" s="27"/>
      <c r="E194" s="27"/>
      <c r="F194" s="27"/>
      <c r="G194" s="27"/>
      <c r="H194" s="27"/>
      <c r="I194" s="27"/>
      <c r="J194" s="28" t="str">
        <f aca="false">IF(AND(N(H194)&gt;0,N(I194)&gt;0),ROUND(I194/(H194/100)^2,1),"")</f>
        <v/>
      </c>
      <c r="K194" s="27"/>
      <c r="L194" s="27"/>
      <c r="M194" s="27"/>
      <c r="N194" s="27"/>
      <c r="O194" s="27"/>
      <c r="P194" s="27"/>
      <c r="Q194" s="27"/>
      <c r="R194" s="29"/>
      <c r="S194" s="29"/>
      <c r="T194" s="27"/>
      <c r="U194" s="28" t="str">
        <f aca="false">IF(N(T194)=0,"",IF(T194&lt;12,"Under 12 months",IF(T194&lt;36,"12-35 months",IF(T194&lt;60,"36-59 months","≥60 months"))))</f>
        <v/>
      </c>
      <c r="V194" s="27"/>
      <c r="W194" s="30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9"/>
      <c r="AT194" s="30"/>
      <c r="AU194" s="30"/>
      <c r="AV194" s="30"/>
      <c r="AW194" s="27"/>
      <c r="AX194" s="27"/>
      <c r="AY194" s="29"/>
      <c r="AZ194" s="27"/>
      <c r="BA194" s="27"/>
      <c r="BB194" s="29"/>
      <c r="BC194" s="30"/>
      <c r="BD194" s="30"/>
      <c r="BE194" s="30"/>
      <c r="BF194" s="27"/>
      <c r="BG194" s="27"/>
      <c r="BH194" s="28" t="str">
        <f aca="false">IF(COUNT(BC194:BE194)=0,"",IF(MIN(BC194:BE194)&lt;=-2.5,"Yes","No"))</f>
        <v/>
      </c>
      <c r="BI194" s="27"/>
      <c r="BJ194" s="29"/>
      <c r="BK194" s="27"/>
      <c r="BL194" s="27"/>
      <c r="BM194" s="27"/>
      <c r="BN194" s="28" t="str">
        <f aca="false">IF(OR(AX194="Yes",BI194="Yes"),"Yes",IF(AND(AX194="No",BI194="No"),"No",IF(AND(AX194="",BI194=""),"","Unknown")))</f>
        <v/>
      </c>
      <c r="BO194" s="31" t="str">
        <f aca="false">IF(COUNT(AY194,BJ194)=0,"",MIN(AY194,BJ194))</f>
        <v/>
      </c>
      <c r="BP194" s="29"/>
      <c r="BQ194" s="29"/>
      <c r="BR194" s="29"/>
      <c r="BS194" s="28" t="str">
        <f aca="false">IF(AND(N(BP194)&gt;0,N(BR194)&gt;0),BR194-BP194,"")</f>
        <v/>
      </c>
      <c r="BT194" s="28" t="str">
        <f aca="false">IF(BS194="","",ROUND(BS194/365.25,2))</f>
        <v/>
      </c>
      <c r="BU194" s="28" t="str">
        <f aca="false">IF(BS194="","",IF(BS194&gt;=730.5,"Yes","No"))</f>
        <v/>
      </c>
      <c r="BV194" s="27"/>
      <c r="BW194" s="29"/>
      <c r="BX194" s="27"/>
      <c r="BY194" s="27"/>
      <c r="BZ194" s="28" t="str">
        <f aca="false">IF(N(E194)=0,"",IF(E194&lt;65,"Under 65","≥65"))</f>
        <v/>
      </c>
      <c r="CA194" s="28" t="str">
        <f aca="false">IF(OR(AC194="Yes",AC194="No"),AC194,"")</f>
        <v/>
      </c>
      <c r="CB194" s="28" t="str">
        <f aca="false">IF(OR(AD194="Yes",AD194="No"),AD194,"")</f>
        <v/>
      </c>
      <c r="CC194" s="28" t="str">
        <f aca="false">IF(F194="","",F194)</f>
        <v/>
      </c>
      <c r="CD194" s="27"/>
      <c r="CE194" s="27"/>
    </row>
    <row r="195" customFormat="false" ht="15" hidden="false" customHeight="false" outlineLevel="0" collapsed="false">
      <c r="A195" s="27"/>
      <c r="B195" s="27"/>
      <c r="C195" s="27"/>
      <c r="D195" s="27"/>
      <c r="E195" s="27"/>
      <c r="F195" s="27"/>
      <c r="G195" s="27"/>
      <c r="H195" s="27"/>
      <c r="I195" s="27"/>
      <c r="J195" s="28" t="str">
        <f aca="false">IF(AND(N(H195)&gt;0,N(I195)&gt;0),ROUND(I195/(H195/100)^2,1),"")</f>
        <v/>
      </c>
      <c r="K195" s="27"/>
      <c r="L195" s="27"/>
      <c r="M195" s="27"/>
      <c r="N195" s="27"/>
      <c r="O195" s="27"/>
      <c r="P195" s="27"/>
      <c r="Q195" s="27"/>
      <c r="R195" s="29"/>
      <c r="S195" s="29"/>
      <c r="T195" s="27"/>
      <c r="U195" s="28" t="str">
        <f aca="false">IF(N(T195)=0,"",IF(T195&lt;12,"Under 12 months",IF(T195&lt;36,"12-35 months",IF(T195&lt;60,"36-59 months","≥60 months"))))</f>
        <v/>
      </c>
      <c r="V195" s="27"/>
      <c r="W195" s="30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9"/>
      <c r="AT195" s="30"/>
      <c r="AU195" s="30"/>
      <c r="AV195" s="30"/>
      <c r="AW195" s="27"/>
      <c r="AX195" s="27"/>
      <c r="AY195" s="29"/>
      <c r="AZ195" s="27"/>
      <c r="BA195" s="27"/>
      <c r="BB195" s="29"/>
      <c r="BC195" s="30"/>
      <c r="BD195" s="30"/>
      <c r="BE195" s="30"/>
      <c r="BF195" s="27"/>
      <c r="BG195" s="27"/>
      <c r="BH195" s="28" t="str">
        <f aca="false">IF(COUNT(BC195:BE195)=0,"",IF(MIN(BC195:BE195)&lt;=-2.5,"Yes","No"))</f>
        <v/>
      </c>
      <c r="BI195" s="27"/>
      <c r="BJ195" s="29"/>
      <c r="BK195" s="27"/>
      <c r="BL195" s="27"/>
      <c r="BM195" s="27"/>
      <c r="BN195" s="28" t="str">
        <f aca="false">IF(OR(AX195="Yes",BI195="Yes"),"Yes",IF(AND(AX195="No",BI195="No"),"No",IF(AND(AX195="",BI195=""),"","Unknown")))</f>
        <v/>
      </c>
      <c r="BO195" s="31" t="str">
        <f aca="false">IF(COUNT(AY195,BJ195)=0,"",MIN(AY195,BJ195))</f>
        <v/>
      </c>
      <c r="BP195" s="29"/>
      <c r="BQ195" s="29"/>
      <c r="BR195" s="29"/>
      <c r="BS195" s="28" t="str">
        <f aca="false">IF(AND(N(BP195)&gt;0,N(BR195)&gt;0),BR195-BP195,"")</f>
        <v/>
      </c>
      <c r="BT195" s="28" t="str">
        <f aca="false">IF(BS195="","",ROUND(BS195/365.25,2))</f>
        <v/>
      </c>
      <c r="BU195" s="28" t="str">
        <f aca="false">IF(BS195="","",IF(BS195&gt;=730.5,"Yes","No"))</f>
        <v/>
      </c>
      <c r="BV195" s="27"/>
      <c r="BW195" s="29"/>
      <c r="BX195" s="27"/>
      <c r="BY195" s="27"/>
      <c r="BZ195" s="28" t="str">
        <f aca="false">IF(N(E195)=0,"",IF(E195&lt;65,"Under 65","≥65"))</f>
        <v/>
      </c>
      <c r="CA195" s="28" t="str">
        <f aca="false">IF(OR(AC195="Yes",AC195="No"),AC195,"")</f>
        <v/>
      </c>
      <c r="CB195" s="28" t="str">
        <f aca="false">IF(OR(AD195="Yes",AD195="No"),AD195,"")</f>
        <v/>
      </c>
      <c r="CC195" s="28" t="str">
        <f aca="false">IF(F195="","",F195)</f>
        <v/>
      </c>
      <c r="CD195" s="27"/>
      <c r="CE195" s="27"/>
    </row>
    <row r="196" customFormat="false" ht="15" hidden="false" customHeight="false" outlineLevel="0" collapsed="false">
      <c r="A196" s="27"/>
      <c r="B196" s="27"/>
      <c r="C196" s="27"/>
      <c r="D196" s="27"/>
      <c r="E196" s="27"/>
      <c r="F196" s="27"/>
      <c r="G196" s="27"/>
      <c r="H196" s="27"/>
      <c r="I196" s="27"/>
      <c r="J196" s="28" t="str">
        <f aca="false">IF(AND(N(H196)&gt;0,N(I196)&gt;0),ROUND(I196/(H196/100)^2,1),"")</f>
        <v/>
      </c>
      <c r="K196" s="27"/>
      <c r="L196" s="27"/>
      <c r="M196" s="27"/>
      <c r="N196" s="27"/>
      <c r="O196" s="27"/>
      <c r="P196" s="27"/>
      <c r="Q196" s="27"/>
      <c r="R196" s="29"/>
      <c r="S196" s="29"/>
      <c r="T196" s="27"/>
      <c r="U196" s="28" t="str">
        <f aca="false">IF(N(T196)=0,"",IF(T196&lt;12,"Under 12 months",IF(T196&lt;36,"12-35 months",IF(T196&lt;60,"36-59 months","≥60 months"))))</f>
        <v/>
      </c>
      <c r="V196" s="27"/>
      <c r="W196" s="30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9"/>
      <c r="AT196" s="30"/>
      <c r="AU196" s="30"/>
      <c r="AV196" s="30"/>
      <c r="AW196" s="27"/>
      <c r="AX196" s="27"/>
      <c r="AY196" s="29"/>
      <c r="AZ196" s="27"/>
      <c r="BA196" s="27"/>
      <c r="BB196" s="29"/>
      <c r="BC196" s="30"/>
      <c r="BD196" s="30"/>
      <c r="BE196" s="30"/>
      <c r="BF196" s="27"/>
      <c r="BG196" s="27"/>
      <c r="BH196" s="28" t="str">
        <f aca="false">IF(COUNT(BC196:BE196)=0,"",IF(MIN(BC196:BE196)&lt;=-2.5,"Yes","No"))</f>
        <v/>
      </c>
      <c r="BI196" s="27"/>
      <c r="BJ196" s="29"/>
      <c r="BK196" s="27"/>
      <c r="BL196" s="27"/>
      <c r="BM196" s="27"/>
      <c r="BN196" s="28" t="str">
        <f aca="false">IF(OR(AX196="Yes",BI196="Yes"),"Yes",IF(AND(AX196="No",BI196="No"),"No",IF(AND(AX196="",BI196=""),"","Unknown")))</f>
        <v/>
      </c>
      <c r="BO196" s="31" t="str">
        <f aca="false">IF(COUNT(AY196,BJ196)=0,"",MIN(AY196,BJ196))</f>
        <v/>
      </c>
      <c r="BP196" s="29"/>
      <c r="BQ196" s="29"/>
      <c r="BR196" s="29"/>
      <c r="BS196" s="28" t="str">
        <f aca="false">IF(AND(N(BP196)&gt;0,N(BR196)&gt;0),BR196-BP196,"")</f>
        <v/>
      </c>
      <c r="BT196" s="28" t="str">
        <f aca="false">IF(BS196="","",ROUND(BS196/365.25,2))</f>
        <v/>
      </c>
      <c r="BU196" s="28" t="str">
        <f aca="false">IF(BS196="","",IF(BS196&gt;=730.5,"Yes","No"))</f>
        <v/>
      </c>
      <c r="BV196" s="27"/>
      <c r="BW196" s="29"/>
      <c r="BX196" s="27"/>
      <c r="BY196" s="27"/>
      <c r="BZ196" s="28" t="str">
        <f aca="false">IF(N(E196)=0,"",IF(E196&lt;65,"Under 65","≥65"))</f>
        <v/>
      </c>
      <c r="CA196" s="28" t="str">
        <f aca="false">IF(OR(AC196="Yes",AC196="No"),AC196,"")</f>
        <v/>
      </c>
      <c r="CB196" s="28" t="str">
        <f aca="false">IF(OR(AD196="Yes",AD196="No"),AD196,"")</f>
        <v/>
      </c>
      <c r="CC196" s="28" t="str">
        <f aca="false">IF(F196="","",F196)</f>
        <v/>
      </c>
      <c r="CD196" s="27"/>
      <c r="CE196" s="27"/>
    </row>
    <row r="197" customFormat="false" ht="15" hidden="false" customHeight="false" outlineLevel="0" collapsed="false">
      <c r="A197" s="27"/>
      <c r="B197" s="27"/>
      <c r="C197" s="27"/>
      <c r="D197" s="27"/>
      <c r="E197" s="27"/>
      <c r="F197" s="27"/>
      <c r="G197" s="27"/>
      <c r="H197" s="27"/>
      <c r="I197" s="27"/>
      <c r="J197" s="28" t="str">
        <f aca="false">IF(AND(N(H197)&gt;0,N(I197)&gt;0),ROUND(I197/(H197/100)^2,1),"")</f>
        <v/>
      </c>
      <c r="K197" s="27"/>
      <c r="L197" s="27"/>
      <c r="M197" s="27"/>
      <c r="N197" s="27"/>
      <c r="O197" s="27"/>
      <c r="P197" s="27"/>
      <c r="Q197" s="27"/>
      <c r="R197" s="29"/>
      <c r="S197" s="29"/>
      <c r="T197" s="27"/>
      <c r="U197" s="28" t="str">
        <f aca="false">IF(N(T197)=0,"",IF(T197&lt;12,"Under 12 months",IF(T197&lt;36,"12-35 months",IF(T197&lt;60,"36-59 months","≥60 months"))))</f>
        <v/>
      </c>
      <c r="V197" s="27"/>
      <c r="W197" s="30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9"/>
      <c r="AT197" s="30"/>
      <c r="AU197" s="30"/>
      <c r="AV197" s="30"/>
      <c r="AW197" s="27"/>
      <c r="AX197" s="27"/>
      <c r="AY197" s="29"/>
      <c r="AZ197" s="27"/>
      <c r="BA197" s="27"/>
      <c r="BB197" s="29"/>
      <c r="BC197" s="30"/>
      <c r="BD197" s="30"/>
      <c r="BE197" s="30"/>
      <c r="BF197" s="27"/>
      <c r="BG197" s="27"/>
      <c r="BH197" s="28" t="str">
        <f aca="false">IF(COUNT(BC197:BE197)=0,"",IF(MIN(BC197:BE197)&lt;=-2.5,"Yes","No"))</f>
        <v/>
      </c>
      <c r="BI197" s="27"/>
      <c r="BJ197" s="29"/>
      <c r="BK197" s="27"/>
      <c r="BL197" s="27"/>
      <c r="BM197" s="27"/>
      <c r="BN197" s="28" t="str">
        <f aca="false">IF(OR(AX197="Yes",BI197="Yes"),"Yes",IF(AND(AX197="No",BI197="No"),"No",IF(AND(AX197="",BI197=""),"","Unknown")))</f>
        <v/>
      </c>
      <c r="BO197" s="31" t="str">
        <f aca="false">IF(COUNT(AY197,BJ197)=0,"",MIN(AY197,BJ197))</f>
        <v/>
      </c>
      <c r="BP197" s="29"/>
      <c r="BQ197" s="29"/>
      <c r="BR197" s="29"/>
      <c r="BS197" s="28" t="str">
        <f aca="false">IF(AND(N(BP197)&gt;0,N(BR197)&gt;0),BR197-BP197,"")</f>
        <v/>
      </c>
      <c r="BT197" s="28" t="str">
        <f aca="false">IF(BS197="","",ROUND(BS197/365.25,2))</f>
        <v/>
      </c>
      <c r="BU197" s="28" t="str">
        <f aca="false">IF(BS197="","",IF(BS197&gt;=730.5,"Yes","No"))</f>
        <v/>
      </c>
      <c r="BV197" s="27"/>
      <c r="BW197" s="29"/>
      <c r="BX197" s="27"/>
      <c r="BY197" s="27"/>
      <c r="BZ197" s="28" t="str">
        <f aca="false">IF(N(E197)=0,"",IF(E197&lt;65,"Under 65","≥65"))</f>
        <v/>
      </c>
      <c r="CA197" s="28" t="str">
        <f aca="false">IF(OR(AC197="Yes",AC197="No"),AC197,"")</f>
        <v/>
      </c>
      <c r="CB197" s="28" t="str">
        <f aca="false">IF(OR(AD197="Yes",AD197="No"),AD197,"")</f>
        <v/>
      </c>
      <c r="CC197" s="28" t="str">
        <f aca="false">IF(F197="","",F197)</f>
        <v/>
      </c>
      <c r="CD197" s="27"/>
      <c r="CE197" s="27"/>
    </row>
    <row r="198" customFormat="false" ht="15" hidden="false" customHeight="false" outlineLevel="0" collapsed="false">
      <c r="A198" s="27"/>
      <c r="B198" s="27"/>
      <c r="C198" s="27"/>
      <c r="D198" s="27"/>
      <c r="E198" s="27"/>
      <c r="F198" s="27"/>
      <c r="G198" s="27"/>
      <c r="H198" s="27"/>
      <c r="I198" s="27"/>
      <c r="J198" s="28" t="str">
        <f aca="false">IF(AND(N(H198)&gt;0,N(I198)&gt;0),ROUND(I198/(H198/100)^2,1),"")</f>
        <v/>
      </c>
      <c r="K198" s="27"/>
      <c r="L198" s="27"/>
      <c r="M198" s="27"/>
      <c r="N198" s="27"/>
      <c r="O198" s="27"/>
      <c r="P198" s="27"/>
      <c r="Q198" s="27"/>
      <c r="R198" s="29"/>
      <c r="S198" s="29"/>
      <c r="T198" s="27"/>
      <c r="U198" s="28" t="str">
        <f aca="false">IF(N(T198)=0,"",IF(T198&lt;12,"Under 12 months",IF(T198&lt;36,"12-35 months",IF(T198&lt;60,"36-59 months","≥60 months"))))</f>
        <v/>
      </c>
      <c r="V198" s="27"/>
      <c r="W198" s="30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9"/>
      <c r="AT198" s="30"/>
      <c r="AU198" s="30"/>
      <c r="AV198" s="30"/>
      <c r="AW198" s="27"/>
      <c r="AX198" s="27"/>
      <c r="AY198" s="29"/>
      <c r="AZ198" s="27"/>
      <c r="BA198" s="27"/>
      <c r="BB198" s="29"/>
      <c r="BC198" s="30"/>
      <c r="BD198" s="30"/>
      <c r="BE198" s="30"/>
      <c r="BF198" s="27"/>
      <c r="BG198" s="27"/>
      <c r="BH198" s="28" t="str">
        <f aca="false">IF(COUNT(BC198:BE198)=0,"",IF(MIN(BC198:BE198)&lt;=-2.5,"Yes","No"))</f>
        <v/>
      </c>
      <c r="BI198" s="27"/>
      <c r="BJ198" s="29"/>
      <c r="BK198" s="27"/>
      <c r="BL198" s="27"/>
      <c r="BM198" s="27"/>
      <c r="BN198" s="28" t="str">
        <f aca="false">IF(OR(AX198="Yes",BI198="Yes"),"Yes",IF(AND(AX198="No",BI198="No"),"No",IF(AND(AX198="",BI198=""),"","Unknown")))</f>
        <v/>
      </c>
      <c r="BO198" s="31" t="str">
        <f aca="false">IF(COUNT(AY198,BJ198)=0,"",MIN(AY198,BJ198))</f>
        <v/>
      </c>
      <c r="BP198" s="29"/>
      <c r="BQ198" s="29"/>
      <c r="BR198" s="29"/>
      <c r="BS198" s="28" t="str">
        <f aca="false">IF(AND(N(BP198)&gt;0,N(BR198)&gt;0),BR198-BP198,"")</f>
        <v/>
      </c>
      <c r="BT198" s="28" t="str">
        <f aca="false">IF(BS198="","",ROUND(BS198/365.25,2))</f>
        <v/>
      </c>
      <c r="BU198" s="28" t="str">
        <f aca="false">IF(BS198="","",IF(BS198&gt;=730.5,"Yes","No"))</f>
        <v/>
      </c>
      <c r="BV198" s="27"/>
      <c r="BW198" s="29"/>
      <c r="BX198" s="27"/>
      <c r="BY198" s="27"/>
      <c r="BZ198" s="28" t="str">
        <f aca="false">IF(N(E198)=0,"",IF(E198&lt;65,"Under 65","≥65"))</f>
        <v/>
      </c>
      <c r="CA198" s="28" t="str">
        <f aca="false">IF(OR(AC198="Yes",AC198="No"),AC198,"")</f>
        <v/>
      </c>
      <c r="CB198" s="28" t="str">
        <f aca="false">IF(OR(AD198="Yes",AD198="No"),AD198,"")</f>
        <v/>
      </c>
      <c r="CC198" s="28" t="str">
        <f aca="false">IF(F198="","",F198)</f>
        <v/>
      </c>
      <c r="CD198" s="27"/>
      <c r="CE198" s="27"/>
    </row>
    <row r="199" customFormat="false" ht="15" hidden="false" customHeight="false" outlineLevel="0" collapsed="false">
      <c r="A199" s="27"/>
      <c r="B199" s="27"/>
      <c r="C199" s="27"/>
      <c r="D199" s="27"/>
      <c r="E199" s="27"/>
      <c r="F199" s="27"/>
      <c r="G199" s="27"/>
      <c r="H199" s="27"/>
      <c r="I199" s="27"/>
      <c r="J199" s="28" t="str">
        <f aca="false">IF(AND(N(H199)&gt;0,N(I199)&gt;0),ROUND(I199/(H199/100)^2,1),"")</f>
        <v/>
      </c>
      <c r="K199" s="27"/>
      <c r="L199" s="27"/>
      <c r="M199" s="27"/>
      <c r="N199" s="27"/>
      <c r="O199" s="27"/>
      <c r="P199" s="27"/>
      <c r="Q199" s="27"/>
      <c r="R199" s="29"/>
      <c r="S199" s="29"/>
      <c r="T199" s="27"/>
      <c r="U199" s="28" t="str">
        <f aca="false">IF(N(T199)=0,"",IF(T199&lt;12,"Under 12 months",IF(T199&lt;36,"12-35 months",IF(T199&lt;60,"36-59 months","≥60 months"))))</f>
        <v/>
      </c>
      <c r="V199" s="27"/>
      <c r="W199" s="30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9"/>
      <c r="AT199" s="30"/>
      <c r="AU199" s="30"/>
      <c r="AV199" s="30"/>
      <c r="AW199" s="27"/>
      <c r="AX199" s="27"/>
      <c r="AY199" s="29"/>
      <c r="AZ199" s="27"/>
      <c r="BA199" s="27"/>
      <c r="BB199" s="29"/>
      <c r="BC199" s="30"/>
      <c r="BD199" s="30"/>
      <c r="BE199" s="30"/>
      <c r="BF199" s="27"/>
      <c r="BG199" s="27"/>
      <c r="BH199" s="28" t="str">
        <f aca="false">IF(COUNT(BC199:BE199)=0,"",IF(MIN(BC199:BE199)&lt;=-2.5,"Yes","No"))</f>
        <v/>
      </c>
      <c r="BI199" s="27"/>
      <c r="BJ199" s="29"/>
      <c r="BK199" s="27"/>
      <c r="BL199" s="27"/>
      <c r="BM199" s="27"/>
      <c r="BN199" s="28" t="str">
        <f aca="false">IF(OR(AX199="Yes",BI199="Yes"),"Yes",IF(AND(AX199="No",BI199="No"),"No",IF(AND(AX199="",BI199=""),"","Unknown")))</f>
        <v/>
      </c>
      <c r="BO199" s="31" t="str">
        <f aca="false">IF(COUNT(AY199,BJ199)=0,"",MIN(AY199,BJ199))</f>
        <v/>
      </c>
      <c r="BP199" s="29"/>
      <c r="BQ199" s="29"/>
      <c r="BR199" s="29"/>
      <c r="BS199" s="28" t="str">
        <f aca="false">IF(AND(N(BP199)&gt;0,N(BR199)&gt;0),BR199-BP199,"")</f>
        <v/>
      </c>
      <c r="BT199" s="28" t="str">
        <f aca="false">IF(BS199="","",ROUND(BS199/365.25,2))</f>
        <v/>
      </c>
      <c r="BU199" s="28" t="str">
        <f aca="false">IF(BS199="","",IF(BS199&gt;=730.5,"Yes","No"))</f>
        <v/>
      </c>
      <c r="BV199" s="27"/>
      <c r="BW199" s="29"/>
      <c r="BX199" s="27"/>
      <c r="BY199" s="27"/>
      <c r="BZ199" s="28" t="str">
        <f aca="false">IF(N(E199)=0,"",IF(E199&lt;65,"Under 65","≥65"))</f>
        <v/>
      </c>
      <c r="CA199" s="28" t="str">
        <f aca="false">IF(OR(AC199="Yes",AC199="No"),AC199,"")</f>
        <v/>
      </c>
      <c r="CB199" s="28" t="str">
        <f aca="false">IF(OR(AD199="Yes",AD199="No"),AD199,"")</f>
        <v/>
      </c>
      <c r="CC199" s="28" t="str">
        <f aca="false">IF(F199="","",F199)</f>
        <v/>
      </c>
      <c r="CD199" s="27"/>
      <c r="CE199" s="27"/>
    </row>
    <row r="200" customFormat="false" ht="15" hidden="false" customHeight="false" outlineLevel="0" collapsed="false">
      <c r="A200" s="27"/>
      <c r="B200" s="27"/>
      <c r="C200" s="27"/>
      <c r="D200" s="27"/>
      <c r="E200" s="27"/>
      <c r="F200" s="27"/>
      <c r="G200" s="27"/>
      <c r="H200" s="27"/>
      <c r="I200" s="27"/>
      <c r="J200" s="28" t="str">
        <f aca="false">IF(AND(N(H200)&gt;0,N(I200)&gt;0),ROUND(I200/(H200/100)^2,1),"")</f>
        <v/>
      </c>
      <c r="K200" s="27"/>
      <c r="L200" s="27"/>
      <c r="M200" s="27"/>
      <c r="N200" s="27"/>
      <c r="O200" s="27"/>
      <c r="P200" s="27"/>
      <c r="Q200" s="27"/>
      <c r="R200" s="29"/>
      <c r="S200" s="29"/>
      <c r="T200" s="27"/>
      <c r="U200" s="28" t="str">
        <f aca="false">IF(N(T200)=0,"",IF(T200&lt;12,"Under 12 months",IF(T200&lt;36,"12-35 months",IF(T200&lt;60,"36-59 months","≥60 months"))))</f>
        <v/>
      </c>
      <c r="V200" s="27"/>
      <c r="W200" s="30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9"/>
      <c r="AT200" s="30"/>
      <c r="AU200" s="30"/>
      <c r="AV200" s="30"/>
      <c r="AW200" s="27"/>
      <c r="AX200" s="27"/>
      <c r="AY200" s="29"/>
      <c r="AZ200" s="27"/>
      <c r="BA200" s="27"/>
      <c r="BB200" s="29"/>
      <c r="BC200" s="30"/>
      <c r="BD200" s="30"/>
      <c r="BE200" s="30"/>
      <c r="BF200" s="27"/>
      <c r="BG200" s="27"/>
      <c r="BH200" s="28" t="str">
        <f aca="false">IF(COUNT(BC200:BE200)=0,"",IF(MIN(BC200:BE200)&lt;=-2.5,"Yes","No"))</f>
        <v/>
      </c>
      <c r="BI200" s="27"/>
      <c r="BJ200" s="29"/>
      <c r="BK200" s="27"/>
      <c r="BL200" s="27"/>
      <c r="BM200" s="27"/>
      <c r="BN200" s="28" t="str">
        <f aca="false">IF(OR(AX200="Yes",BI200="Yes"),"Yes",IF(AND(AX200="No",BI200="No"),"No",IF(AND(AX200="",BI200=""),"","Unknown")))</f>
        <v/>
      </c>
      <c r="BO200" s="31" t="str">
        <f aca="false">IF(COUNT(AY200,BJ200)=0,"",MIN(AY200,BJ200))</f>
        <v/>
      </c>
      <c r="BP200" s="29"/>
      <c r="BQ200" s="29"/>
      <c r="BR200" s="29"/>
      <c r="BS200" s="28" t="str">
        <f aca="false">IF(AND(N(BP200)&gt;0,N(BR200)&gt;0),BR200-BP200,"")</f>
        <v/>
      </c>
      <c r="BT200" s="28" t="str">
        <f aca="false">IF(BS200="","",ROUND(BS200/365.25,2))</f>
        <v/>
      </c>
      <c r="BU200" s="28" t="str">
        <f aca="false">IF(BS200="","",IF(BS200&gt;=730.5,"Yes","No"))</f>
        <v/>
      </c>
      <c r="BV200" s="27"/>
      <c r="BW200" s="29"/>
      <c r="BX200" s="27"/>
      <c r="BY200" s="27"/>
      <c r="BZ200" s="28" t="str">
        <f aca="false">IF(N(E200)=0,"",IF(E200&lt;65,"Under 65","≥65"))</f>
        <v/>
      </c>
      <c r="CA200" s="28" t="str">
        <f aca="false">IF(OR(AC200="Yes",AC200="No"),AC200,"")</f>
        <v/>
      </c>
      <c r="CB200" s="28" t="str">
        <f aca="false">IF(OR(AD200="Yes",AD200="No"),AD200,"")</f>
        <v/>
      </c>
      <c r="CC200" s="28" t="str">
        <f aca="false">IF(F200="","",F200)</f>
        <v/>
      </c>
      <c r="CD200" s="27"/>
      <c r="CE200" s="27"/>
    </row>
    <row r="201" customFormat="false" ht="15" hidden="false" customHeight="false" outlineLevel="0" collapsed="false">
      <c r="A201" s="27"/>
      <c r="B201" s="27"/>
      <c r="C201" s="27"/>
      <c r="D201" s="27"/>
      <c r="E201" s="27"/>
      <c r="F201" s="27"/>
      <c r="G201" s="27"/>
      <c r="H201" s="27"/>
      <c r="I201" s="27"/>
      <c r="J201" s="28" t="str">
        <f aca="false">IF(AND(N(H201)&gt;0,N(I201)&gt;0),ROUND(I201/(H201/100)^2,1),"")</f>
        <v/>
      </c>
      <c r="K201" s="27"/>
      <c r="L201" s="27"/>
      <c r="M201" s="27"/>
      <c r="N201" s="27"/>
      <c r="O201" s="27"/>
      <c r="P201" s="27"/>
      <c r="Q201" s="27"/>
      <c r="R201" s="29"/>
      <c r="S201" s="29"/>
      <c r="T201" s="27"/>
      <c r="U201" s="28" t="str">
        <f aca="false">IF(N(T201)=0,"",IF(T201&lt;12,"Under 12 months",IF(T201&lt;36,"12-35 months",IF(T201&lt;60,"36-59 months","≥60 months"))))</f>
        <v/>
      </c>
      <c r="V201" s="27"/>
      <c r="W201" s="30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9"/>
      <c r="AT201" s="30"/>
      <c r="AU201" s="30"/>
      <c r="AV201" s="30"/>
      <c r="AW201" s="27"/>
      <c r="AX201" s="27"/>
      <c r="AY201" s="29"/>
      <c r="AZ201" s="27"/>
      <c r="BA201" s="27"/>
      <c r="BB201" s="29"/>
      <c r="BC201" s="30"/>
      <c r="BD201" s="30"/>
      <c r="BE201" s="30"/>
      <c r="BF201" s="27"/>
      <c r="BG201" s="27"/>
      <c r="BH201" s="28" t="str">
        <f aca="false">IF(COUNT(BC201:BE201)=0,"",IF(MIN(BC201:BE201)&lt;=-2.5,"Yes","No"))</f>
        <v/>
      </c>
      <c r="BI201" s="27"/>
      <c r="BJ201" s="29"/>
      <c r="BK201" s="27"/>
      <c r="BL201" s="27"/>
      <c r="BM201" s="27"/>
      <c r="BN201" s="28" t="str">
        <f aca="false">IF(OR(AX201="Yes",BI201="Yes"),"Yes",IF(AND(AX201="No",BI201="No"),"No",IF(AND(AX201="",BI201=""),"","Unknown")))</f>
        <v/>
      </c>
      <c r="BO201" s="31" t="str">
        <f aca="false">IF(COUNT(AY201,BJ201)=0,"",MIN(AY201,BJ201))</f>
        <v/>
      </c>
      <c r="BP201" s="29"/>
      <c r="BQ201" s="29"/>
      <c r="BR201" s="29"/>
      <c r="BS201" s="28" t="str">
        <f aca="false">IF(AND(N(BP201)&gt;0,N(BR201)&gt;0),BR201-BP201,"")</f>
        <v/>
      </c>
      <c r="BT201" s="28" t="str">
        <f aca="false">IF(BS201="","",ROUND(BS201/365.25,2))</f>
        <v/>
      </c>
      <c r="BU201" s="28" t="str">
        <f aca="false">IF(BS201="","",IF(BS201&gt;=730.5,"Yes","No"))</f>
        <v/>
      </c>
      <c r="BV201" s="27"/>
      <c r="BW201" s="29"/>
      <c r="BX201" s="27"/>
      <c r="BY201" s="27"/>
      <c r="BZ201" s="28" t="str">
        <f aca="false">IF(N(E201)=0,"",IF(E201&lt;65,"Under 65","≥65"))</f>
        <v/>
      </c>
      <c r="CA201" s="28" t="str">
        <f aca="false">IF(OR(AC201="Yes",AC201="No"),AC201,"")</f>
        <v/>
      </c>
      <c r="CB201" s="28" t="str">
        <f aca="false">IF(OR(AD201="Yes",AD201="No"),AD201,"")</f>
        <v/>
      </c>
      <c r="CC201" s="28" t="str">
        <f aca="false">IF(F201="","",F201)</f>
        <v/>
      </c>
      <c r="CD201" s="27"/>
      <c r="CE201" s="27"/>
    </row>
    <row r="202" customFormat="false" ht="15" hidden="false" customHeight="false" outlineLevel="0" collapsed="false">
      <c r="A202" s="27"/>
      <c r="B202" s="27"/>
      <c r="C202" s="27"/>
      <c r="D202" s="27"/>
      <c r="E202" s="27"/>
      <c r="F202" s="27"/>
      <c r="G202" s="27"/>
      <c r="H202" s="27"/>
      <c r="I202" s="27"/>
      <c r="J202" s="28" t="str">
        <f aca="false">IF(AND(N(H202)&gt;0,N(I202)&gt;0),ROUND(I202/(H202/100)^2,1),"")</f>
        <v/>
      </c>
      <c r="K202" s="27"/>
      <c r="L202" s="27"/>
      <c r="M202" s="27"/>
      <c r="N202" s="27"/>
      <c r="O202" s="27"/>
      <c r="P202" s="27"/>
      <c r="Q202" s="27"/>
      <c r="R202" s="29"/>
      <c r="S202" s="29"/>
      <c r="T202" s="27"/>
      <c r="U202" s="28" t="str">
        <f aca="false">IF(N(T202)=0,"",IF(T202&lt;12,"Under 12 months",IF(T202&lt;36,"12-35 months",IF(T202&lt;60,"36-59 months","≥60 months"))))</f>
        <v/>
      </c>
      <c r="V202" s="27"/>
      <c r="W202" s="30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9"/>
      <c r="AT202" s="30"/>
      <c r="AU202" s="30"/>
      <c r="AV202" s="30"/>
      <c r="AW202" s="27"/>
      <c r="AX202" s="27"/>
      <c r="AY202" s="29"/>
      <c r="AZ202" s="27"/>
      <c r="BA202" s="27"/>
      <c r="BB202" s="29"/>
      <c r="BC202" s="30"/>
      <c r="BD202" s="30"/>
      <c r="BE202" s="30"/>
      <c r="BF202" s="27"/>
      <c r="BG202" s="27"/>
      <c r="BH202" s="28" t="str">
        <f aca="false">IF(COUNT(BC202:BE202)=0,"",IF(MIN(BC202:BE202)&lt;=-2.5,"Yes","No"))</f>
        <v/>
      </c>
      <c r="BI202" s="27"/>
      <c r="BJ202" s="29"/>
      <c r="BK202" s="27"/>
      <c r="BL202" s="27"/>
      <c r="BM202" s="27"/>
      <c r="BN202" s="28" t="str">
        <f aca="false">IF(OR(AX202="Yes",BI202="Yes"),"Yes",IF(AND(AX202="No",BI202="No"),"No",IF(AND(AX202="",BI202=""),"","Unknown")))</f>
        <v/>
      </c>
      <c r="BO202" s="31" t="str">
        <f aca="false">IF(COUNT(AY202,BJ202)=0,"",MIN(AY202,BJ202))</f>
        <v/>
      </c>
      <c r="BP202" s="29"/>
      <c r="BQ202" s="29"/>
      <c r="BR202" s="29"/>
      <c r="BS202" s="28" t="str">
        <f aca="false">IF(AND(N(BP202)&gt;0,N(BR202)&gt;0),BR202-BP202,"")</f>
        <v/>
      </c>
      <c r="BT202" s="28" t="str">
        <f aca="false">IF(BS202="","",ROUND(BS202/365.25,2))</f>
        <v/>
      </c>
      <c r="BU202" s="28" t="str">
        <f aca="false">IF(BS202="","",IF(BS202&gt;=730.5,"Yes","No"))</f>
        <v/>
      </c>
      <c r="BV202" s="27"/>
      <c r="BW202" s="29"/>
      <c r="BX202" s="27"/>
      <c r="BY202" s="27"/>
      <c r="BZ202" s="28" t="str">
        <f aca="false">IF(N(E202)=0,"",IF(E202&lt;65,"Under 65","≥65"))</f>
        <v/>
      </c>
      <c r="CA202" s="28" t="str">
        <f aca="false">IF(OR(AC202="Yes",AC202="No"),AC202,"")</f>
        <v/>
      </c>
      <c r="CB202" s="28" t="str">
        <f aca="false">IF(OR(AD202="Yes",AD202="No"),AD202,"")</f>
        <v/>
      </c>
      <c r="CC202" s="28" t="str">
        <f aca="false">IF(F202="","",F202)</f>
        <v/>
      </c>
      <c r="CD202" s="27"/>
      <c r="CE202" s="27"/>
    </row>
    <row r="203" customFormat="false" ht="15" hidden="false" customHeight="false" outlineLevel="0" collapsed="false">
      <c r="A203" s="27"/>
      <c r="B203" s="27"/>
      <c r="C203" s="27"/>
      <c r="D203" s="27"/>
      <c r="E203" s="27"/>
      <c r="F203" s="27"/>
      <c r="G203" s="27"/>
      <c r="H203" s="27"/>
      <c r="I203" s="27"/>
      <c r="J203" s="28" t="str">
        <f aca="false">IF(AND(N(H203)&gt;0,N(I203)&gt;0),ROUND(I203/(H203/100)^2,1),"")</f>
        <v/>
      </c>
      <c r="K203" s="27"/>
      <c r="L203" s="27"/>
      <c r="M203" s="27"/>
      <c r="N203" s="27"/>
      <c r="O203" s="27"/>
      <c r="P203" s="27"/>
      <c r="Q203" s="27"/>
      <c r="R203" s="29"/>
      <c r="S203" s="29"/>
      <c r="T203" s="27"/>
      <c r="U203" s="28" t="str">
        <f aca="false">IF(N(T203)=0,"",IF(T203&lt;12,"Under 12 months",IF(T203&lt;36,"12-35 months",IF(T203&lt;60,"36-59 months","≥60 months"))))</f>
        <v/>
      </c>
      <c r="V203" s="27"/>
      <c r="W203" s="30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9"/>
      <c r="AT203" s="30"/>
      <c r="AU203" s="30"/>
      <c r="AV203" s="30"/>
      <c r="AW203" s="27"/>
      <c r="AX203" s="27"/>
      <c r="AY203" s="29"/>
      <c r="AZ203" s="27"/>
      <c r="BA203" s="27"/>
      <c r="BB203" s="29"/>
      <c r="BC203" s="30"/>
      <c r="BD203" s="30"/>
      <c r="BE203" s="30"/>
      <c r="BF203" s="27"/>
      <c r="BG203" s="27"/>
      <c r="BH203" s="28" t="str">
        <f aca="false">IF(COUNT(BC203:BE203)=0,"",IF(MIN(BC203:BE203)&lt;=-2.5,"Yes","No"))</f>
        <v/>
      </c>
      <c r="BI203" s="27"/>
      <c r="BJ203" s="29"/>
      <c r="BK203" s="27"/>
      <c r="BL203" s="27"/>
      <c r="BM203" s="27"/>
      <c r="BN203" s="28" t="str">
        <f aca="false">IF(OR(AX203="Yes",BI203="Yes"),"Yes",IF(AND(AX203="No",BI203="No"),"No",IF(AND(AX203="",BI203=""),"","Unknown")))</f>
        <v/>
      </c>
      <c r="BO203" s="31" t="str">
        <f aca="false">IF(COUNT(AY203,BJ203)=0,"",MIN(AY203,BJ203))</f>
        <v/>
      </c>
      <c r="BP203" s="29"/>
      <c r="BQ203" s="29"/>
      <c r="BR203" s="29"/>
      <c r="BS203" s="28" t="str">
        <f aca="false">IF(AND(N(BP203)&gt;0,N(BR203)&gt;0),BR203-BP203,"")</f>
        <v/>
      </c>
      <c r="BT203" s="28" t="str">
        <f aca="false">IF(BS203="","",ROUND(BS203/365.25,2))</f>
        <v/>
      </c>
      <c r="BU203" s="28" t="str">
        <f aca="false">IF(BS203="","",IF(BS203&gt;=730.5,"Yes","No"))</f>
        <v/>
      </c>
      <c r="BV203" s="27"/>
      <c r="BW203" s="29"/>
      <c r="BX203" s="27"/>
      <c r="BY203" s="27"/>
      <c r="BZ203" s="28" t="str">
        <f aca="false">IF(N(E203)=0,"",IF(E203&lt;65,"Under 65","≥65"))</f>
        <v/>
      </c>
      <c r="CA203" s="28" t="str">
        <f aca="false">IF(OR(AC203="Yes",AC203="No"),AC203,"")</f>
        <v/>
      </c>
      <c r="CB203" s="28" t="str">
        <f aca="false">IF(OR(AD203="Yes",AD203="No"),AD203,"")</f>
        <v/>
      </c>
      <c r="CC203" s="28" t="str">
        <f aca="false">IF(F203="","",F203)</f>
        <v/>
      </c>
      <c r="CD203" s="27"/>
      <c r="CE203" s="27"/>
    </row>
    <row r="204" customFormat="false" ht="15" hidden="false" customHeight="false" outlineLevel="0" collapsed="false">
      <c r="A204" s="27"/>
      <c r="B204" s="27"/>
      <c r="C204" s="27"/>
      <c r="D204" s="27"/>
      <c r="E204" s="27"/>
      <c r="F204" s="27"/>
      <c r="G204" s="27"/>
      <c r="H204" s="27"/>
      <c r="I204" s="27"/>
      <c r="J204" s="28" t="str">
        <f aca="false">IF(AND(N(H204)&gt;0,N(I204)&gt;0),ROUND(I204/(H204/100)^2,1),"")</f>
        <v/>
      </c>
      <c r="K204" s="27"/>
      <c r="L204" s="27"/>
      <c r="M204" s="27"/>
      <c r="N204" s="27"/>
      <c r="O204" s="27"/>
      <c r="P204" s="27"/>
      <c r="Q204" s="27"/>
      <c r="R204" s="29"/>
      <c r="S204" s="29"/>
      <c r="T204" s="27"/>
      <c r="U204" s="28" t="str">
        <f aca="false">IF(N(T204)=0,"",IF(T204&lt;12,"Under 12 months",IF(T204&lt;36,"12-35 months",IF(T204&lt;60,"36-59 months","≥60 months"))))</f>
        <v/>
      </c>
      <c r="V204" s="27"/>
      <c r="W204" s="30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9"/>
      <c r="AT204" s="30"/>
      <c r="AU204" s="30"/>
      <c r="AV204" s="30"/>
      <c r="AW204" s="27"/>
      <c r="AX204" s="27"/>
      <c r="AY204" s="29"/>
      <c r="AZ204" s="27"/>
      <c r="BA204" s="27"/>
      <c r="BB204" s="29"/>
      <c r="BC204" s="30"/>
      <c r="BD204" s="30"/>
      <c r="BE204" s="30"/>
      <c r="BF204" s="27"/>
      <c r="BG204" s="27"/>
      <c r="BH204" s="28" t="str">
        <f aca="false">IF(COUNT(BC204:BE204)=0,"",IF(MIN(BC204:BE204)&lt;=-2.5,"Yes","No"))</f>
        <v/>
      </c>
      <c r="BI204" s="27"/>
      <c r="BJ204" s="29"/>
      <c r="BK204" s="27"/>
      <c r="BL204" s="27"/>
      <c r="BM204" s="27"/>
      <c r="BN204" s="28" t="str">
        <f aca="false">IF(OR(AX204="Yes",BI204="Yes"),"Yes",IF(AND(AX204="No",BI204="No"),"No",IF(AND(AX204="",BI204=""),"","Unknown")))</f>
        <v/>
      </c>
      <c r="BO204" s="31" t="str">
        <f aca="false">IF(COUNT(AY204,BJ204)=0,"",MIN(AY204,BJ204))</f>
        <v/>
      </c>
      <c r="BP204" s="29"/>
      <c r="BQ204" s="29"/>
      <c r="BR204" s="29"/>
      <c r="BS204" s="28" t="str">
        <f aca="false">IF(AND(N(BP204)&gt;0,N(BR204)&gt;0),BR204-BP204,"")</f>
        <v/>
      </c>
      <c r="BT204" s="28" t="str">
        <f aca="false">IF(BS204="","",ROUND(BS204/365.25,2))</f>
        <v/>
      </c>
      <c r="BU204" s="28" t="str">
        <f aca="false">IF(BS204="","",IF(BS204&gt;=730.5,"Yes","No"))</f>
        <v/>
      </c>
      <c r="BV204" s="27"/>
      <c r="BW204" s="29"/>
      <c r="BX204" s="27"/>
      <c r="BY204" s="27"/>
      <c r="BZ204" s="28" t="str">
        <f aca="false">IF(N(E204)=0,"",IF(E204&lt;65,"Under 65","≥65"))</f>
        <v/>
      </c>
      <c r="CA204" s="28" t="str">
        <f aca="false">IF(OR(AC204="Yes",AC204="No"),AC204,"")</f>
        <v/>
      </c>
      <c r="CB204" s="28" t="str">
        <f aca="false">IF(OR(AD204="Yes",AD204="No"),AD204,"")</f>
        <v/>
      </c>
      <c r="CC204" s="28" t="str">
        <f aca="false">IF(F204="","",F204)</f>
        <v/>
      </c>
      <c r="CD204" s="27"/>
      <c r="CE204" s="27"/>
    </row>
    <row r="205" customFormat="false" ht="15" hidden="false" customHeight="false" outlineLevel="0" collapsed="false">
      <c r="A205" s="27"/>
      <c r="B205" s="27"/>
      <c r="C205" s="27"/>
      <c r="D205" s="27"/>
      <c r="E205" s="27"/>
      <c r="F205" s="27"/>
      <c r="G205" s="27"/>
      <c r="H205" s="27"/>
      <c r="I205" s="27"/>
      <c r="J205" s="28" t="str">
        <f aca="false">IF(AND(N(H205)&gt;0,N(I205)&gt;0),ROUND(I205/(H205/100)^2,1),"")</f>
        <v/>
      </c>
      <c r="K205" s="27"/>
      <c r="L205" s="27"/>
      <c r="M205" s="27"/>
      <c r="N205" s="27"/>
      <c r="O205" s="27"/>
      <c r="P205" s="27"/>
      <c r="Q205" s="27"/>
      <c r="R205" s="29"/>
      <c r="S205" s="29"/>
      <c r="T205" s="27"/>
      <c r="U205" s="28" t="str">
        <f aca="false">IF(N(T205)=0,"",IF(T205&lt;12,"Under 12 months",IF(T205&lt;36,"12-35 months",IF(T205&lt;60,"36-59 months","≥60 months"))))</f>
        <v/>
      </c>
      <c r="V205" s="27"/>
      <c r="W205" s="30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9"/>
      <c r="AT205" s="30"/>
      <c r="AU205" s="30"/>
      <c r="AV205" s="30"/>
      <c r="AW205" s="27"/>
      <c r="AX205" s="27"/>
      <c r="AY205" s="29"/>
      <c r="AZ205" s="27"/>
      <c r="BA205" s="27"/>
      <c r="BB205" s="29"/>
      <c r="BC205" s="30"/>
      <c r="BD205" s="30"/>
      <c r="BE205" s="30"/>
      <c r="BF205" s="27"/>
      <c r="BG205" s="27"/>
      <c r="BH205" s="28" t="str">
        <f aca="false">IF(COUNT(BC205:BE205)=0,"",IF(MIN(BC205:BE205)&lt;=-2.5,"Yes","No"))</f>
        <v/>
      </c>
      <c r="BI205" s="27"/>
      <c r="BJ205" s="29"/>
      <c r="BK205" s="27"/>
      <c r="BL205" s="27"/>
      <c r="BM205" s="27"/>
      <c r="BN205" s="28" t="str">
        <f aca="false">IF(OR(AX205="Yes",BI205="Yes"),"Yes",IF(AND(AX205="No",BI205="No"),"No",IF(AND(AX205="",BI205=""),"","Unknown")))</f>
        <v/>
      </c>
      <c r="BO205" s="31" t="str">
        <f aca="false">IF(COUNT(AY205,BJ205)=0,"",MIN(AY205,BJ205))</f>
        <v/>
      </c>
      <c r="BP205" s="29"/>
      <c r="BQ205" s="29"/>
      <c r="BR205" s="29"/>
      <c r="BS205" s="28" t="str">
        <f aca="false">IF(AND(N(BP205)&gt;0,N(BR205)&gt;0),BR205-BP205,"")</f>
        <v/>
      </c>
      <c r="BT205" s="28" t="str">
        <f aca="false">IF(BS205="","",ROUND(BS205/365.25,2))</f>
        <v/>
      </c>
      <c r="BU205" s="28" t="str">
        <f aca="false">IF(BS205="","",IF(BS205&gt;=730.5,"Yes","No"))</f>
        <v/>
      </c>
      <c r="BV205" s="27"/>
      <c r="BW205" s="29"/>
      <c r="BX205" s="27"/>
      <c r="BY205" s="27"/>
      <c r="BZ205" s="28" t="str">
        <f aca="false">IF(N(E205)=0,"",IF(E205&lt;65,"Under 65","≥65"))</f>
        <v/>
      </c>
      <c r="CA205" s="28" t="str">
        <f aca="false">IF(OR(AC205="Yes",AC205="No"),AC205,"")</f>
        <v/>
      </c>
      <c r="CB205" s="28" t="str">
        <f aca="false">IF(OR(AD205="Yes",AD205="No"),AD205,"")</f>
        <v/>
      </c>
      <c r="CC205" s="28" t="str">
        <f aca="false">IF(F205="","",F205)</f>
        <v/>
      </c>
      <c r="CD205" s="27"/>
      <c r="CE205" s="27"/>
    </row>
    <row r="206" customFormat="false" ht="15" hidden="false" customHeight="false" outlineLevel="0" collapsed="false">
      <c r="A206" s="27"/>
      <c r="B206" s="27"/>
      <c r="C206" s="27"/>
      <c r="D206" s="27"/>
      <c r="E206" s="27"/>
      <c r="F206" s="27"/>
      <c r="G206" s="27"/>
      <c r="H206" s="27"/>
      <c r="I206" s="27"/>
      <c r="J206" s="28" t="str">
        <f aca="false">IF(AND(N(H206)&gt;0,N(I206)&gt;0),ROUND(I206/(H206/100)^2,1),"")</f>
        <v/>
      </c>
      <c r="K206" s="27"/>
      <c r="L206" s="27"/>
      <c r="M206" s="27"/>
      <c r="N206" s="27"/>
      <c r="O206" s="27"/>
      <c r="P206" s="27"/>
      <c r="Q206" s="27"/>
      <c r="R206" s="29"/>
      <c r="S206" s="29"/>
      <c r="T206" s="27"/>
      <c r="U206" s="28" t="str">
        <f aca="false">IF(N(T206)=0,"",IF(T206&lt;12,"Under 12 months",IF(T206&lt;36,"12-35 months",IF(T206&lt;60,"36-59 months","≥60 months"))))</f>
        <v/>
      </c>
      <c r="V206" s="27"/>
      <c r="W206" s="30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9"/>
      <c r="AT206" s="30"/>
      <c r="AU206" s="30"/>
      <c r="AV206" s="30"/>
      <c r="AW206" s="27"/>
      <c r="AX206" s="27"/>
      <c r="AY206" s="29"/>
      <c r="AZ206" s="27"/>
      <c r="BA206" s="27"/>
      <c r="BB206" s="29"/>
      <c r="BC206" s="30"/>
      <c r="BD206" s="30"/>
      <c r="BE206" s="30"/>
      <c r="BF206" s="27"/>
      <c r="BG206" s="27"/>
      <c r="BH206" s="28" t="str">
        <f aca="false">IF(COUNT(BC206:BE206)=0,"",IF(MIN(BC206:BE206)&lt;=-2.5,"Yes","No"))</f>
        <v/>
      </c>
      <c r="BI206" s="27"/>
      <c r="BJ206" s="29"/>
      <c r="BK206" s="27"/>
      <c r="BL206" s="27"/>
      <c r="BM206" s="27"/>
      <c r="BN206" s="28" t="str">
        <f aca="false">IF(OR(AX206="Yes",BI206="Yes"),"Yes",IF(AND(AX206="No",BI206="No"),"No",IF(AND(AX206="",BI206=""),"","Unknown")))</f>
        <v/>
      </c>
      <c r="BO206" s="31" t="str">
        <f aca="false">IF(COUNT(AY206,BJ206)=0,"",MIN(AY206,BJ206))</f>
        <v/>
      </c>
      <c r="BP206" s="29"/>
      <c r="BQ206" s="29"/>
      <c r="BR206" s="29"/>
      <c r="BS206" s="28" t="str">
        <f aca="false">IF(AND(N(BP206)&gt;0,N(BR206)&gt;0),BR206-BP206,"")</f>
        <v/>
      </c>
      <c r="BT206" s="28" t="str">
        <f aca="false">IF(BS206="","",ROUND(BS206/365.25,2))</f>
        <v/>
      </c>
      <c r="BU206" s="28" t="str">
        <f aca="false">IF(BS206="","",IF(BS206&gt;=730.5,"Yes","No"))</f>
        <v/>
      </c>
      <c r="BV206" s="27"/>
      <c r="BW206" s="29"/>
      <c r="BX206" s="27"/>
      <c r="BY206" s="27"/>
      <c r="BZ206" s="28" t="str">
        <f aca="false">IF(N(E206)=0,"",IF(E206&lt;65,"Under 65","≥65"))</f>
        <v/>
      </c>
      <c r="CA206" s="28" t="str">
        <f aca="false">IF(OR(AC206="Yes",AC206="No"),AC206,"")</f>
        <v/>
      </c>
      <c r="CB206" s="28" t="str">
        <f aca="false">IF(OR(AD206="Yes",AD206="No"),AD206,"")</f>
        <v/>
      </c>
      <c r="CC206" s="28" t="str">
        <f aca="false">IF(F206="","",F206)</f>
        <v/>
      </c>
      <c r="CD206" s="27"/>
      <c r="CE206" s="27"/>
    </row>
    <row r="207" customFormat="false" ht="15" hidden="false" customHeight="false" outlineLevel="0" collapsed="false">
      <c r="A207" s="27"/>
      <c r="B207" s="27"/>
      <c r="C207" s="27"/>
      <c r="D207" s="27"/>
      <c r="E207" s="27"/>
      <c r="F207" s="27"/>
      <c r="G207" s="27"/>
      <c r="H207" s="27"/>
      <c r="I207" s="27"/>
      <c r="J207" s="28" t="str">
        <f aca="false">IF(AND(N(H207)&gt;0,N(I207)&gt;0),ROUND(I207/(H207/100)^2,1),"")</f>
        <v/>
      </c>
      <c r="K207" s="27"/>
      <c r="L207" s="27"/>
      <c r="M207" s="27"/>
      <c r="N207" s="27"/>
      <c r="O207" s="27"/>
      <c r="P207" s="27"/>
      <c r="Q207" s="27"/>
      <c r="R207" s="29"/>
      <c r="S207" s="29"/>
      <c r="T207" s="27"/>
      <c r="U207" s="28" t="str">
        <f aca="false">IF(N(T207)=0,"",IF(T207&lt;12,"Under 12 months",IF(T207&lt;36,"12-35 months",IF(T207&lt;60,"36-59 months","≥60 months"))))</f>
        <v/>
      </c>
      <c r="V207" s="27"/>
      <c r="W207" s="30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9"/>
      <c r="AT207" s="30"/>
      <c r="AU207" s="30"/>
      <c r="AV207" s="30"/>
      <c r="AW207" s="27"/>
      <c r="AX207" s="27"/>
      <c r="AY207" s="29"/>
      <c r="AZ207" s="27"/>
      <c r="BA207" s="27"/>
      <c r="BB207" s="29"/>
      <c r="BC207" s="30"/>
      <c r="BD207" s="30"/>
      <c r="BE207" s="30"/>
      <c r="BF207" s="27"/>
      <c r="BG207" s="27"/>
      <c r="BH207" s="28" t="str">
        <f aca="false">IF(COUNT(BC207:BE207)=0,"",IF(MIN(BC207:BE207)&lt;=-2.5,"Yes","No"))</f>
        <v/>
      </c>
      <c r="BI207" s="27"/>
      <c r="BJ207" s="29"/>
      <c r="BK207" s="27"/>
      <c r="BL207" s="27"/>
      <c r="BM207" s="27"/>
      <c r="BN207" s="28" t="str">
        <f aca="false">IF(OR(AX207="Yes",BI207="Yes"),"Yes",IF(AND(AX207="No",BI207="No"),"No",IF(AND(AX207="",BI207=""),"","Unknown")))</f>
        <v/>
      </c>
      <c r="BO207" s="31" t="str">
        <f aca="false">IF(COUNT(AY207,BJ207)=0,"",MIN(AY207,BJ207))</f>
        <v/>
      </c>
      <c r="BP207" s="29"/>
      <c r="BQ207" s="29"/>
      <c r="BR207" s="29"/>
      <c r="BS207" s="28" t="str">
        <f aca="false">IF(AND(N(BP207)&gt;0,N(BR207)&gt;0),BR207-BP207,"")</f>
        <v/>
      </c>
      <c r="BT207" s="28" t="str">
        <f aca="false">IF(BS207="","",ROUND(BS207/365.25,2))</f>
        <v/>
      </c>
      <c r="BU207" s="28" t="str">
        <f aca="false">IF(BS207="","",IF(BS207&gt;=730.5,"Yes","No"))</f>
        <v/>
      </c>
      <c r="BV207" s="27"/>
      <c r="BW207" s="29"/>
      <c r="BX207" s="27"/>
      <c r="BY207" s="27"/>
      <c r="BZ207" s="28" t="str">
        <f aca="false">IF(N(E207)=0,"",IF(E207&lt;65,"Under 65","≥65"))</f>
        <v/>
      </c>
      <c r="CA207" s="28" t="str">
        <f aca="false">IF(OR(AC207="Yes",AC207="No"),AC207,"")</f>
        <v/>
      </c>
      <c r="CB207" s="28" t="str">
        <f aca="false">IF(OR(AD207="Yes",AD207="No"),AD207,"")</f>
        <v/>
      </c>
      <c r="CC207" s="28" t="str">
        <f aca="false">IF(F207="","",F207)</f>
        <v/>
      </c>
      <c r="CD207" s="27"/>
      <c r="CE207" s="27"/>
    </row>
    <row r="208" customFormat="false" ht="15" hidden="false" customHeight="false" outlineLevel="0" collapsed="false">
      <c r="A208" s="27"/>
      <c r="B208" s="27"/>
      <c r="C208" s="27"/>
      <c r="D208" s="27"/>
      <c r="E208" s="27"/>
      <c r="F208" s="27"/>
      <c r="G208" s="27"/>
      <c r="H208" s="27"/>
      <c r="I208" s="27"/>
      <c r="J208" s="28" t="str">
        <f aca="false">IF(AND(N(H208)&gt;0,N(I208)&gt;0),ROUND(I208/(H208/100)^2,1),"")</f>
        <v/>
      </c>
      <c r="K208" s="27"/>
      <c r="L208" s="27"/>
      <c r="M208" s="27"/>
      <c r="N208" s="27"/>
      <c r="O208" s="27"/>
      <c r="P208" s="27"/>
      <c r="Q208" s="27"/>
      <c r="R208" s="29"/>
      <c r="S208" s="29"/>
      <c r="T208" s="27"/>
      <c r="U208" s="28" t="str">
        <f aca="false">IF(N(T208)=0,"",IF(T208&lt;12,"Under 12 months",IF(T208&lt;36,"12-35 months",IF(T208&lt;60,"36-59 months","≥60 months"))))</f>
        <v/>
      </c>
      <c r="V208" s="27"/>
      <c r="W208" s="30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9"/>
      <c r="AT208" s="30"/>
      <c r="AU208" s="30"/>
      <c r="AV208" s="30"/>
      <c r="AW208" s="27"/>
      <c r="AX208" s="27"/>
      <c r="AY208" s="29"/>
      <c r="AZ208" s="27"/>
      <c r="BA208" s="27"/>
      <c r="BB208" s="29"/>
      <c r="BC208" s="30"/>
      <c r="BD208" s="30"/>
      <c r="BE208" s="30"/>
      <c r="BF208" s="27"/>
      <c r="BG208" s="27"/>
      <c r="BH208" s="28" t="str">
        <f aca="false">IF(COUNT(BC208:BE208)=0,"",IF(MIN(BC208:BE208)&lt;=-2.5,"Yes","No"))</f>
        <v/>
      </c>
      <c r="BI208" s="27"/>
      <c r="BJ208" s="29"/>
      <c r="BK208" s="27"/>
      <c r="BL208" s="27"/>
      <c r="BM208" s="27"/>
      <c r="BN208" s="28" t="str">
        <f aca="false">IF(OR(AX208="Yes",BI208="Yes"),"Yes",IF(AND(AX208="No",BI208="No"),"No",IF(AND(AX208="",BI208=""),"","Unknown")))</f>
        <v/>
      </c>
      <c r="BO208" s="31" t="str">
        <f aca="false">IF(COUNT(AY208,BJ208)=0,"",MIN(AY208,BJ208))</f>
        <v/>
      </c>
      <c r="BP208" s="29"/>
      <c r="BQ208" s="29"/>
      <c r="BR208" s="29"/>
      <c r="BS208" s="28" t="str">
        <f aca="false">IF(AND(N(BP208)&gt;0,N(BR208)&gt;0),BR208-BP208,"")</f>
        <v/>
      </c>
      <c r="BT208" s="28" t="str">
        <f aca="false">IF(BS208="","",ROUND(BS208/365.25,2))</f>
        <v/>
      </c>
      <c r="BU208" s="28" t="str">
        <f aca="false">IF(BS208="","",IF(BS208&gt;=730.5,"Yes","No"))</f>
        <v/>
      </c>
      <c r="BV208" s="27"/>
      <c r="BW208" s="29"/>
      <c r="BX208" s="27"/>
      <c r="BY208" s="27"/>
      <c r="BZ208" s="28" t="str">
        <f aca="false">IF(N(E208)=0,"",IF(E208&lt;65,"Under 65","≥65"))</f>
        <v/>
      </c>
      <c r="CA208" s="28" t="str">
        <f aca="false">IF(OR(AC208="Yes",AC208="No"),AC208,"")</f>
        <v/>
      </c>
      <c r="CB208" s="28" t="str">
        <f aca="false">IF(OR(AD208="Yes",AD208="No"),AD208,"")</f>
        <v/>
      </c>
      <c r="CC208" s="28" t="str">
        <f aca="false">IF(F208="","",F208)</f>
        <v/>
      </c>
      <c r="CD208" s="27"/>
      <c r="CE208" s="27"/>
    </row>
    <row r="209" customFormat="false" ht="15" hidden="false" customHeight="false" outlineLevel="0" collapsed="false">
      <c r="A209" s="27"/>
      <c r="B209" s="27"/>
      <c r="C209" s="27"/>
      <c r="D209" s="27"/>
      <c r="E209" s="27"/>
      <c r="F209" s="27"/>
      <c r="G209" s="27"/>
      <c r="H209" s="27"/>
      <c r="I209" s="27"/>
      <c r="J209" s="28" t="str">
        <f aca="false">IF(AND(N(H209)&gt;0,N(I209)&gt;0),ROUND(I209/(H209/100)^2,1),"")</f>
        <v/>
      </c>
      <c r="K209" s="27"/>
      <c r="L209" s="27"/>
      <c r="M209" s="27"/>
      <c r="N209" s="27"/>
      <c r="O209" s="27"/>
      <c r="P209" s="27"/>
      <c r="Q209" s="27"/>
      <c r="R209" s="29"/>
      <c r="S209" s="29"/>
      <c r="T209" s="27"/>
      <c r="U209" s="28" t="str">
        <f aca="false">IF(N(T209)=0,"",IF(T209&lt;12,"Under 12 months",IF(T209&lt;36,"12-35 months",IF(T209&lt;60,"36-59 months","≥60 months"))))</f>
        <v/>
      </c>
      <c r="V209" s="27"/>
      <c r="W209" s="30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9"/>
      <c r="AT209" s="30"/>
      <c r="AU209" s="30"/>
      <c r="AV209" s="30"/>
      <c r="AW209" s="27"/>
      <c r="AX209" s="27"/>
      <c r="AY209" s="29"/>
      <c r="AZ209" s="27"/>
      <c r="BA209" s="27"/>
      <c r="BB209" s="29"/>
      <c r="BC209" s="30"/>
      <c r="BD209" s="30"/>
      <c r="BE209" s="30"/>
      <c r="BF209" s="27"/>
      <c r="BG209" s="27"/>
      <c r="BH209" s="28" t="str">
        <f aca="false">IF(COUNT(BC209:BE209)=0,"",IF(MIN(BC209:BE209)&lt;=-2.5,"Yes","No"))</f>
        <v/>
      </c>
      <c r="BI209" s="27"/>
      <c r="BJ209" s="29"/>
      <c r="BK209" s="27"/>
      <c r="BL209" s="27"/>
      <c r="BM209" s="27"/>
      <c r="BN209" s="28" t="str">
        <f aca="false">IF(OR(AX209="Yes",BI209="Yes"),"Yes",IF(AND(AX209="No",BI209="No"),"No",IF(AND(AX209="",BI209=""),"","Unknown")))</f>
        <v/>
      </c>
      <c r="BO209" s="31" t="str">
        <f aca="false">IF(COUNT(AY209,BJ209)=0,"",MIN(AY209,BJ209))</f>
        <v/>
      </c>
      <c r="BP209" s="29"/>
      <c r="BQ209" s="29"/>
      <c r="BR209" s="29"/>
      <c r="BS209" s="28" t="str">
        <f aca="false">IF(AND(N(BP209)&gt;0,N(BR209)&gt;0),BR209-BP209,"")</f>
        <v/>
      </c>
      <c r="BT209" s="28" t="str">
        <f aca="false">IF(BS209="","",ROUND(BS209/365.25,2))</f>
        <v/>
      </c>
      <c r="BU209" s="28" t="str">
        <f aca="false">IF(BS209="","",IF(BS209&gt;=730.5,"Yes","No"))</f>
        <v/>
      </c>
      <c r="BV209" s="27"/>
      <c r="BW209" s="29"/>
      <c r="BX209" s="27"/>
      <c r="BY209" s="27"/>
      <c r="BZ209" s="28" t="str">
        <f aca="false">IF(N(E209)=0,"",IF(E209&lt;65,"Under 65","≥65"))</f>
        <v/>
      </c>
      <c r="CA209" s="28" t="str">
        <f aca="false">IF(OR(AC209="Yes",AC209="No"),AC209,"")</f>
        <v/>
      </c>
      <c r="CB209" s="28" t="str">
        <f aca="false">IF(OR(AD209="Yes",AD209="No"),AD209,"")</f>
        <v/>
      </c>
      <c r="CC209" s="28" t="str">
        <f aca="false">IF(F209="","",F209)</f>
        <v/>
      </c>
      <c r="CD209" s="27"/>
      <c r="CE209" s="27"/>
    </row>
    <row r="210" customFormat="false" ht="15" hidden="false" customHeight="false" outlineLevel="0" collapsed="false">
      <c r="A210" s="27"/>
      <c r="B210" s="27"/>
      <c r="C210" s="27"/>
      <c r="D210" s="27"/>
      <c r="E210" s="27"/>
      <c r="F210" s="27"/>
      <c r="G210" s="27"/>
      <c r="H210" s="27"/>
      <c r="I210" s="27"/>
      <c r="J210" s="28" t="str">
        <f aca="false">IF(AND(N(H210)&gt;0,N(I210)&gt;0),ROUND(I210/(H210/100)^2,1),"")</f>
        <v/>
      </c>
      <c r="K210" s="27"/>
      <c r="L210" s="27"/>
      <c r="M210" s="27"/>
      <c r="N210" s="27"/>
      <c r="O210" s="27"/>
      <c r="P210" s="27"/>
      <c r="Q210" s="27"/>
      <c r="R210" s="29"/>
      <c r="S210" s="29"/>
      <c r="T210" s="27"/>
      <c r="U210" s="28" t="str">
        <f aca="false">IF(N(T210)=0,"",IF(T210&lt;12,"Under 12 months",IF(T210&lt;36,"12-35 months",IF(T210&lt;60,"36-59 months","≥60 months"))))</f>
        <v/>
      </c>
      <c r="V210" s="27"/>
      <c r="W210" s="30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9"/>
      <c r="AT210" s="30"/>
      <c r="AU210" s="30"/>
      <c r="AV210" s="30"/>
      <c r="AW210" s="27"/>
      <c r="AX210" s="27"/>
      <c r="AY210" s="29"/>
      <c r="AZ210" s="27"/>
      <c r="BA210" s="27"/>
      <c r="BB210" s="29"/>
      <c r="BC210" s="30"/>
      <c r="BD210" s="30"/>
      <c r="BE210" s="30"/>
      <c r="BF210" s="27"/>
      <c r="BG210" s="27"/>
      <c r="BH210" s="28" t="str">
        <f aca="false">IF(COUNT(BC210:BE210)=0,"",IF(MIN(BC210:BE210)&lt;=-2.5,"Yes","No"))</f>
        <v/>
      </c>
      <c r="BI210" s="27"/>
      <c r="BJ210" s="29"/>
      <c r="BK210" s="27"/>
      <c r="BL210" s="27"/>
      <c r="BM210" s="27"/>
      <c r="BN210" s="28" t="str">
        <f aca="false">IF(OR(AX210="Yes",BI210="Yes"),"Yes",IF(AND(AX210="No",BI210="No"),"No",IF(AND(AX210="",BI210=""),"","Unknown")))</f>
        <v/>
      </c>
      <c r="BO210" s="31" t="str">
        <f aca="false">IF(COUNT(AY210,BJ210)=0,"",MIN(AY210,BJ210))</f>
        <v/>
      </c>
      <c r="BP210" s="29"/>
      <c r="BQ210" s="29"/>
      <c r="BR210" s="29"/>
      <c r="BS210" s="28" t="str">
        <f aca="false">IF(AND(N(BP210)&gt;0,N(BR210)&gt;0),BR210-BP210,"")</f>
        <v/>
      </c>
      <c r="BT210" s="28" t="str">
        <f aca="false">IF(BS210="","",ROUND(BS210/365.25,2))</f>
        <v/>
      </c>
      <c r="BU210" s="28" t="str">
        <f aca="false">IF(BS210="","",IF(BS210&gt;=730.5,"Yes","No"))</f>
        <v/>
      </c>
      <c r="BV210" s="27"/>
      <c r="BW210" s="29"/>
      <c r="BX210" s="27"/>
      <c r="BY210" s="27"/>
      <c r="BZ210" s="28" t="str">
        <f aca="false">IF(N(E210)=0,"",IF(E210&lt;65,"Under 65","≥65"))</f>
        <v/>
      </c>
      <c r="CA210" s="28" t="str">
        <f aca="false">IF(OR(AC210="Yes",AC210="No"),AC210,"")</f>
        <v/>
      </c>
      <c r="CB210" s="28" t="str">
        <f aca="false">IF(OR(AD210="Yes",AD210="No"),AD210,"")</f>
        <v/>
      </c>
      <c r="CC210" s="28" t="str">
        <f aca="false">IF(F210="","",F210)</f>
        <v/>
      </c>
      <c r="CD210" s="27"/>
      <c r="CE210" s="27"/>
    </row>
    <row r="211" customFormat="false" ht="15" hidden="false" customHeight="false" outlineLevel="0" collapsed="false">
      <c r="A211" s="27"/>
      <c r="B211" s="27"/>
      <c r="C211" s="27"/>
      <c r="D211" s="27"/>
      <c r="E211" s="27"/>
      <c r="F211" s="27"/>
      <c r="G211" s="27"/>
      <c r="H211" s="27"/>
      <c r="I211" s="27"/>
      <c r="J211" s="28" t="str">
        <f aca="false">IF(AND(N(H211)&gt;0,N(I211)&gt;0),ROUND(I211/(H211/100)^2,1),"")</f>
        <v/>
      </c>
      <c r="K211" s="27"/>
      <c r="L211" s="27"/>
      <c r="M211" s="27"/>
      <c r="N211" s="27"/>
      <c r="O211" s="27"/>
      <c r="P211" s="27"/>
      <c r="Q211" s="27"/>
      <c r="R211" s="29"/>
      <c r="S211" s="29"/>
      <c r="T211" s="27"/>
      <c r="U211" s="28" t="str">
        <f aca="false">IF(N(T211)=0,"",IF(T211&lt;12,"Under 12 months",IF(T211&lt;36,"12-35 months",IF(T211&lt;60,"36-59 months","≥60 months"))))</f>
        <v/>
      </c>
      <c r="V211" s="27"/>
      <c r="W211" s="30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9"/>
      <c r="AT211" s="30"/>
      <c r="AU211" s="30"/>
      <c r="AV211" s="30"/>
      <c r="AW211" s="27"/>
      <c r="AX211" s="27"/>
      <c r="AY211" s="29"/>
      <c r="AZ211" s="27"/>
      <c r="BA211" s="27"/>
      <c r="BB211" s="29"/>
      <c r="BC211" s="30"/>
      <c r="BD211" s="30"/>
      <c r="BE211" s="30"/>
      <c r="BF211" s="27"/>
      <c r="BG211" s="27"/>
      <c r="BH211" s="28" t="str">
        <f aca="false">IF(COUNT(BC211:BE211)=0,"",IF(MIN(BC211:BE211)&lt;=-2.5,"Yes","No"))</f>
        <v/>
      </c>
      <c r="BI211" s="27"/>
      <c r="BJ211" s="29"/>
      <c r="BK211" s="27"/>
      <c r="BL211" s="27"/>
      <c r="BM211" s="27"/>
      <c r="BN211" s="28" t="str">
        <f aca="false">IF(OR(AX211="Yes",BI211="Yes"),"Yes",IF(AND(AX211="No",BI211="No"),"No",IF(AND(AX211="",BI211=""),"","Unknown")))</f>
        <v/>
      </c>
      <c r="BO211" s="31" t="str">
        <f aca="false">IF(COUNT(AY211,BJ211)=0,"",MIN(AY211,BJ211))</f>
        <v/>
      </c>
      <c r="BP211" s="29"/>
      <c r="BQ211" s="29"/>
      <c r="BR211" s="29"/>
      <c r="BS211" s="28" t="str">
        <f aca="false">IF(AND(N(BP211)&gt;0,N(BR211)&gt;0),BR211-BP211,"")</f>
        <v/>
      </c>
      <c r="BT211" s="28" t="str">
        <f aca="false">IF(BS211="","",ROUND(BS211/365.25,2))</f>
        <v/>
      </c>
      <c r="BU211" s="28" t="str">
        <f aca="false">IF(BS211="","",IF(BS211&gt;=730.5,"Yes","No"))</f>
        <v/>
      </c>
      <c r="BV211" s="27"/>
      <c r="BW211" s="29"/>
      <c r="BX211" s="27"/>
      <c r="BY211" s="27"/>
      <c r="BZ211" s="28" t="str">
        <f aca="false">IF(N(E211)=0,"",IF(E211&lt;65,"Under 65","≥65"))</f>
        <v/>
      </c>
      <c r="CA211" s="28" t="str">
        <f aca="false">IF(OR(AC211="Yes",AC211="No"),AC211,"")</f>
        <v/>
      </c>
      <c r="CB211" s="28" t="str">
        <f aca="false">IF(OR(AD211="Yes",AD211="No"),AD211,"")</f>
        <v/>
      </c>
      <c r="CC211" s="28" t="str">
        <f aca="false">IF(F211="","",F211)</f>
        <v/>
      </c>
      <c r="CD211" s="27"/>
      <c r="CE211" s="27"/>
    </row>
    <row r="212" customFormat="false" ht="15" hidden="false" customHeight="false" outlineLevel="0" collapsed="false">
      <c r="A212" s="27"/>
      <c r="B212" s="27"/>
      <c r="C212" s="27"/>
      <c r="D212" s="27"/>
      <c r="E212" s="27"/>
      <c r="F212" s="27"/>
      <c r="G212" s="27"/>
      <c r="H212" s="27"/>
      <c r="I212" s="27"/>
      <c r="J212" s="28" t="str">
        <f aca="false">IF(AND(N(H212)&gt;0,N(I212)&gt;0),ROUND(I212/(H212/100)^2,1),"")</f>
        <v/>
      </c>
      <c r="K212" s="27"/>
      <c r="L212" s="27"/>
      <c r="M212" s="27"/>
      <c r="N212" s="27"/>
      <c r="O212" s="27"/>
      <c r="P212" s="27"/>
      <c r="Q212" s="27"/>
      <c r="R212" s="29"/>
      <c r="S212" s="29"/>
      <c r="T212" s="27"/>
      <c r="U212" s="28" t="str">
        <f aca="false">IF(N(T212)=0,"",IF(T212&lt;12,"Under 12 months",IF(T212&lt;36,"12-35 months",IF(T212&lt;60,"36-59 months","≥60 months"))))</f>
        <v/>
      </c>
      <c r="V212" s="27"/>
      <c r="W212" s="30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9"/>
      <c r="AT212" s="30"/>
      <c r="AU212" s="30"/>
      <c r="AV212" s="30"/>
      <c r="AW212" s="27"/>
      <c r="AX212" s="27"/>
      <c r="AY212" s="29"/>
      <c r="AZ212" s="27"/>
      <c r="BA212" s="27"/>
      <c r="BB212" s="29"/>
      <c r="BC212" s="30"/>
      <c r="BD212" s="30"/>
      <c r="BE212" s="30"/>
      <c r="BF212" s="27"/>
      <c r="BG212" s="27"/>
      <c r="BH212" s="28" t="str">
        <f aca="false">IF(COUNT(BC212:BE212)=0,"",IF(MIN(BC212:BE212)&lt;=-2.5,"Yes","No"))</f>
        <v/>
      </c>
      <c r="BI212" s="27"/>
      <c r="BJ212" s="29"/>
      <c r="BK212" s="27"/>
      <c r="BL212" s="27"/>
      <c r="BM212" s="27"/>
      <c r="BN212" s="28" t="str">
        <f aca="false">IF(OR(AX212="Yes",BI212="Yes"),"Yes",IF(AND(AX212="No",BI212="No"),"No",IF(AND(AX212="",BI212=""),"","Unknown")))</f>
        <v/>
      </c>
      <c r="BO212" s="31" t="str">
        <f aca="false">IF(COUNT(AY212,BJ212)=0,"",MIN(AY212,BJ212))</f>
        <v/>
      </c>
      <c r="BP212" s="29"/>
      <c r="BQ212" s="29"/>
      <c r="BR212" s="29"/>
      <c r="BS212" s="28" t="str">
        <f aca="false">IF(AND(N(BP212)&gt;0,N(BR212)&gt;0),BR212-BP212,"")</f>
        <v/>
      </c>
      <c r="BT212" s="28" t="str">
        <f aca="false">IF(BS212="","",ROUND(BS212/365.25,2))</f>
        <v/>
      </c>
      <c r="BU212" s="28" t="str">
        <f aca="false">IF(BS212="","",IF(BS212&gt;=730.5,"Yes","No"))</f>
        <v/>
      </c>
      <c r="BV212" s="27"/>
      <c r="BW212" s="29"/>
      <c r="BX212" s="27"/>
      <c r="BY212" s="27"/>
      <c r="BZ212" s="28" t="str">
        <f aca="false">IF(N(E212)=0,"",IF(E212&lt;65,"Under 65","≥65"))</f>
        <v/>
      </c>
      <c r="CA212" s="28" t="str">
        <f aca="false">IF(OR(AC212="Yes",AC212="No"),AC212,"")</f>
        <v/>
      </c>
      <c r="CB212" s="28" t="str">
        <f aca="false">IF(OR(AD212="Yes",AD212="No"),AD212,"")</f>
        <v/>
      </c>
      <c r="CC212" s="28" t="str">
        <f aca="false">IF(F212="","",F212)</f>
        <v/>
      </c>
      <c r="CD212" s="27"/>
      <c r="CE212" s="27"/>
    </row>
    <row r="213" customFormat="false" ht="15" hidden="false" customHeight="false" outlineLevel="0" collapsed="false">
      <c r="A213" s="27"/>
      <c r="B213" s="27"/>
      <c r="C213" s="27"/>
      <c r="D213" s="27"/>
      <c r="E213" s="27"/>
      <c r="F213" s="27"/>
      <c r="G213" s="27"/>
      <c r="H213" s="27"/>
      <c r="I213" s="27"/>
      <c r="J213" s="28" t="str">
        <f aca="false">IF(AND(N(H213)&gt;0,N(I213)&gt;0),ROUND(I213/(H213/100)^2,1),"")</f>
        <v/>
      </c>
      <c r="K213" s="27"/>
      <c r="L213" s="27"/>
      <c r="M213" s="27"/>
      <c r="N213" s="27"/>
      <c r="O213" s="27"/>
      <c r="P213" s="27"/>
      <c r="Q213" s="27"/>
      <c r="R213" s="29"/>
      <c r="S213" s="29"/>
      <c r="T213" s="27"/>
      <c r="U213" s="28" t="str">
        <f aca="false">IF(N(T213)=0,"",IF(T213&lt;12,"Under 12 months",IF(T213&lt;36,"12-35 months",IF(T213&lt;60,"36-59 months","≥60 months"))))</f>
        <v/>
      </c>
      <c r="V213" s="27"/>
      <c r="W213" s="30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9"/>
      <c r="AT213" s="30"/>
      <c r="AU213" s="30"/>
      <c r="AV213" s="30"/>
      <c r="AW213" s="27"/>
      <c r="AX213" s="27"/>
      <c r="AY213" s="29"/>
      <c r="AZ213" s="27"/>
      <c r="BA213" s="27"/>
      <c r="BB213" s="29"/>
      <c r="BC213" s="30"/>
      <c r="BD213" s="30"/>
      <c r="BE213" s="30"/>
      <c r="BF213" s="27"/>
      <c r="BG213" s="27"/>
      <c r="BH213" s="28" t="str">
        <f aca="false">IF(COUNT(BC213:BE213)=0,"",IF(MIN(BC213:BE213)&lt;=-2.5,"Yes","No"))</f>
        <v/>
      </c>
      <c r="BI213" s="27"/>
      <c r="BJ213" s="29"/>
      <c r="BK213" s="27"/>
      <c r="BL213" s="27"/>
      <c r="BM213" s="27"/>
      <c r="BN213" s="28" t="str">
        <f aca="false">IF(OR(AX213="Yes",BI213="Yes"),"Yes",IF(AND(AX213="No",BI213="No"),"No",IF(AND(AX213="",BI213=""),"","Unknown")))</f>
        <v/>
      </c>
      <c r="BO213" s="31" t="str">
        <f aca="false">IF(COUNT(AY213,BJ213)=0,"",MIN(AY213,BJ213))</f>
        <v/>
      </c>
      <c r="BP213" s="29"/>
      <c r="BQ213" s="29"/>
      <c r="BR213" s="29"/>
      <c r="BS213" s="28" t="str">
        <f aca="false">IF(AND(N(BP213)&gt;0,N(BR213)&gt;0),BR213-BP213,"")</f>
        <v/>
      </c>
      <c r="BT213" s="28" t="str">
        <f aca="false">IF(BS213="","",ROUND(BS213/365.25,2))</f>
        <v/>
      </c>
      <c r="BU213" s="28" t="str">
        <f aca="false">IF(BS213="","",IF(BS213&gt;=730.5,"Yes","No"))</f>
        <v/>
      </c>
      <c r="BV213" s="27"/>
      <c r="BW213" s="29"/>
      <c r="BX213" s="27"/>
      <c r="BY213" s="27"/>
      <c r="BZ213" s="28" t="str">
        <f aca="false">IF(N(E213)=0,"",IF(E213&lt;65,"Under 65","≥65"))</f>
        <v/>
      </c>
      <c r="CA213" s="28" t="str">
        <f aca="false">IF(OR(AC213="Yes",AC213="No"),AC213,"")</f>
        <v/>
      </c>
      <c r="CB213" s="28" t="str">
        <f aca="false">IF(OR(AD213="Yes",AD213="No"),AD213,"")</f>
        <v/>
      </c>
      <c r="CC213" s="28" t="str">
        <f aca="false">IF(F213="","",F213)</f>
        <v/>
      </c>
      <c r="CD213" s="27"/>
      <c r="CE213" s="27"/>
    </row>
    <row r="214" customFormat="false" ht="15" hidden="false" customHeight="false" outlineLevel="0" collapsed="false">
      <c r="A214" s="27"/>
      <c r="B214" s="27"/>
      <c r="C214" s="27"/>
      <c r="D214" s="27"/>
      <c r="E214" s="27"/>
      <c r="F214" s="27"/>
      <c r="G214" s="27"/>
      <c r="H214" s="27"/>
      <c r="I214" s="27"/>
      <c r="J214" s="28" t="str">
        <f aca="false">IF(AND(N(H214)&gt;0,N(I214)&gt;0),ROUND(I214/(H214/100)^2,1),"")</f>
        <v/>
      </c>
      <c r="K214" s="27"/>
      <c r="L214" s="27"/>
      <c r="M214" s="27"/>
      <c r="N214" s="27"/>
      <c r="O214" s="27"/>
      <c r="P214" s="27"/>
      <c r="Q214" s="27"/>
      <c r="R214" s="29"/>
      <c r="S214" s="29"/>
      <c r="T214" s="27"/>
      <c r="U214" s="28" t="str">
        <f aca="false">IF(N(T214)=0,"",IF(T214&lt;12,"Under 12 months",IF(T214&lt;36,"12-35 months",IF(T214&lt;60,"36-59 months","≥60 months"))))</f>
        <v/>
      </c>
      <c r="V214" s="27"/>
      <c r="W214" s="30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9"/>
      <c r="AT214" s="30"/>
      <c r="AU214" s="30"/>
      <c r="AV214" s="30"/>
      <c r="AW214" s="27"/>
      <c r="AX214" s="27"/>
      <c r="AY214" s="29"/>
      <c r="AZ214" s="27"/>
      <c r="BA214" s="27"/>
      <c r="BB214" s="29"/>
      <c r="BC214" s="30"/>
      <c r="BD214" s="30"/>
      <c r="BE214" s="30"/>
      <c r="BF214" s="27"/>
      <c r="BG214" s="27"/>
      <c r="BH214" s="28" t="str">
        <f aca="false">IF(COUNT(BC214:BE214)=0,"",IF(MIN(BC214:BE214)&lt;=-2.5,"Yes","No"))</f>
        <v/>
      </c>
      <c r="BI214" s="27"/>
      <c r="BJ214" s="29"/>
      <c r="BK214" s="27"/>
      <c r="BL214" s="27"/>
      <c r="BM214" s="27"/>
      <c r="BN214" s="28" t="str">
        <f aca="false">IF(OR(AX214="Yes",BI214="Yes"),"Yes",IF(AND(AX214="No",BI214="No"),"No",IF(AND(AX214="",BI214=""),"","Unknown")))</f>
        <v/>
      </c>
      <c r="BO214" s="31" t="str">
        <f aca="false">IF(COUNT(AY214,BJ214)=0,"",MIN(AY214,BJ214))</f>
        <v/>
      </c>
      <c r="BP214" s="29"/>
      <c r="BQ214" s="29"/>
      <c r="BR214" s="29"/>
      <c r="BS214" s="28" t="str">
        <f aca="false">IF(AND(N(BP214)&gt;0,N(BR214)&gt;0),BR214-BP214,"")</f>
        <v/>
      </c>
      <c r="BT214" s="28" t="str">
        <f aca="false">IF(BS214="","",ROUND(BS214/365.25,2))</f>
        <v/>
      </c>
      <c r="BU214" s="28" t="str">
        <f aca="false">IF(BS214="","",IF(BS214&gt;=730.5,"Yes","No"))</f>
        <v/>
      </c>
      <c r="BV214" s="27"/>
      <c r="BW214" s="29"/>
      <c r="BX214" s="27"/>
      <c r="BY214" s="27"/>
      <c r="BZ214" s="28" t="str">
        <f aca="false">IF(N(E214)=0,"",IF(E214&lt;65,"Under 65","≥65"))</f>
        <v/>
      </c>
      <c r="CA214" s="28" t="str">
        <f aca="false">IF(OR(AC214="Yes",AC214="No"),AC214,"")</f>
        <v/>
      </c>
      <c r="CB214" s="28" t="str">
        <f aca="false">IF(OR(AD214="Yes",AD214="No"),AD214,"")</f>
        <v/>
      </c>
      <c r="CC214" s="28" t="str">
        <f aca="false">IF(F214="","",F214)</f>
        <v/>
      </c>
      <c r="CD214" s="27"/>
      <c r="CE214" s="27"/>
    </row>
    <row r="215" customFormat="false" ht="15" hidden="false" customHeight="false" outlineLevel="0" collapsed="false">
      <c r="A215" s="27"/>
      <c r="B215" s="27"/>
      <c r="C215" s="27"/>
      <c r="D215" s="27"/>
      <c r="E215" s="27"/>
      <c r="F215" s="27"/>
      <c r="G215" s="27"/>
      <c r="H215" s="27"/>
      <c r="I215" s="27"/>
      <c r="J215" s="28" t="str">
        <f aca="false">IF(AND(N(H215)&gt;0,N(I215)&gt;0),ROUND(I215/(H215/100)^2,1),"")</f>
        <v/>
      </c>
      <c r="K215" s="27"/>
      <c r="L215" s="27"/>
      <c r="M215" s="27"/>
      <c r="N215" s="27"/>
      <c r="O215" s="27"/>
      <c r="P215" s="27"/>
      <c r="Q215" s="27"/>
      <c r="R215" s="29"/>
      <c r="S215" s="29"/>
      <c r="T215" s="27"/>
      <c r="U215" s="28" t="str">
        <f aca="false">IF(N(T215)=0,"",IF(T215&lt;12,"Under 12 months",IF(T215&lt;36,"12-35 months",IF(T215&lt;60,"36-59 months","≥60 months"))))</f>
        <v/>
      </c>
      <c r="V215" s="27"/>
      <c r="W215" s="30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9"/>
      <c r="AT215" s="30"/>
      <c r="AU215" s="30"/>
      <c r="AV215" s="30"/>
      <c r="AW215" s="27"/>
      <c r="AX215" s="27"/>
      <c r="AY215" s="29"/>
      <c r="AZ215" s="27"/>
      <c r="BA215" s="27"/>
      <c r="BB215" s="29"/>
      <c r="BC215" s="30"/>
      <c r="BD215" s="30"/>
      <c r="BE215" s="30"/>
      <c r="BF215" s="27"/>
      <c r="BG215" s="27"/>
      <c r="BH215" s="28" t="str">
        <f aca="false">IF(COUNT(BC215:BE215)=0,"",IF(MIN(BC215:BE215)&lt;=-2.5,"Yes","No"))</f>
        <v/>
      </c>
      <c r="BI215" s="27"/>
      <c r="BJ215" s="29"/>
      <c r="BK215" s="27"/>
      <c r="BL215" s="27"/>
      <c r="BM215" s="27"/>
      <c r="BN215" s="28" t="str">
        <f aca="false">IF(OR(AX215="Yes",BI215="Yes"),"Yes",IF(AND(AX215="No",BI215="No"),"No",IF(AND(AX215="",BI215=""),"","Unknown")))</f>
        <v/>
      </c>
      <c r="BO215" s="31" t="str">
        <f aca="false">IF(COUNT(AY215,BJ215)=0,"",MIN(AY215,BJ215))</f>
        <v/>
      </c>
      <c r="BP215" s="29"/>
      <c r="BQ215" s="29"/>
      <c r="BR215" s="29"/>
      <c r="BS215" s="28" t="str">
        <f aca="false">IF(AND(N(BP215)&gt;0,N(BR215)&gt;0),BR215-BP215,"")</f>
        <v/>
      </c>
      <c r="BT215" s="28" t="str">
        <f aca="false">IF(BS215="","",ROUND(BS215/365.25,2))</f>
        <v/>
      </c>
      <c r="BU215" s="28" t="str">
        <f aca="false">IF(BS215="","",IF(BS215&gt;=730.5,"Yes","No"))</f>
        <v/>
      </c>
      <c r="BV215" s="27"/>
      <c r="BW215" s="29"/>
      <c r="BX215" s="27"/>
      <c r="BY215" s="27"/>
      <c r="BZ215" s="28" t="str">
        <f aca="false">IF(N(E215)=0,"",IF(E215&lt;65,"Under 65","≥65"))</f>
        <v/>
      </c>
      <c r="CA215" s="28" t="str">
        <f aca="false">IF(OR(AC215="Yes",AC215="No"),AC215,"")</f>
        <v/>
      </c>
      <c r="CB215" s="28" t="str">
        <f aca="false">IF(OR(AD215="Yes",AD215="No"),AD215,"")</f>
        <v/>
      </c>
      <c r="CC215" s="28" t="str">
        <f aca="false">IF(F215="","",F215)</f>
        <v/>
      </c>
      <c r="CD215" s="27"/>
      <c r="CE215" s="27"/>
    </row>
    <row r="216" customFormat="false" ht="15" hidden="false" customHeight="false" outlineLevel="0" collapsed="false">
      <c r="A216" s="27"/>
      <c r="B216" s="27"/>
      <c r="C216" s="27"/>
      <c r="D216" s="27"/>
      <c r="E216" s="27"/>
      <c r="F216" s="27"/>
      <c r="G216" s="27"/>
      <c r="H216" s="27"/>
      <c r="I216" s="27"/>
      <c r="J216" s="28" t="str">
        <f aca="false">IF(AND(N(H216)&gt;0,N(I216)&gt;0),ROUND(I216/(H216/100)^2,1),"")</f>
        <v/>
      </c>
      <c r="K216" s="27"/>
      <c r="L216" s="27"/>
      <c r="M216" s="27"/>
      <c r="N216" s="27"/>
      <c r="O216" s="27"/>
      <c r="P216" s="27"/>
      <c r="Q216" s="27"/>
      <c r="R216" s="29"/>
      <c r="S216" s="29"/>
      <c r="T216" s="27"/>
      <c r="U216" s="28" t="str">
        <f aca="false">IF(N(T216)=0,"",IF(T216&lt;12,"Under 12 months",IF(T216&lt;36,"12-35 months",IF(T216&lt;60,"36-59 months","≥60 months"))))</f>
        <v/>
      </c>
      <c r="V216" s="27"/>
      <c r="W216" s="30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9"/>
      <c r="AT216" s="30"/>
      <c r="AU216" s="30"/>
      <c r="AV216" s="30"/>
      <c r="AW216" s="27"/>
      <c r="AX216" s="27"/>
      <c r="AY216" s="29"/>
      <c r="AZ216" s="27"/>
      <c r="BA216" s="27"/>
      <c r="BB216" s="29"/>
      <c r="BC216" s="30"/>
      <c r="BD216" s="30"/>
      <c r="BE216" s="30"/>
      <c r="BF216" s="27"/>
      <c r="BG216" s="27"/>
      <c r="BH216" s="28" t="str">
        <f aca="false">IF(COUNT(BC216:BE216)=0,"",IF(MIN(BC216:BE216)&lt;=-2.5,"Yes","No"))</f>
        <v/>
      </c>
      <c r="BI216" s="27"/>
      <c r="BJ216" s="29"/>
      <c r="BK216" s="27"/>
      <c r="BL216" s="27"/>
      <c r="BM216" s="27"/>
      <c r="BN216" s="28" t="str">
        <f aca="false">IF(OR(AX216="Yes",BI216="Yes"),"Yes",IF(AND(AX216="No",BI216="No"),"No",IF(AND(AX216="",BI216=""),"","Unknown")))</f>
        <v/>
      </c>
      <c r="BO216" s="31" t="str">
        <f aca="false">IF(COUNT(AY216,BJ216)=0,"",MIN(AY216,BJ216))</f>
        <v/>
      </c>
      <c r="BP216" s="29"/>
      <c r="BQ216" s="29"/>
      <c r="BR216" s="29"/>
      <c r="BS216" s="28" t="str">
        <f aca="false">IF(AND(N(BP216)&gt;0,N(BR216)&gt;0),BR216-BP216,"")</f>
        <v/>
      </c>
      <c r="BT216" s="28" t="str">
        <f aca="false">IF(BS216="","",ROUND(BS216/365.25,2))</f>
        <v/>
      </c>
      <c r="BU216" s="28" t="str">
        <f aca="false">IF(BS216="","",IF(BS216&gt;=730.5,"Yes","No"))</f>
        <v/>
      </c>
      <c r="BV216" s="27"/>
      <c r="BW216" s="29"/>
      <c r="BX216" s="27"/>
      <c r="BY216" s="27"/>
      <c r="BZ216" s="28" t="str">
        <f aca="false">IF(N(E216)=0,"",IF(E216&lt;65,"Under 65","≥65"))</f>
        <v/>
      </c>
      <c r="CA216" s="28" t="str">
        <f aca="false">IF(OR(AC216="Yes",AC216="No"),AC216,"")</f>
        <v/>
      </c>
      <c r="CB216" s="28" t="str">
        <f aca="false">IF(OR(AD216="Yes",AD216="No"),AD216,"")</f>
        <v/>
      </c>
      <c r="CC216" s="28" t="str">
        <f aca="false">IF(F216="","",F216)</f>
        <v/>
      </c>
      <c r="CD216" s="27"/>
      <c r="CE216" s="27"/>
    </row>
    <row r="217" customFormat="false" ht="15" hidden="false" customHeight="false" outlineLevel="0" collapsed="false">
      <c r="A217" s="27"/>
      <c r="B217" s="27"/>
      <c r="C217" s="27"/>
      <c r="D217" s="27"/>
      <c r="E217" s="27"/>
      <c r="F217" s="27"/>
      <c r="G217" s="27"/>
      <c r="H217" s="27"/>
      <c r="I217" s="27"/>
      <c r="J217" s="28" t="str">
        <f aca="false">IF(AND(N(H217)&gt;0,N(I217)&gt;0),ROUND(I217/(H217/100)^2,1),"")</f>
        <v/>
      </c>
      <c r="K217" s="27"/>
      <c r="L217" s="27"/>
      <c r="M217" s="27"/>
      <c r="N217" s="27"/>
      <c r="O217" s="27"/>
      <c r="P217" s="27"/>
      <c r="Q217" s="27"/>
      <c r="R217" s="29"/>
      <c r="S217" s="29"/>
      <c r="T217" s="27"/>
      <c r="U217" s="28" t="str">
        <f aca="false">IF(N(T217)=0,"",IF(T217&lt;12,"Under 12 months",IF(T217&lt;36,"12-35 months",IF(T217&lt;60,"36-59 months","≥60 months"))))</f>
        <v/>
      </c>
      <c r="V217" s="27"/>
      <c r="W217" s="30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9"/>
      <c r="AT217" s="30"/>
      <c r="AU217" s="30"/>
      <c r="AV217" s="30"/>
      <c r="AW217" s="27"/>
      <c r="AX217" s="27"/>
      <c r="AY217" s="29"/>
      <c r="AZ217" s="27"/>
      <c r="BA217" s="27"/>
      <c r="BB217" s="29"/>
      <c r="BC217" s="30"/>
      <c r="BD217" s="30"/>
      <c r="BE217" s="30"/>
      <c r="BF217" s="27"/>
      <c r="BG217" s="27"/>
      <c r="BH217" s="28" t="str">
        <f aca="false">IF(COUNT(BC217:BE217)=0,"",IF(MIN(BC217:BE217)&lt;=-2.5,"Yes","No"))</f>
        <v/>
      </c>
      <c r="BI217" s="27"/>
      <c r="BJ217" s="29"/>
      <c r="BK217" s="27"/>
      <c r="BL217" s="27"/>
      <c r="BM217" s="27"/>
      <c r="BN217" s="28" t="str">
        <f aca="false">IF(OR(AX217="Yes",BI217="Yes"),"Yes",IF(AND(AX217="No",BI217="No"),"No",IF(AND(AX217="",BI217=""),"","Unknown")))</f>
        <v/>
      </c>
      <c r="BO217" s="31" t="str">
        <f aca="false">IF(COUNT(AY217,BJ217)=0,"",MIN(AY217,BJ217))</f>
        <v/>
      </c>
      <c r="BP217" s="29"/>
      <c r="BQ217" s="29"/>
      <c r="BR217" s="29"/>
      <c r="BS217" s="28" t="str">
        <f aca="false">IF(AND(N(BP217)&gt;0,N(BR217)&gt;0),BR217-BP217,"")</f>
        <v/>
      </c>
      <c r="BT217" s="28" t="str">
        <f aca="false">IF(BS217="","",ROUND(BS217/365.25,2))</f>
        <v/>
      </c>
      <c r="BU217" s="28" t="str">
        <f aca="false">IF(BS217="","",IF(BS217&gt;=730.5,"Yes","No"))</f>
        <v/>
      </c>
      <c r="BV217" s="27"/>
      <c r="BW217" s="29"/>
      <c r="BX217" s="27"/>
      <c r="BY217" s="27"/>
      <c r="BZ217" s="28" t="str">
        <f aca="false">IF(N(E217)=0,"",IF(E217&lt;65,"Under 65","≥65"))</f>
        <v/>
      </c>
      <c r="CA217" s="28" t="str">
        <f aca="false">IF(OR(AC217="Yes",AC217="No"),AC217,"")</f>
        <v/>
      </c>
      <c r="CB217" s="28" t="str">
        <f aca="false">IF(OR(AD217="Yes",AD217="No"),AD217,"")</f>
        <v/>
      </c>
      <c r="CC217" s="28" t="str">
        <f aca="false">IF(F217="","",F217)</f>
        <v/>
      </c>
      <c r="CD217" s="27"/>
      <c r="CE217" s="27"/>
    </row>
    <row r="218" customFormat="false" ht="15" hidden="false" customHeight="false" outlineLevel="0" collapsed="false">
      <c r="A218" s="27"/>
      <c r="B218" s="27"/>
      <c r="C218" s="27"/>
      <c r="D218" s="27"/>
      <c r="E218" s="27"/>
      <c r="F218" s="27"/>
      <c r="G218" s="27"/>
      <c r="H218" s="27"/>
      <c r="I218" s="27"/>
      <c r="J218" s="28" t="str">
        <f aca="false">IF(AND(N(H218)&gt;0,N(I218)&gt;0),ROUND(I218/(H218/100)^2,1),"")</f>
        <v/>
      </c>
      <c r="K218" s="27"/>
      <c r="L218" s="27"/>
      <c r="M218" s="27"/>
      <c r="N218" s="27"/>
      <c r="O218" s="27"/>
      <c r="P218" s="27"/>
      <c r="Q218" s="27"/>
      <c r="R218" s="29"/>
      <c r="S218" s="29"/>
      <c r="T218" s="27"/>
      <c r="U218" s="28" t="str">
        <f aca="false">IF(N(T218)=0,"",IF(T218&lt;12,"Under 12 months",IF(T218&lt;36,"12-35 months",IF(T218&lt;60,"36-59 months","≥60 months"))))</f>
        <v/>
      </c>
      <c r="V218" s="27"/>
      <c r="W218" s="30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9"/>
      <c r="AT218" s="30"/>
      <c r="AU218" s="30"/>
      <c r="AV218" s="30"/>
      <c r="AW218" s="27"/>
      <c r="AX218" s="27"/>
      <c r="AY218" s="29"/>
      <c r="AZ218" s="27"/>
      <c r="BA218" s="27"/>
      <c r="BB218" s="29"/>
      <c r="BC218" s="30"/>
      <c r="BD218" s="30"/>
      <c r="BE218" s="30"/>
      <c r="BF218" s="27"/>
      <c r="BG218" s="27"/>
      <c r="BH218" s="28" t="str">
        <f aca="false">IF(COUNT(BC218:BE218)=0,"",IF(MIN(BC218:BE218)&lt;=-2.5,"Yes","No"))</f>
        <v/>
      </c>
      <c r="BI218" s="27"/>
      <c r="BJ218" s="29"/>
      <c r="BK218" s="27"/>
      <c r="BL218" s="27"/>
      <c r="BM218" s="27"/>
      <c r="BN218" s="28" t="str">
        <f aca="false">IF(OR(AX218="Yes",BI218="Yes"),"Yes",IF(AND(AX218="No",BI218="No"),"No",IF(AND(AX218="",BI218=""),"","Unknown")))</f>
        <v/>
      </c>
      <c r="BO218" s="31" t="str">
        <f aca="false">IF(COUNT(AY218,BJ218)=0,"",MIN(AY218,BJ218))</f>
        <v/>
      </c>
      <c r="BP218" s="29"/>
      <c r="BQ218" s="29"/>
      <c r="BR218" s="29"/>
      <c r="BS218" s="28" t="str">
        <f aca="false">IF(AND(N(BP218)&gt;0,N(BR218)&gt;0),BR218-BP218,"")</f>
        <v/>
      </c>
      <c r="BT218" s="28" t="str">
        <f aca="false">IF(BS218="","",ROUND(BS218/365.25,2))</f>
        <v/>
      </c>
      <c r="BU218" s="28" t="str">
        <f aca="false">IF(BS218="","",IF(BS218&gt;=730.5,"Yes","No"))</f>
        <v/>
      </c>
      <c r="BV218" s="27"/>
      <c r="BW218" s="29"/>
      <c r="BX218" s="27"/>
      <c r="BY218" s="27"/>
      <c r="BZ218" s="28" t="str">
        <f aca="false">IF(N(E218)=0,"",IF(E218&lt;65,"Under 65","≥65"))</f>
        <v/>
      </c>
      <c r="CA218" s="28" t="str">
        <f aca="false">IF(OR(AC218="Yes",AC218="No"),AC218,"")</f>
        <v/>
      </c>
      <c r="CB218" s="28" t="str">
        <f aca="false">IF(OR(AD218="Yes",AD218="No"),AD218,"")</f>
        <v/>
      </c>
      <c r="CC218" s="28" t="str">
        <f aca="false">IF(F218="","",F218)</f>
        <v/>
      </c>
      <c r="CD218" s="27"/>
      <c r="CE218" s="27"/>
    </row>
    <row r="219" customFormat="false" ht="15" hidden="false" customHeight="false" outlineLevel="0" collapsed="false">
      <c r="A219" s="27"/>
      <c r="B219" s="27"/>
      <c r="C219" s="27"/>
      <c r="D219" s="27"/>
      <c r="E219" s="27"/>
      <c r="F219" s="27"/>
      <c r="G219" s="27"/>
      <c r="H219" s="27"/>
      <c r="I219" s="27"/>
      <c r="J219" s="28" t="str">
        <f aca="false">IF(AND(N(H219)&gt;0,N(I219)&gt;0),ROUND(I219/(H219/100)^2,1),"")</f>
        <v/>
      </c>
      <c r="K219" s="27"/>
      <c r="L219" s="27"/>
      <c r="M219" s="27"/>
      <c r="N219" s="27"/>
      <c r="O219" s="27"/>
      <c r="P219" s="27"/>
      <c r="Q219" s="27"/>
      <c r="R219" s="29"/>
      <c r="S219" s="29"/>
      <c r="T219" s="27"/>
      <c r="U219" s="28" t="str">
        <f aca="false">IF(N(T219)=0,"",IF(T219&lt;12,"Under 12 months",IF(T219&lt;36,"12-35 months",IF(T219&lt;60,"36-59 months","≥60 months"))))</f>
        <v/>
      </c>
      <c r="V219" s="27"/>
      <c r="W219" s="30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9"/>
      <c r="AT219" s="30"/>
      <c r="AU219" s="30"/>
      <c r="AV219" s="30"/>
      <c r="AW219" s="27"/>
      <c r="AX219" s="27"/>
      <c r="AY219" s="29"/>
      <c r="AZ219" s="27"/>
      <c r="BA219" s="27"/>
      <c r="BB219" s="29"/>
      <c r="BC219" s="30"/>
      <c r="BD219" s="30"/>
      <c r="BE219" s="30"/>
      <c r="BF219" s="27"/>
      <c r="BG219" s="27"/>
      <c r="BH219" s="28" t="str">
        <f aca="false">IF(COUNT(BC219:BE219)=0,"",IF(MIN(BC219:BE219)&lt;=-2.5,"Yes","No"))</f>
        <v/>
      </c>
      <c r="BI219" s="27"/>
      <c r="BJ219" s="29"/>
      <c r="BK219" s="27"/>
      <c r="BL219" s="27"/>
      <c r="BM219" s="27"/>
      <c r="BN219" s="28" t="str">
        <f aca="false">IF(OR(AX219="Yes",BI219="Yes"),"Yes",IF(AND(AX219="No",BI219="No"),"No",IF(AND(AX219="",BI219=""),"","Unknown")))</f>
        <v/>
      </c>
      <c r="BO219" s="31" t="str">
        <f aca="false">IF(COUNT(AY219,BJ219)=0,"",MIN(AY219,BJ219))</f>
        <v/>
      </c>
      <c r="BP219" s="29"/>
      <c r="BQ219" s="29"/>
      <c r="BR219" s="29"/>
      <c r="BS219" s="28" t="str">
        <f aca="false">IF(AND(N(BP219)&gt;0,N(BR219)&gt;0),BR219-BP219,"")</f>
        <v/>
      </c>
      <c r="BT219" s="28" t="str">
        <f aca="false">IF(BS219="","",ROUND(BS219/365.25,2))</f>
        <v/>
      </c>
      <c r="BU219" s="28" t="str">
        <f aca="false">IF(BS219="","",IF(BS219&gt;=730.5,"Yes","No"))</f>
        <v/>
      </c>
      <c r="BV219" s="27"/>
      <c r="BW219" s="29"/>
      <c r="BX219" s="27"/>
      <c r="BY219" s="27"/>
      <c r="BZ219" s="28" t="str">
        <f aca="false">IF(N(E219)=0,"",IF(E219&lt;65,"Under 65","≥65"))</f>
        <v/>
      </c>
      <c r="CA219" s="28" t="str">
        <f aca="false">IF(OR(AC219="Yes",AC219="No"),AC219,"")</f>
        <v/>
      </c>
      <c r="CB219" s="28" t="str">
        <f aca="false">IF(OR(AD219="Yes",AD219="No"),AD219,"")</f>
        <v/>
      </c>
      <c r="CC219" s="28" t="str">
        <f aca="false">IF(F219="","",F219)</f>
        <v/>
      </c>
      <c r="CD219" s="27"/>
      <c r="CE219" s="27"/>
    </row>
    <row r="220" customFormat="false" ht="15" hidden="false" customHeight="false" outlineLevel="0" collapsed="false">
      <c r="A220" s="27"/>
      <c r="B220" s="27"/>
      <c r="C220" s="27"/>
      <c r="D220" s="27"/>
      <c r="E220" s="27"/>
      <c r="F220" s="27"/>
      <c r="G220" s="27"/>
      <c r="H220" s="27"/>
      <c r="I220" s="27"/>
      <c r="J220" s="28" t="str">
        <f aca="false">IF(AND(N(H220)&gt;0,N(I220)&gt;0),ROUND(I220/(H220/100)^2,1),"")</f>
        <v/>
      </c>
      <c r="K220" s="27"/>
      <c r="L220" s="27"/>
      <c r="M220" s="27"/>
      <c r="N220" s="27"/>
      <c r="O220" s="27"/>
      <c r="P220" s="27"/>
      <c r="Q220" s="27"/>
      <c r="R220" s="29"/>
      <c r="S220" s="29"/>
      <c r="T220" s="27"/>
      <c r="U220" s="28" t="str">
        <f aca="false">IF(N(T220)=0,"",IF(T220&lt;12,"Under 12 months",IF(T220&lt;36,"12-35 months",IF(T220&lt;60,"36-59 months","≥60 months"))))</f>
        <v/>
      </c>
      <c r="V220" s="27"/>
      <c r="W220" s="30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9"/>
      <c r="AT220" s="30"/>
      <c r="AU220" s="30"/>
      <c r="AV220" s="30"/>
      <c r="AW220" s="27"/>
      <c r="AX220" s="27"/>
      <c r="AY220" s="29"/>
      <c r="AZ220" s="27"/>
      <c r="BA220" s="27"/>
      <c r="BB220" s="29"/>
      <c r="BC220" s="30"/>
      <c r="BD220" s="30"/>
      <c r="BE220" s="30"/>
      <c r="BF220" s="27"/>
      <c r="BG220" s="27"/>
      <c r="BH220" s="28" t="str">
        <f aca="false">IF(COUNT(BC220:BE220)=0,"",IF(MIN(BC220:BE220)&lt;=-2.5,"Yes","No"))</f>
        <v/>
      </c>
      <c r="BI220" s="27"/>
      <c r="BJ220" s="29"/>
      <c r="BK220" s="27"/>
      <c r="BL220" s="27"/>
      <c r="BM220" s="27"/>
      <c r="BN220" s="28" t="str">
        <f aca="false">IF(OR(AX220="Yes",BI220="Yes"),"Yes",IF(AND(AX220="No",BI220="No"),"No",IF(AND(AX220="",BI220=""),"","Unknown")))</f>
        <v/>
      </c>
      <c r="BO220" s="31" t="str">
        <f aca="false">IF(COUNT(AY220,BJ220)=0,"",MIN(AY220,BJ220))</f>
        <v/>
      </c>
      <c r="BP220" s="29"/>
      <c r="BQ220" s="29"/>
      <c r="BR220" s="29"/>
      <c r="BS220" s="28" t="str">
        <f aca="false">IF(AND(N(BP220)&gt;0,N(BR220)&gt;0),BR220-BP220,"")</f>
        <v/>
      </c>
      <c r="BT220" s="28" t="str">
        <f aca="false">IF(BS220="","",ROUND(BS220/365.25,2))</f>
        <v/>
      </c>
      <c r="BU220" s="28" t="str">
        <f aca="false">IF(BS220="","",IF(BS220&gt;=730.5,"Yes","No"))</f>
        <v/>
      </c>
      <c r="BV220" s="27"/>
      <c r="BW220" s="29"/>
      <c r="BX220" s="27"/>
      <c r="BY220" s="27"/>
      <c r="BZ220" s="28" t="str">
        <f aca="false">IF(N(E220)=0,"",IF(E220&lt;65,"Under 65","≥65"))</f>
        <v/>
      </c>
      <c r="CA220" s="28" t="str">
        <f aca="false">IF(OR(AC220="Yes",AC220="No"),AC220,"")</f>
        <v/>
      </c>
      <c r="CB220" s="28" t="str">
        <f aca="false">IF(OR(AD220="Yes",AD220="No"),AD220,"")</f>
        <v/>
      </c>
      <c r="CC220" s="28" t="str">
        <f aca="false">IF(F220="","",F220)</f>
        <v/>
      </c>
      <c r="CD220" s="27"/>
      <c r="CE220" s="27"/>
    </row>
    <row r="221" customFormat="false" ht="15" hidden="false" customHeight="false" outlineLevel="0" collapsed="false">
      <c r="A221" s="27"/>
      <c r="B221" s="27"/>
      <c r="C221" s="27"/>
      <c r="D221" s="27"/>
      <c r="E221" s="27"/>
      <c r="F221" s="27"/>
      <c r="G221" s="27"/>
      <c r="H221" s="27"/>
      <c r="I221" s="27"/>
      <c r="J221" s="28" t="str">
        <f aca="false">IF(AND(N(H221)&gt;0,N(I221)&gt;0),ROUND(I221/(H221/100)^2,1),"")</f>
        <v/>
      </c>
      <c r="K221" s="27"/>
      <c r="L221" s="27"/>
      <c r="M221" s="27"/>
      <c r="N221" s="27"/>
      <c r="O221" s="27"/>
      <c r="P221" s="27"/>
      <c r="Q221" s="27"/>
      <c r="R221" s="29"/>
      <c r="S221" s="29"/>
      <c r="T221" s="27"/>
      <c r="U221" s="28" t="str">
        <f aca="false">IF(N(T221)=0,"",IF(T221&lt;12,"Under 12 months",IF(T221&lt;36,"12-35 months",IF(T221&lt;60,"36-59 months","≥60 months"))))</f>
        <v/>
      </c>
      <c r="V221" s="27"/>
      <c r="W221" s="30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9"/>
      <c r="AT221" s="30"/>
      <c r="AU221" s="30"/>
      <c r="AV221" s="30"/>
      <c r="AW221" s="27"/>
      <c r="AX221" s="27"/>
      <c r="AY221" s="29"/>
      <c r="AZ221" s="27"/>
      <c r="BA221" s="27"/>
      <c r="BB221" s="29"/>
      <c r="BC221" s="30"/>
      <c r="BD221" s="30"/>
      <c r="BE221" s="30"/>
      <c r="BF221" s="27"/>
      <c r="BG221" s="27"/>
      <c r="BH221" s="28" t="str">
        <f aca="false">IF(COUNT(BC221:BE221)=0,"",IF(MIN(BC221:BE221)&lt;=-2.5,"Yes","No"))</f>
        <v/>
      </c>
      <c r="BI221" s="27"/>
      <c r="BJ221" s="29"/>
      <c r="BK221" s="27"/>
      <c r="BL221" s="27"/>
      <c r="BM221" s="27"/>
      <c r="BN221" s="28" t="str">
        <f aca="false">IF(OR(AX221="Yes",BI221="Yes"),"Yes",IF(AND(AX221="No",BI221="No"),"No",IF(AND(AX221="",BI221=""),"","Unknown")))</f>
        <v/>
      </c>
      <c r="BO221" s="31" t="str">
        <f aca="false">IF(COUNT(AY221,BJ221)=0,"",MIN(AY221,BJ221))</f>
        <v/>
      </c>
      <c r="BP221" s="29"/>
      <c r="BQ221" s="29"/>
      <c r="BR221" s="29"/>
      <c r="BS221" s="28" t="str">
        <f aca="false">IF(AND(N(BP221)&gt;0,N(BR221)&gt;0),BR221-BP221,"")</f>
        <v/>
      </c>
      <c r="BT221" s="28" t="str">
        <f aca="false">IF(BS221="","",ROUND(BS221/365.25,2))</f>
        <v/>
      </c>
      <c r="BU221" s="28" t="str">
        <f aca="false">IF(BS221="","",IF(BS221&gt;=730.5,"Yes","No"))</f>
        <v/>
      </c>
      <c r="BV221" s="27"/>
      <c r="BW221" s="29"/>
      <c r="BX221" s="27"/>
      <c r="BY221" s="27"/>
      <c r="BZ221" s="28" t="str">
        <f aca="false">IF(N(E221)=0,"",IF(E221&lt;65,"Under 65","≥65"))</f>
        <v/>
      </c>
      <c r="CA221" s="28" t="str">
        <f aca="false">IF(OR(AC221="Yes",AC221="No"),AC221,"")</f>
        <v/>
      </c>
      <c r="CB221" s="28" t="str">
        <f aca="false">IF(OR(AD221="Yes",AD221="No"),AD221,"")</f>
        <v/>
      </c>
      <c r="CC221" s="28" t="str">
        <f aca="false">IF(F221="","",F221)</f>
        <v/>
      </c>
      <c r="CD221" s="27"/>
      <c r="CE221" s="27"/>
    </row>
    <row r="222" customFormat="false" ht="15" hidden="false" customHeight="false" outlineLevel="0" collapsed="false">
      <c r="A222" s="27"/>
      <c r="B222" s="27"/>
      <c r="C222" s="27"/>
      <c r="D222" s="27"/>
      <c r="E222" s="27"/>
      <c r="F222" s="27"/>
      <c r="G222" s="27"/>
      <c r="H222" s="27"/>
      <c r="I222" s="27"/>
      <c r="J222" s="28" t="str">
        <f aca="false">IF(AND(N(H222)&gt;0,N(I222)&gt;0),ROUND(I222/(H222/100)^2,1),"")</f>
        <v/>
      </c>
      <c r="K222" s="27"/>
      <c r="L222" s="27"/>
      <c r="M222" s="27"/>
      <c r="N222" s="27"/>
      <c r="O222" s="27"/>
      <c r="P222" s="27"/>
      <c r="Q222" s="27"/>
      <c r="R222" s="29"/>
      <c r="S222" s="29"/>
      <c r="T222" s="27"/>
      <c r="U222" s="28" t="str">
        <f aca="false">IF(N(T222)=0,"",IF(T222&lt;12,"Under 12 months",IF(T222&lt;36,"12-35 months",IF(T222&lt;60,"36-59 months","≥60 months"))))</f>
        <v/>
      </c>
      <c r="V222" s="27"/>
      <c r="W222" s="30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9"/>
      <c r="AT222" s="30"/>
      <c r="AU222" s="30"/>
      <c r="AV222" s="30"/>
      <c r="AW222" s="27"/>
      <c r="AX222" s="27"/>
      <c r="AY222" s="29"/>
      <c r="AZ222" s="27"/>
      <c r="BA222" s="27"/>
      <c r="BB222" s="29"/>
      <c r="BC222" s="30"/>
      <c r="BD222" s="30"/>
      <c r="BE222" s="30"/>
      <c r="BF222" s="27"/>
      <c r="BG222" s="27"/>
      <c r="BH222" s="28" t="str">
        <f aca="false">IF(COUNT(BC222:BE222)=0,"",IF(MIN(BC222:BE222)&lt;=-2.5,"Yes","No"))</f>
        <v/>
      </c>
      <c r="BI222" s="27"/>
      <c r="BJ222" s="29"/>
      <c r="BK222" s="27"/>
      <c r="BL222" s="27"/>
      <c r="BM222" s="27"/>
      <c r="BN222" s="28" t="str">
        <f aca="false">IF(OR(AX222="Yes",BI222="Yes"),"Yes",IF(AND(AX222="No",BI222="No"),"No",IF(AND(AX222="",BI222=""),"","Unknown")))</f>
        <v/>
      </c>
      <c r="BO222" s="31" t="str">
        <f aca="false">IF(COUNT(AY222,BJ222)=0,"",MIN(AY222,BJ222))</f>
        <v/>
      </c>
      <c r="BP222" s="29"/>
      <c r="BQ222" s="29"/>
      <c r="BR222" s="29"/>
      <c r="BS222" s="28" t="str">
        <f aca="false">IF(AND(N(BP222)&gt;0,N(BR222)&gt;0),BR222-BP222,"")</f>
        <v/>
      </c>
      <c r="BT222" s="28" t="str">
        <f aca="false">IF(BS222="","",ROUND(BS222/365.25,2))</f>
        <v/>
      </c>
      <c r="BU222" s="28" t="str">
        <f aca="false">IF(BS222="","",IF(BS222&gt;=730.5,"Yes","No"))</f>
        <v/>
      </c>
      <c r="BV222" s="27"/>
      <c r="BW222" s="29"/>
      <c r="BX222" s="27"/>
      <c r="BY222" s="27"/>
      <c r="BZ222" s="28" t="str">
        <f aca="false">IF(N(E222)=0,"",IF(E222&lt;65,"Under 65","≥65"))</f>
        <v/>
      </c>
      <c r="CA222" s="28" t="str">
        <f aca="false">IF(OR(AC222="Yes",AC222="No"),AC222,"")</f>
        <v/>
      </c>
      <c r="CB222" s="28" t="str">
        <f aca="false">IF(OR(AD222="Yes",AD222="No"),AD222,"")</f>
        <v/>
      </c>
      <c r="CC222" s="28" t="str">
        <f aca="false">IF(F222="","",F222)</f>
        <v/>
      </c>
      <c r="CD222" s="27"/>
      <c r="CE222" s="27"/>
    </row>
    <row r="223" customFormat="false" ht="15" hidden="false" customHeight="false" outlineLevel="0" collapsed="false">
      <c r="A223" s="27"/>
      <c r="B223" s="27"/>
      <c r="C223" s="27"/>
      <c r="D223" s="27"/>
      <c r="E223" s="27"/>
      <c r="F223" s="27"/>
      <c r="G223" s="27"/>
      <c r="H223" s="27"/>
      <c r="I223" s="27"/>
      <c r="J223" s="28" t="str">
        <f aca="false">IF(AND(N(H223)&gt;0,N(I223)&gt;0),ROUND(I223/(H223/100)^2,1),"")</f>
        <v/>
      </c>
      <c r="K223" s="27"/>
      <c r="L223" s="27"/>
      <c r="M223" s="27"/>
      <c r="N223" s="27"/>
      <c r="O223" s="27"/>
      <c r="P223" s="27"/>
      <c r="Q223" s="27"/>
      <c r="R223" s="29"/>
      <c r="S223" s="29"/>
      <c r="T223" s="27"/>
      <c r="U223" s="28" t="str">
        <f aca="false">IF(N(T223)=0,"",IF(T223&lt;12,"Under 12 months",IF(T223&lt;36,"12-35 months",IF(T223&lt;60,"36-59 months","≥60 months"))))</f>
        <v/>
      </c>
      <c r="V223" s="27"/>
      <c r="W223" s="30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9"/>
      <c r="AT223" s="30"/>
      <c r="AU223" s="30"/>
      <c r="AV223" s="30"/>
      <c r="AW223" s="27"/>
      <c r="AX223" s="27"/>
      <c r="AY223" s="29"/>
      <c r="AZ223" s="27"/>
      <c r="BA223" s="27"/>
      <c r="BB223" s="29"/>
      <c r="BC223" s="30"/>
      <c r="BD223" s="30"/>
      <c r="BE223" s="30"/>
      <c r="BF223" s="27"/>
      <c r="BG223" s="27"/>
      <c r="BH223" s="28" t="str">
        <f aca="false">IF(COUNT(BC223:BE223)=0,"",IF(MIN(BC223:BE223)&lt;=-2.5,"Yes","No"))</f>
        <v/>
      </c>
      <c r="BI223" s="27"/>
      <c r="BJ223" s="29"/>
      <c r="BK223" s="27"/>
      <c r="BL223" s="27"/>
      <c r="BM223" s="27"/>
      <c r="BN223" s="28" t="str">
        <f aca="false">IF(OR(AX223="Yes",BI223="Yes"),"Yes",IF(AND(AX223="No",BI223="No"),"No",IF(AND(AX223="",BI223=""),"","Unknown")))</f>
        <v/>
      </c>
      <c r="BO223" s="31" t="str">
        <f aca="false">IF(COUNT(AY223,BJ223)=0,"",MIN(AY223,BJ223))</f>
        <v/>
      </c>
      <c r="BP223" s="29"/>
      <c r="BQ223" s="29"/>
      <c r="BR223" s="29"/>
      <c r="BS223" s="28" t="str">
        <f aca="false">IF(AND(N(BP223)&gt;0,N(BR223)&gt;0),BR223-BP223,"")</f>
        <v/>
      </c>
      <c r="BT223" s="28" t="str">
        <f aca="false">IF(BS223="","",ROUND(BS223/365.25,2))</f>
        <v/>
      </c>
      <c r="BU223" s="28" t="str">
        <f aca="false">IF(BS223="","",IF(BS223&gt;=730.5,"Yes","No"))</f>
        <v/>
      </c>
      <c r="BV223" s="27"/>
      <c r="BW223" s="29"/>
      <c r="BX223" s="27"/>
      <c r="BY223" s="27"/>
      <c r="BZ223" s="28" t="str">
        <f aca="false">IF(N(E223)=0,"",IF(E223&lt;65,"Under 65","≥65"))</f>
        <v/>
      </c>
      <c r="CA223" s="28" t="str">
        <f aca="false">IF(OR(AC223="Yes",AC223="No"),AC223,"")</f>
        <v/>
      </c>
      <c r="CB223" s="28" t="str">
        <f aca="false">IF(OR(AD223="Yes",AD223="No"),AD223,"")</f>
        <v/>
      </c>
      <c r="CC223" s="28" t="str">
        <f aca="false">IF(F223="","",F223)</f>
        <v/>
      </c>
      <c r="CD223" s="27"/>
      <c r="CE223" s="27"/>
    </row>
    <row r="224" customFormat="false" ht="15" hidden="false" customHeight="false" outlineLevel="0" collapsed="false">
      <c r="A224" s="27"/>
      <c r="B224" s="27"/>
      <c r="C224" s="27"/>
      <c r="D224" s="27"/>
      <c r="E224" s="27"/>
      <c r="F224" s="27"/>
      <c r="G224" s="27"/>
      <c r="H224" s="27"/>
      <c r="I224" s="27"/>
      <c r="J224" s="28" t="str">
        <f aca="false">IF(AND(N(H224)&gt;0,N(I224)&gt;0),ROUND(I224/(H224/100)^2,1),"")</f>
        <v/>
      </c>
      <c r="K224" s="27"/>
      <c r="L224" s="27"/>
      <c r="M224" s="27"/>
      <c r="N224" s="27"/>
      <c r="O224" s="27"/>
      <c r="P224" s="27"/>
      <c r="Q224" s="27"/>
      <c r="R224" s="29"/>
      <c r="S224" s="29"/>
      <c r="T224" s="27"/>
      <c r="U224" s="28" t="str">
        <f aca="false">IF(N(T224)=0,"",IF(T224&lt;12,"Under 12 months",IF(T224&lt;36,"12-35 months",IF(T224&lt;60,"36-59 months","≥60 months"))))</f>
        <v/>
      </c>
      <c r="V224" s="27"/>
      <c r="W224" s="30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9"/>
      <c r="AT224" s="30"/>
      <c r="AU224" s="30"/>
      <c r="AV224" s="30"/>
      <c r="AW224" s="27"/>
      <c r="AX224" s="27"/>
      <c r="AY224" s="29"/>
      <c r="AZ224" s="27"/>
      <c r="BA224" s="27"/>
      <c r="BB224" s="29"/>
      <c r="BC224" s="30"/>
      <c r="BD224" s="30"/>
      <c r="BE224" s="30"/>
      <c r="BF224" s="27"/>
      <c r="BG224" s="27"/>
      <c r="BH224" s="28" t="str">
        <f aca="false">IF(COUNT(BC224:BE224)=0,"",IF(MIN(BC224:BE224)&lt;=-2.5,"Yes","No"))</f>
        <v/>
      </c>
      <c r="BI224" s="27"/>
      <c r="BJ224" s="29"/>
      <c r="BK224" s="27"/>
      <c r="BL224" s="27"/>
      <c r="BM224" s="27"/>
      <c r="BN224" s="28" t="str">
        <f aca="false">IF(OR(AX224="Yes",BI224="Yes"),"Yes",IF(AND(AX224="No",BI224="No"),"No",IF(AND(AX224="",BI224=""),"","Unknown")))</f>
        <v/>
      </c>
      <c r="BO224" s="31" t="str">
        <f aca="false">IF(COUNT(AY224,BJ224)=0,"",MIN(AY224,BJ224))</f>
        <v/>
      </c>
      <c r="BP224" s="29"/>
      <c r="BQ224" s="29"/>
      <c r="BR224" s="29"/>
      <c r="BS224" s="28" t="str">
        <f aca="false">IF(AND(N(BP224)&gt;0,N(BR224)&gt;0),BR224-BP224,"")</f>
        <v/>
      </c>
      <c r="BT224" s="28" t="str">
        <f aca="false">IF(BS224="","",ROUND(BS224/365.25,2))</f>
        <v/>
      </c>
      <c r="BU224" s="28" t="str">
        <f aca="false">IF(BS224="","",IF(BS224&gt;=730.5,"Yes","No"))</f>
        <v/>
      </c>
      <c r="BV224" s="27"/>
      <c r="BW224" s="29"/>
      <c r="BX224" s="27"/>
      <c r="BY224" s="27"/>
      <c r="BZ224" s="28" t="str">
        <f aca="false">IF(N(E224)=0,"",IF(E224&lt;65,"Under 65","≥65"))</f>
        <v/>
      </c>
      <c r="CA224" s="28" t="str">
        <f aca="false">IF(OR(AC224="Yes",AC224="No"),AC224,"")</f>
        <v/>
      </c>
      <c r="CB224" s="28" t="str">
        <f aca="false">IF(OR(AD224="Yes",AD224="No"),AD224,"")</f>
        <v/>
      </c>
      <c r="CC224" s="28" t="str">
        <f aca="false">IF(F224="","",F224)</f>
        <v/>
      </c>
      <c r="CD224" s="27"/>
      <c r="CE224" s="27"/>
    </row>
    <row r="225" customFormat="false" ht="15" hidden="false" customHeight="false" outlineLevel="0" collapsed="false">
      <c r="A225" s="27"/>
      <c r="B225" s="27"/>
      <c r="C225" s="27"/>
      <c r="D225" s="27"/>
      <c r="E225" s="27"/>
      <c r="F225" s="27"/>
      <c r="G225" s="27"/>
      <c r="H225" s="27"/>
      <c r="I225" s="27"/>
      <c r="J225" s="28" t="str">
        <f aca="false">IF(AND(N(H225)&gt;0,N(I225)&gt;0),ROUND(I225/(H225/100)^2,1),"")</f>
        <v/>
      </c>
      <c r="K225" s="27"/>
      <c r="L225" s="27"/>
      <c r="M225" s="27"/>
      <c r="N225" s="27"/>
      <c r="O225" s="27"/>
      <c r="P225" s="27"/>
      <c r="Q225" s="27"/>
      <c r="R225" s="29"/>
      <c r="S225" s="29"/>
      <c r="T225" s="27"/>
      <c r="U225" s="28" t="str">
        <f aca="false">IF(N(T225)=0,"",IF(T225&lt;12,"Under 12 months",IF(T225&lt;36,"12-35 months",IF(T225&lt;60,"36-59 months","≥60 months"))))</f>
        <v/>
      </c>
      <c r="V225" s="27"/>
      <c r="W225" s="30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9"/>
      <c r="AT225" s="30"/>
      <c r="AU225" s="30"/>
      <c r="AV225" s="30"/>
      <c r="AW225" s="27"/>
      <c r="AX225" s="27"/>
      <c r="AY225" s="29"/>
      <c r="AZ225" s="27"/>
      <c r="BA225" s="27"/>
      <c r="BB225" s="29"/>
      <c r="BC225" s="30"/>
      <c r="BD225" s="30"/>
      <c r="BE225" s="30"/>
      <c r="BF225" s="27"/>
      <c r="BG225" s="27"/>
      <c r="BH225" s="28" t="str">
        <f aca="false">IF(COUNT(BC225:BE225)=0,"",IF(MIN(BC225:BE225)&lt;=-2.5,"Yes","No"))</f>
        <v/>
      </c>
      <c r="BI225" s="27"/>
      <c r="BJ225" s="29"/>
      <c r="BK225" s="27"/>
      <c r="BL225" s="27"/>
      <c r="BM225" s="27"/>
      <c r="BN225" s="28" t="str">
        <f aca="false">IF(OR(AX225="Yes",BI225="Yes"),"Yes",IF(AND(AX225="No",BI225="No"),"No",IF(AND(AX225="",BI225=""),"","Unknown")))</f>
        <v/>
      </c>
      <c r="BO225" s="31" t="str">
        <f aca="false">IF(COUNT(AY225,BJ225)=0,"",MIN(AY225,BJ225))</f>
        <v/>
      </c>
      <c r="BP225" s="29"/>
      <c r="BQ225" s="29"/>
      <c r="BR225" s="29"/>
      <c r="BS225" s="28" t="str">
        <f aca="false">IF(AND(N(BP225)&gt;0,N(BR225)&gt;0),BR225-BP225,"")</f>
        <v/>
      </c>
      <c r="BT225" s="28" t="str">
        <f aca="false">IF(BS225="","",ROUND(BS225/365.25,2))</f>
        <v/>
      </c>
      <c r="BU225" s="28" t="str">
        <f aca="false">IF(BS225="","",IF(BS225&gt;=730.5,"Yes","No"))</f>
        <v/>
      </c>
      <c r="BV225" s="27"/>
      <c r="BW225" s="29"/>
      <c r="BX225" s="27"/>
      <c r="BY225" s="27"/>
      <c r="BZ225" s="28" t="str">
        <f aca="false">IF(N(E225)=0,"",IF(E225&lt;65,"Under 65","≥65"))</f>
        <v/>
      </c>
      <c r="CA225" s="28" t="str">
        <f aca="false">IF(OR(AC225="Yes",AC225="No"),AC225,"")</f>
        <v/>
      </c>
      <c r="CB225" s="28" t="str">
        <f aca="false">IF(OR(AD225="Yes",AD225="No"),AD225,"")</f>
        <v/>
      </c>
      <c r="CC225" s="28" t="str">
        <f aca="false">IF(F225="","",F225)</f>
        <v/>
      </c>
      <c r="CD225" s="27"/>
      <c r="CE225" s="27"/>
    </row>
    <row r="226" customFormat="false" ht="15" hidden="false" customHeight="false" outlineLevel="0" collapsed="false">
      <c r="A226" s="27"/>
      <c r="B226" s="27"/>
      <c r="C226" s="27"/>
      <c r="D226" s="27"/>
      <c r="E226" s="27"/>
      <c r="F226" s="27"/>
      <c r="G226" s="27"/>
      <c r="H226" s="27"/>
      <c r="I226" s="27"/>
      <c r="J226" s="28" t="str">
        <f aca="false">IF(AND(N(H226)&gt;0,N(I226)&gt;0),ROUND(I226/(H226/100)^2,1),"")</f>
        <v/>
      </c>
      <c r="K226" s="27"/>
      <c r="L226" s="27"/>
      <c r="M226" s="27"/>
      <c r="N226" s="27"/>
      <c r="O226" s="27"/>
      <c r="P226" s="27"/>
      <c r="Q226" s="27"/>
      <c r="R226" s="29"/>
      <c r="S226" s="29"/>
      <c r="T226" s="27"/>
      <c r="U226" s="28" t="str">
        <f aca="false">IF(N(T226)=0,"",IF(T226&lt;12,"Under 12 months",IF(T226&lt;36,"12-35 months",IF(T226&lt;60,"36-59 months","≥60 months"))))</f>
        <v/>
      </c>
      <c r="V226" s="27"/>
      <c r="W226" s="30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9"/>
      <c r="AT226" s="30"/>
      <c r="AU226" s="30"/>
      <c r="AV226" s="30"/>
      <c r="AW226" s="27"/>
      <c r="AX226" s="27"/>
      <c r="AY226" s="29"/>
      <c r="AZ226" s="27"/>
      <c r="BA226" s="27"/>
      <c r="BB226" s="29"/>
      <c r="BC226" s="30"/>
      <c r="BD226" s="30"/>
      <c r="BE226" s="30"/>
      <c r="BF226" s="27"/>
      <c r="BG226" s="27"/>
      <c r="BH226" s="28" t="str">
        <f aca="false">IF(COUNT(BC226:BE226)=0,"",IF(MIN(BC226:BE226)&lt;=-2.5,"Yes","No"))</f>
        <v/>
      </c>
      <c r="BI226" s="27"/>
      <c r="BJ226" s="29"/>
      <c r="BK226" s="27"/>
      <c r="BL226" s="27"/>
      <c r="BM226" s="27"/>
      <c r="BN226" s="28" t="str">
        <f aca="false">IF(OR(AX226="Yes",BI226="Yes"),"Yes",IF(AND(AX226="No",BI226="No"),"No",IF(AND(AX226="",BI226=""),"","Unknown")))</f>
        <v/>
      </c>
      <c r="BO226" s="31" t="str">
        <f aca="false">IF(COUNT(AY226,BJ226)=0,"",MIN(AY226,BJ226))</f>
        <v/>
      </c>
      <c r="BP226" s="29"/>
      <c r="BQ226" s="29"/>
      <c r="BR226" s="29"/>
      <c r="BS226" s="28" t="str">
        <f aca="false">IF(AND(N(BP226)&gt;0,N(BR226)&gt;0),BR226-BP226,"")</f>
        <v/>
      </c>
      <c r="BT226" s="28" t="str">
        <f aca="false">IF(BS226="","",ROUND(BS226/365.25,2))</f>
        <v/>
      </c>
      <c r="BU226" s="28" t="str">
        <f aca="false">IF(BS226="","",IF(BS226&gt;=730.5,"Yes","No"))</f>
        <v/>
      </c>
      <c r="BV226" s="27"/>
      <c r="BW226" s="29"/>
      <c r="BX226" s="27"/>
      <c r="BY226" s="27"/>
      <c r="BZ226" s="28" t="str">
        <f aca="false">IF(N(E226)=0,"",IF(E226&lt;65,"Under 65","≥65"))</f>
        <v/>
      </c>
      <c r="CA226" s="28" t="str">
        <f aca="false">IF(OR(AC226="Yes",AC226="No"),AC226,"")</f>
        <v/>
      </c>
      <c r="CB226" s="28" t="str">
        <f aca="false">IF(OR(AD226="Yes",AD226="No"),AD226,"")</f>
        <v/>
      </c>
      <c r="CC226" s="28" t="str">
        <f aca="false">IF(F226="","",F226)</f>
        <v/>
      </c>
      <c r="CD226" s="27"/>
      <c r="CE226" s="27"/>
    </row>
    <row r="227" customFormat="false" ht="15" hidden="false" customHeight="false" outlineLevel="0" collapsed="false">
      <c r="A227" s="27"/>
      <c r="B227" s="27"/>
      <c r="C227" s="27"/>
      <c r="D227" s="27"/>
      <c r="E227" s="27"/>
      <c r="F227" s="27"/>
      <c r="G227" s="27"/>
      <c r="H227" s="27"/>
      <c r="I227" s="27"/>
      <c r="J227" s="28" t="str">
        <f aca="false">IF(AND(N(H227)&gt;0,N(I227)&gt;0),ROUND(I227/(H227/100)^2,1),"")</f>
        <v/>
      </c>
      <c r="K227" s="27"/>
      <c r="L227" s="27"/>
      <c r="M227" s="27"/>
      <c r="N227" s="27"/>
      <c r="O227" s="27"/>
      <c r="P227" s="27"/>
      <c r="Q227" s="27"/>
      <c r="R227" s="29"/>
      <c r="S227" s="29"/>
      <c r="T227" s="27"/>
      <c r="U227" s="28" t="str">
        <f aca="false">IF(N(T227)=0,"",IF(T227&lt;12,"Under 12 months",IF(T227&lt;36,"12-35 months",IF(T227&lt;60,"36-59 months","≥60 months"))))</f>
        <v/>
      </c>
      <c r="V227" s="27"/>
      <c r="W227" s="30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9"/>
      <c r="AT227" s="30"/>
      <c r="AU227" s="30"/>
      <c r="AV227" s="30"/>
      <c r="AW227" s="27"/>
      <c r="AX227" s="27"/>
      <c r="AY227" s="29"/>
      <c r="AZ227" s="27"/>
      <c r="BA227" s="27"/>
      <c r="BB227" s="29"/>
      <c r="BC227" s="30"/>
      <c r="BD227" s="30"/>
      <c r="BE227" s="30"/>
      <c r="BF227" s="27"/>
      <c r="BG227" s="27"/>
      <c r="BH227" s="28" t="str">
        <f aca="false">IF(COUNT(BC227:BE227)=0,"",IF(MIN(BC227:BE227)&lt;=-2.5,"Yes","No"))</f>
        <v/>
      </c>
      <c r="BI227" s="27"/>
      <c r="BJ227" s="29"/>
      <c r="BK227" s="27"/>
      <c r="BL227" s="27"/>
      <c r="BM227" s="27"/>
      <c r="BN227" s="28" t="str">
        <f aca="false">IF(OR(AX227="Yes",BI227="Yes"),"Yes",IF(AND(AX227="No",BI227="No"),"No",IF(AND(AX227="",BI227=""),"","Unknown")))</f>
        <v/>
      </c>
      <c r="BO227" s="31" t="str">
        <f aca="false">IF(COUNT(AY227,BJ227)=0,"",MIN(AY227,BJ227))</f>
        <v/>
      </c>
      <c r="BP227" s="29"/>
      <c r="BQ227" s="29"/>
      <c r="BR227" s="29"/>
      <c r="BS227" s="28" t="str">
        <f aca="false">IF(AND(N(BP227)&gt;0,N(BR227)&gt;0),BR227-BP227,"")</f>
        <v/>
      </c>
      <c r="BT227" s="28" t="str">
        <f aca="false">IF(BS227="","",ROUND(BS227/365.25,2))</f>
        <v/>
      </c>
      <c r="BU227" s="28" t="str">
        <f aca="false">IF(BS227="","",IF(BS227&gt;=730.5,"Yes","No"))</f>
        <v/>
      </c>
      <c r="BV227" s="27"/>
      <c r="BW227" s="29"/>
      <c r="BX227" s="27"/>
      <c r="BY227" s="27"/>
      <c r="BZ227" s="28" t="str">
        <f aca="false">IF(N(E227)=0,"",IF(E227&lt;65,"Under 65","≥65"))</f>
        <v/>
      </c>
      <c r="CA227" s="28" t="str">
        <f aca="false">IF(OR(AC227="Yes",AC227="No"),AC227,"")</f>
        <v/>
      </c>
      <c r="CB227" s="28" t="str">
        <f aca="false">IF(OR(AD227="Yes",AD227="No"),AD227,"")</f>
        <v/>
      </c>
      <c r="CC227" s="28" t="str">
        <f aca="false">IF(F227="","",F227)</f>
        <v/>
      </c>
      <c r="CD227" s="27"/>
      <c r="CE227" s="27"/>
    </row>
    <row r="228" customFormat="false" ht="15" hidden="false" customHeight="false" outlineLevel="0" collapsed="false">
      <c r="A228" s="27"/>
      <c r="B228" s="27"/>
      <c r="C228" s="27"/>
      <c r="D228" s="27"/>
      <c r="E228" s="27"/>
      <c r="F228" s="27"/>
      <c r="G228" s="27"/>
      <c r="H228" s="27"/>
      <c r="I228" s="27"/>
      <c r="J228" s="28" t="str">
        <f aca="false">IF(AND(N(H228)&gt;0,N(I228)&gt;0),ROUND(I228/(H228/100)^2,1),"")</f>
        <v/>
      </c>
      <c r="K228" s="27"/>
      <c r="L228" s="27"/>
      <c r="M228" s="27"/>
      <c r="N228" s="27"/>
      <c r="O228" s="27"/>
      <c r="P228" s="27"/>
      <c r="Q228" s="27"/>
      <c r="R228" s="29"/>
      <c r="S228" s="29"/>
      <c r="T228" s="27"/>
      <c r="U228" s="28" t="str">
        <f aca="false">IF(N(T228)=0,"",IF(T228&lt;12,"Under 12 months",IF(T228&lt;36,"12-35 months",IF(T228&lt;60,"36-59 months","≥60 months"))))</f>
        <v/>
      </c>
      <c r="V228" s="27"/>
      <c r="W228" s="30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9"/>
      <c r="AT228" s="30"/>
      <c r="AU228" s="30"/>
      <c r="AV228" s="30"/>
      <c r="AW228" s="27"/>
      <c r="AX228" s="27"/>
      <c r="AY228" s="29"/>
      <c r="AZ228" s="27"/>
      <c r="BA228" s="27"/>
      <c r="BB228" s="29"/>
      <c r="BC228" s="30"/>
      <c r="BD228" s="30"/>
      <c r="BE228" s="30"/>
      <c r="BF228" s="27"/>
      <c r="BG228" s="27"/>
      <c r="BH228" s="28" t="str">
        <f aca="false">IF(COUNT(BC228:BE228)=0,"",IF(MIN(BC228:BE228)&lt;=-2.5,"Yes","No"))</f>
        <v/>
      </c>
      <c r="BI228" s="27"/>
      <c r="BJ228" s="29"/>
      <c r="BK228" s="27"/>
      <c r="BL228" s="27"/>
      <c r="BM228" s="27"/>
      <c r="BN228" s="28" t="str">
        <f aca="false">IF(OR(AX228="Yes",BI228="Yes"),"Yes",IF(AND(AX228="No",BI228="No"),"No",IF(AND(AX228="",BI228=""),"","Unknown")))</f>
        <v/>
      </c>
      <c r="BO228" s="31" t="str">
        <f aca="false">IF(COUNT(AY228,BJ228)=0,"",MIN(AY228,BJ228))</f>
        <v/>
      </c>
      <c r="BP228" s="29"/>
      <c r="BQ228" s="29"/>
      <c r="BR228" s="29"/>
      <c r="BS228" s="28" t="str">
        <f aca="false">IF(AND(N(BP228)&gt;0,N(BR228)&gt;0),BR228-BP228,"")</f>
        <v/>
      </c>
      <c r="BT228" s="28" t="str">
        <f aca="false">IF(BS228="","",ROUND(BS228/365.25,2))</f>
        <v/>
      </c>
      <c r="BU228" s="28" t="str">
        <f aca="false">IF(BS228="","",IF(BS228&gt;=730.5,"Yes","No"))</f>
        <v/>
      </c>
      <c r="BV228" s="27"/>
      <c r="BW228" s="29"/>
      <c r="BX228" s="27"/>
      <c r="BY228" s="27"/>
      <c r="BZ228" s="28" t="str">
        <f aca="false">IF(N(E228)=0,"",IF(E228&lt;65,"Under 65","≥65"))</f>
        <v/>
      </c>
      <c r="CA228" s="28" t="str">
        <f aca="false">IF(OR(AC228="Yes",AC228="No"),AC228,"")</f>
        <v/>
      </c>
      <c r="CB228" s="28" t="str">
        <f aca="false">IF(OR(AD228="Yes",AD228="No"),AD228,"")</f>
        <v/>
      </c>
      <c r="CC228" s="28" t="str">
        <f aca="false">IF(F228="","",F228)</f>
        <v/>
      </c>
      <c r="CD228" s="27"/>
      <c r="CE228" s="27"/>
    </row>
    <row r="229" customFormat="false" ht="15" hidden="false" customHeight="false" outlineLevel="0" collapsed="false">
      <c r="A229" s="27"/>
      <c r="B229" s="27"/>
      <c r="C229" s="27"/>
      <c r="D229" s="27"/>
      <c r="E229" s="27"/>
      <c r="F229" s="27"/>
      <c r="G229" s="27"/>
      <c r="H229" s="27"/>
      <c r="I229" s="27"/>
      <c r="J229" s="28" t="str">
        <f aca="false">IF(AND(N(H229)&gt;0,N(I229)&gt;0),ROUND(I229/(H229/100)^2,1),"")</f>
        <v/>
      </c>
      <c r="K229" s="27"/>
      <c r="L229" s="27"/>
      <c r="M229" s="27"/>
      <c r="N229" s="27"/>
      <c r="O229" s="27"/>
      <c r="P229" s="27"/>
      <c r="Q229" s="27"/>
      <c r="R229" s="29"/>
      <c r="S229" s="29"/>
      <c r="T229" s="27"/>
      <c r="U229" s="28" t="str">
        <f aca="false">IF(N(T229)=0,"",IF(T229&lt;12,"Under 12 months",IF(T229&lt;36,"12-35 months",IF(T229&lt;60,"36-59 months","≥60 months"))))</f>
        <v/>
      </c>
      <c r="V229" s="27"/>
      <c r="W229" s="30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9"/>
      <c r="AT229" s="30"/>
      <c r="AU229" s="30"/>
      <c r="AV229" s="30"/>
      <c r="AW229" s="27"/>
      <c r="AX229" s="27"/>
      <c r="AY229" s="29"/>
      <c r="AZ229" s="27"/>
      <c r="BA229" s="27"/>
      <c r="BB229" s="29"/>
      <c r="BC229" s="30"/>
      <c r="BD229" s="30"/>
      <c r="BE229" s="30"/>
      <c r="BF229" s="27"/>
      <c r="BG229" s="27"/>
      <c r="BH229" s="28" t="str">
        <f aca="false">IF(COUNT(BC229:BE229)=0,"",IF(MIN(BC229:BE229)&lt;=-2.5,"Yes","No"))</f>
        <v/>
      </c>
      <c r="BI229" s="27"/>
      <c r="BJ229" s="29"/>
      <c r="BK229" s="27"/>
      <c r="BL229" s="27"/>
      <c r="BM229" s="27"/>
      <c r="BN229" s="28" t="str">
        <f aca="false">IF(OR(AX229="Yes",BI229="Yes"),"Yes",IF(AND(AX229="No",BI229="No"),"No",IF(AND(AX229="",BI229=""),"","Unknown")))</f>
        <v/>
      </c>
      <c r="BO229" s="31" t="str">
        <f aca="false">IF(COUNT(AY229,BJ229)=0,"",MIN(AY229,BJ229))</f>
        <v/>
      </c>
      <c r="BP229" s="29"/>
      <c r="BQ229" s="29"/>
      <c r="BR229" s="29"/>
      <c r="BS229" s="28" t="str">
        <f aca="false">IF(AND(N(BP229)&gt;0,N(BR229)&gt;0),BR229-BP229,"")</f>
        <v/>
      </c>
      <c r="BT229" s="28" t="str">
        <f aca="false">IF(BS229="","",ROUND(BS229/365.25,2))</f>
        <v/>
      </c>
      <c r="BU229" s="28" t="str">
        <f aca="false">IF(BS229="","",IF(BS229&gt;=730.5,"Yes","No"))</f>
        <v/>
      </c>
      <c r="BV229" s="27"/>
      <c r="BW229" s="29"/>
      <c r="BX229" s="27"/>
      <c r="BY229" s="27"/>
      <c r="BZ229" s="28" t="str">
        <f aca="false">IF(N(E229)=0,"",IF(E229&lt;65,"Under 65","≥65"))</f>
        <v/>
      </c>
      <c r="CA229" s="28" t="str">
        <f aca="false">IF(OR(AC229="Yes",AC229="No"),AC229,"")</f>
        <v/>
      </c>
      <c r="CB229" s="28" t="str">
        <f aca="false">IF(OR(AD229="Yes",AD229="No"),AD229,"")</f>
        <v/>
      </c>
      <c r="CC229" s="28" t="str">
        <f aca="false">IF(F229="","",F229)</f>
        <v/>
      </c>
      <c r="CD229" s="27"/>
      <c r="CE229" s="27"/>
    </row>
    <row r="230" customFormat="false" ht="15" hidden="false" customHeight="false" outlineLevel="0" collapsed="false">
      <c r="A230" s="27"/>
      <c r="B230" s="27"/>
      <c r="C230" s="27"/>
      <c r="D230" s="27"/>
      <c r="E230" s="27"/>
      <c r="F230" s="27"/>
      <c r="G230" s="27"/>
      <c r="H230" s="27"/>
      <c r="I230" s="27"/>
      <c r="J230" s="28" t="str">
        <f aca="false">IF(AND(N(H230)&gt;0,N(I230)&gt;0),ROUND(I230/(H230/100)^2,1),"")</f>
        <v/>
      </c>
      <c r="K230" s="27"/>
      <c r="L230" s="27"/>
      <c r="M230" s="27"/>
      <c r="N230" s="27"/>
      <c r="O230" s="27"/>
      <c r="P230" s="27"/>
      <c r="Q230" s="27"/>
      <c r="R230" s="29"/>
      <c r="S230" s="29"/>
      <c r="T230" s="27"/>
      <c r="U230" s="28" t="str">
        <f aca="false">IF(N(T230)=0,"",IF(T230&lt;12,"Under 12 months",IF(T230&lt;36,"12-35 months",IF(T230&lt;60,"36-59 months","≥60 months"))))</f>
        <v/>
      </c>
      <c r="V230" s="27"/>
      <c r="W230" s="30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9"/>
      <c r="AT230" s="30"/>
      <c r="AU230" s="30"/>
      <c r="AV230" s="30"/>
      <c r="AW230" s="27"/>
      <c r="AX230" s="27"/>
      <c r="AY230" s="29"/>
      <c r="AZ230" s="27"/>
      <c r="BA230" s="27"/>
      <c r="BB230" s="29"/>
      <c r="BC230" s="30"/>
      <c r="BD230" s="30"/>
      <c r="BE230" s="30"/>
      <c r="BF230" s="27"/>
      <c r="BG230" s="27"/>
      <c r="BH230" s="28" t="str">
        <f aca="false">IF(COUNT(BC230:BE230)=0,"",IF(MIN(BC230:BE230)&lt;=-2.5,"Yes","No"))</f>
        <v/>
      </c>
      <c r="BI230" s="27"/>
      <c r="BJ230" s="29"/>
      <c r="BK230" s="27"/>
      <c r="BL230" s="27"/>
      <c r="BM230" s="27"/>
      <c r="BN230" s="28" t="str">
        <f aca="false">IF(OR(AX230="Yes",BI230="Yes"),"Yes",IF(AND(AX230="No",BI230="No"),"No",IF(AND(AX230="",BI230=""),"","Unknown")))</f>
        <v/>
      </c>
      <c r="BO230" s="31" t="str">
        <f aca="false">IF(COUNT(AY230,BJ230)=0,"",MIN(AY230,BJ230))</f>
        <v/>
      </c>
      <c r="BP230" s="29"/>
      <c r="BQ230" s="29"/>
      <c r="BR230" s="29"/>
      <c r="BS230" s="28" t="str">
        <f aca="false">IF(AND(N(BP230)&gt;0,N(BR230)&gt;0),BR230-BP230,"")</f>
        <v/>
      </c>
      <c r="BT230" s="28" t="str">
        <f aca="false">IF(BS230="","",ROUND(BS230/365.25,2))</f>
        <v/>
      </c>
      <c r="BU230" s="28" t="str">
        <f aca="false">IF(BS230="","",IF(BS230&gt;=730.5,"Yes","No"))</f>
        <v/>
      </c>
      <c r="BV230" s="27"/>
      <c r="BW230" s="29"/>
      <c r="BX230" s="27"/>
      <c r="BY230" s="27"/>
      <c r="BZ230" s="28" t="str">
        <f aca="false">IF(N(E230)=0,"",IF(E230&lt;65,"Under 65","≥65"))</f>
        <v/>
      </c>
      <c r="CA230" s="28" t="str">
        <f aca="false">IF(OR(AC230="Yes",AC230="No"),AC230,"")</f>
        <v/>
      </c>
      <c r="CB230" s="28" t="str">
        <f aca="false">IF(OR(AD230="Yes",AD230="No"),AD230,"")</f>
        <v/>
      </c>
      <c r="CC230" s="28" t="str">
        <f aca="false">IF(F230="","",F230)</f>
        <v/>
      </c>
      <c r="CD230" s="27"/>
      <c r="CE230" s="27"/>
    </row>
    <row r="231" customFormat="false" ht="15" hidden="false" customHeight="false" outlineLevel="0" collapsed="false">
      <c r="A231" s="27"/>
      <c r="B231" s="27"/>
      <c r="C231" s="27"/>
      <c r="D231" s="27"/>
      <c r="E231" s="27"/>
      <c r="F231" s="27"/>
      <c r="G231" s="27"/>
      <c r="H231" s="27"/>
      <c r="I231" s="27"/>
      <c r="J231" s="28" t="str">
        <f aca="false">IF(AND(N(H231)&gt;0,N(I231)&gt;0),ROUND(I231/(H231/100)^2,1),"")</f>
        <v/>
      </c>
      <c r="K231" s="27"/>
      <c r="L231" s="27"/>
      <c r="M231" s="27"/>
      <c r="N231" s="27"/>
      <c r="O231" s="27"/>
      <c r="P231" s="27"/>
      <c r="Q231" s="27"/>
      <c r="R231" s="29"/>
      <c r="S231" s="29"/>
      <c r="T231" s="27"/>
      <c r="U231" s="28" t="str">
        <f aca="false">IF(N(T231)=0,"",IF(T231&lt;12,"Under 12 months",IF(T231&lt;36,"12-35 months",IF(T231&lt;60,"36-59 months","≥60 months"))))</f>
        <v/>
      </c>
      <c r="V231" s="27"/>
      <c r="W231" s="30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9"/>
      <c r="AT231" s="30"/>
      <c r="AU231" s="30"/>
      <c r="AV231" s="30"/>
      <c r="AW231" s="27"/>
      <c r="AX231" s="27"/>
      <c r="AY231" s="29"/>
      <c r="AZ231" s="27"/>
      <c r="BA231" s="27"/>
      <c r="BB231" s="29"/>
      <c r="BC231" s="30"/>
      <c r="BD231" s="30"/>
      <c r="BE231" s="30"/>
      <c r="BF231" s="27"/>
      <c r="BG231" s="27"/>
      <c r="BH231" s="28" t="str">
        <f aca="false">IF(COUNT(BC231:BE231)=0,"",IF(MIN(BC231:BE231)&lt;=-2.5,"Yes","No"))</f>
        <v/>
      </c>
      <c r="BI231" s="27"/>
      <c r="BJ231" s="29"/>
      <c r="BK231" s="27"/>
      <c r="BL231" s="27"/>
      <c r="BM231" s="27"/>
      <c r="BN231" s="28" t="str">
        <f aca="false">IF(OR(AX231="Yes",BI231="Yes"),"Yes",IF(AND(AX231="No",BI231="No"),"No",IF(AND(AX231="",BI231=""),"","Unknown")))</f>
        <v/>
      </c>
      <c r="BO231" s="31" t="str">
        <f aca="false">IF(COUNT(AY231,BJ231)=0,"",MIN(AY231,BJ231))</f>
        <v/>
      </c>
      <c r="BP231" s="29"/>
      <c r="BQ231" s="29"/>
      <c r="BR231" s="29"/>
      <c r="BS231" s="28" t="str">
        <f aca="false">IF(AND(N(BP231)&gt;0,N(BR231)&gt;0),BR231-BP231,"")</f>
        <v/>
      </c>
      <c r="BT231" s="28" t="str">
        <f aca="false">IF(BS231="","",ROUND(BS231/365.25,2))</f>
        <v/>
      </c>
      <c r="BU231" s="28" t="str">
        <f aca="false">IF(BS231="","",IF(BS231&gt;=730.5,"Yes","No"))</f>
        <v/>
      </c>
      <c r="BV231" s="27"/>
      <c r="BW231" s="29"/>
      <c r="BX231" s="27"/>
      <c r="BY231" s="27"/>
      <c r="BZ231" s="28" t="str">
        <f aca="false">IF(N(E231)=0,"",IF(E231&lt;65,"Under 65","≥65"))</f>
        <v/>
      </c>
      <c r="CA231" s="28" t="str">
        <f aca="false">IF(OR(AC231="Yes",AC231="No"),AC231,"")</f>
        <v/>
      </c>
      <c r="CB231" s="28" t="str">
        <f aca="false">IF(OR(AD231="Yes",AD231="No"),AD231,"")</f>
        <v/>
      </c>
      <c r="CC231" s="28" t="str">
        <f aca="false">IF(F231="","",F231)</f>
        <v/>
      </c>
      <c r="CD231" s="27"/>
      <c r="CE231" s="27"/>
    </row>
    <row r="232" customFormat="false" ht="15" hidden="false" customHeight="false" outlineLevel="0" collapsed="false">
      <c r="A232" s="27"/>
      <c r="B232" s="27"/>
      <c r="C232" s="27"/>
      <c r="D232" s="27"/>
      <c r="E232" s="27"/>
      <c r="F232" s="27"/>
      <c r="G232" s="27"/>
      <c r="H232" s="27"/>
      <c r="I232" s="27"/>
      <c r="J232" s="28" t="str">
        <f aca="false">IF(AND(N(H232)&gt;0,N(I232)&gt;0),ROUND(I232/(H232/100)^2,1),"")</f>
        <v/>
      </c>
      <c r="K232" s="27"/>
      <c r="L232" s="27"/>
      <c r="M232" s="27"/>
      <c r="N232" s="27"/>
      <c r="O232" s="27"/>
      <c r="P232" s="27"/>
      <c r="Q232" s="27"/>
      <c r="R232" s="29"/>
      <c r="S232" s="29"/>
      <c r="T232" s="27"/>
      <c r="U232" s="28" t="str">
        <f aca="false">IF(N(T232)=0,"",IF(T232&lt;12,"Under 12 months",IF(T232&lt;36,"12-35 months",IF(T232&lt;60,"36-59 months","≥60 months"))))</f>
        <v/>
      </c>
      <c r="V232" s="27"/>
      <c r="W232" s="30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9"/>
      <c r="AT232" s="30"/>
      <c r="AU232" s="30"/>
      <c r="AV232" s="30"/>
      <c r="AW232" s="27"/>
      <c r="AX232" s="27"/>
      <c r="AY232" s="29"/>
      <c r="AZ232" s="27"/>
      <c r="BA232" s="27"/>
      <c r="BB232" s="29"/>
      <c r="BC232" s="30"/>
      <c r="BD232" s="30"/>
      <c r="BE232" s="30"/>
      <c r="BF232" s="27"/>
      <c r="BG232" s="27"/>
      <c r="BH232" s="28" t="str">
        <f aca="false">IF(COUNT(BC232:BE232)=0,"",IF(MIN(BC232:BE232)&lt;=-2.5,"Yes","No"))</f>
        <v/>
      </c>
      <c r="BI232" s="27"/>
      <c r="BJ232" s="29"/>
      <c r="BK232" s="27"/>
      <c r="BL232" s="27"/>
      <c r="BM232" s="27"/>
      <c r="BN232" s="28" t="str">
        <f aca="false">IF(OR(AX232="Yes",BI232="Yes"),"Yes",IF(AND(AX232="No",BI232="No"),"No",IF(AND(AX232="",BI232=""),"","Unknown")))</f>
        <v/>
      </c>
      <c r="BO232" s="31" t="str">
        <f aca="false">IF(COUNT(AY232,BJ232)=0,"",MIN(AY232,BJ232))</f>
        <v/>
      </c>
      <c r="BP232" s="29"/>
      <c r="BQ232" s="29"/>
      <c r="BR232" s="29"/>
      <c r="BS232" s="28" t="str">
        <f aca="false">IF(AND(N(BP232)&gt;0,N(BR232)&gt;0),BR232-BP232,"")</f>
        <v/>
      </c>
      <c r="BT232" s="28" t="str">
        <f aca="false">IF(BS232="","",ROUND(BS232/365.25,2))</f>
        <v/>
      </c>
      <c r="BU232" s="28" t="str">
        <f aca="false">IF(BS232="","",IF(BS232&gt;=730.5,"Yes","No"))</f>
        <v/>
      </c>
      <c r="BV232" s="27"/>
      <c r="BW232" s="29"/>
      <c r="BX232" s="27"/>
      <c r="BY232" s="27"/>
      <c r="BZ232" s="28" t="str">
        <f aca="false">IF(N(E232)=0,"",IF(E232&lt;65,"Under 65","≥65"))</f>
        <v/>
      </c>
      <c r="CA232" s="28" t="str">
        <f aca="false">IF(OR(AC232="Yes",AC232="No"),AC232,"")</f>
        <v/>
      </c>
      <c r="CB232" s="28" t="str">
        <f aca="false">IF(OR(AD232="Yes",AD232="No"),AD232,"")</f>
        <v/>
      </c>
      <c r="CC232" s="28" t="str">
        <f aca="false">IF(F232="","",F232)</f>
        <v/>
      </c>
      <c r="CD232" s="27"/>
      <c r="CE232" s="27"/>
    </row>
    <row r="233" customFormat="false" ht="15" hidden="false" customHeight="false" outlineLevel="0" collapsed="false">
      <c r="A233" s="27"/>
      <c r="B233" s="27"/>
      <c r="C233" s="27"/>
      <c r="D233" s="27"/>
      <c r="E233" s="27"/>
      <c r="F233" s="27"/>
      <c r="G233" s="27"/>
      <c r="H233" s="27"/>
      <c r="I233" s="27"/>
      <c r="J233" s="28" t="str">
        <f aca="false">IF(AND(N(H233)&gt;0,N(I233)&gt;0),ROUND(I233/(H233/100)^2,1),"")</f>
        <v/>
      </c>
      <c r="K233" s="27"/>
      <c r="L233" s="27"/>
      <c r="M233" s="27"/>
      <c r="N233" s="27"/>
      <c r="O233" s="27"/>
      <c r="P233" s="27"/>
      <c r="Q233" s="27"/>
      <c r="R233" s="29"/>
      <c r="S233" s="29"/>
      <c r="T233" s="27"/>
      <c r="U233" s="28" t="str">
        <f aca="false">IF(N(T233)=0,"",IF(T233&lt;12,"Under 12 months",IF(T233&lt;36,"12-35 months",IF(T233&lt;60,"36-59 months","≥60 months"))))</f>
        <v/>
      </c>
      <c r="V233" s="27"/>
      <c r="W233" s="30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9"/>
      <c r="AT233" s="30"/>
      <c r="AU233" s="30"/>
      <c r="AV233" s="30"/>
      <c r="AW233" s="27"/>
      <c r="AX233" s="27"/>
      <c r="AY233" s="29"/>
      <c r="AZ233" s="27"/>
      <c r="BA233" s="27"/>
      <c r="BB233" s="29"/>
      <c r="BC233" s="30"/>
      <c r="BD233" s="30"/>
      <c r="BE233" s="30"/>
      <c r="BF233" s="27"/>
      <c r="BG233" s="27"/>
      <c r="BH233" s="28" t="str">
        <f aca="false">IF(COUNT(BC233:BE233)=0,"",IF(MIN(BC233:BE233)&lt;=-2.5,"Yes","No"))</f>
        <v/>
      </c>
      <c r="BI233" s="27"/>
      <c r="BJ233" s="29"/>
      <c r="BK233" s="27"/>
      <c r="BL233" s="27"/>
      <c r="BM233" s="27"/>
      <c r="BN233" s="28" t="str">
        <f aca="false">IF(OR(AX233="Yes",BI233="Yes"),"Yes",IF(AND(AX233="No",BI233="No"),"No",IF(AND(AX233="",BI233=""),"","Unknown")))</f>
        <v/>
      </c>
      <c r="BO233" s="31" t="str">
        <f aca="false">IF(COUNT(AY233,BJ233)=0,"",MIN(AY233,BJ233))</f>
        <v/>
      </c>
      <c r="BP233" s="29"/>
      <c r="BQ233" s="29"/>
      <c r="BR233" s="29"/>
      <c r="BS233" s="28" t="str">
        <f aca="false">IF(AND(N(BP233)&gt;0,N(BR233)&gt;0),BR233-BP233,"")</f>
        <v/>
      </c>
      <c r="BT233" s="28" t="str">
        <f aca="false">IF(BS233="","",ROUND(BS233/365.25,2))</f>
        <v/>
      </c>
      <c r="BU233" s="28" t="str">
        <f aca="false">IF(BS233="","",IF(BS233&gt;=730.5,"Yes","No"))</f>
        <v/>
      </c>
      <c r="BV233" s="27"/>
      <c r="BW233" s="29"/>
      <c r="BX233" s="27"/>
      <c r="BY233" s="27"/>
      <c r="BZ233" s="28" t="str">
        <f aca="false">IF(N(E233)=0,"",IF(E233&lt;65,"Under 65","≥65"))</f>
        <v/>
      </c>
      <c r="CA233" s="28" t="str">
        <f aca="false">IF(OR(AC233="Yes",AC233="No"),AC233,"")</f>
        <v/>
      </c>
      <c r="CB233" s="28" t="str">
        <f aca="false">IF(OR(AD233="Yes",AD233="No"),AD233,"")</f>
        <v/>
      </c>
      <c r="CC233" s="28" t="str">
        <f aca="false">IF(F233="","",F233)</f>
        <v/>
      </c>
      <c r="CD233" s="27"/>
      <c r="CE233" s="27"/>
    </row>
    <row r="234" customFormat="false" ht="15" hidden="false" customHeight="false" outlineLevel="0" collapsed="false">
      <c r="A234" s="27"/>
      <c r="B234" s="27"/>
      <c r="C234" s="27"/>
      <c r="D234" s="27"/>
      <c r="E234" s="27"/>
      <c r="F234" s="27"/>
      <c r="G234" s="27"/>
      <c r="H234" s="27"/>
      <c r="I234" s="27"/>
      <c r="J234" s="28" t="str">
        <f aca="false">IF(AND(N(H234)&gt;0,N(I234)&gt;0),ROUND(I234/(H234/100)^2,1),"")</f>
        <v/>
      </c>
      <c r="K234" s="27"/>
      <c r="L234" s="27"/>
      <c r="M234" s="27"/>
      <c r="N234" s="27"/>
      <c r="O234" s="27"/>
      <c r="P234" s="27"/>
      <c r="Q234" s="27"/>
      <c r="R234" s="29"/>
      <c r="S234" s="29"/>
      <c r="T234" s="27"/>
      <c r="U234" s="28" t="str">
        <f aca="false">IF(N(T234)=0,"",IF(T234&lt;12,"Under 12 months",IF(T234&lt;36,"12-35 months",IF(T234&lt;60,"36-59 months","≥60 months"))))</f>
        <v/>
      </c>
      <c r="V234" s="27"/>
      <c r="W234" s="30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9"/>
      <c r="AT234" s="30"/>
      <c r="AU234" s="30"/>
      <c r="AV234" s="30"/>
      <c r="AW234" s="27"/>
      <c r="AX234" s="27"/>
      <c r="AY234" s="29"/>
      <c r="AZ234" s="27"/>
      <c r="BA234" s="27"/>
      <c r="BB234" s="29"/>
      <c r="BC234" s="30"/>
      <c r="BD234" s="30"/>
      <c r="BE234" s="30"/>
      <c r="BF234" s="27"/>
      <c r="BG234" s="27"/>
      <c r="BH234" s="28" t="str">
        <f aca="false">IF(COUNT(BC234:BE234)=0,"",IF(MIN(BC234:BE234)&lt;=-2.5,"Yes","No"))</f>
        <v/>
      </c>
      <c r="BI234" s="27"/>
      <c r="BJ234" s="29"/>
      <c r="BK234" s="27"/>
      <c r="BL234" s="27"/>
      <c r="BM234" s="27"/>
      <c r="BN234" s="28" t="str">
        <f aca="false">IF(OR(AX234="Yes",BI234="Yes"),"Yes",IF(AND(AX234="No",BI234="No"),"No",IF(AND(AX234="",BI234=""),"","Unknown")))</f>
        <v/>
      </c>
      <c r="BO234" s="31" t="str">
        <f aca="false">IF(COUNT(AY234,BJ234)=0,"",MIN(AY234,BJ234))</f>
        <v/>
      </c>
      <c r="BP234" s="29"/>
      <c r="BQ234" s="29"/>
      <c r="BR234" s="29"/>
      <c r="BS234" s="28" t="str">
        <f aca="false">IF(AND(N(BP234)&gt;0,N(BR234)&gt;0),BR234-BP234,"")</f>
        <v/>
      </c>
      <c r="BT234" s="28" t="str">
        <f aca="false">IF(BS234="","",ROUND(BS234/365.25,2))</f>
        <v/>
      </c>
      <c r="BU234" s="28" t="str">
        <f aca="false">IF(BS234="","",IF(BS234&gt;=730.5,"Yes","No"))</f>
        <v/>
      </c>
      <c r="BV234" s="27"/>
      <c r="BW234" s="29"/>
      <c r="BX234" s="27"/>
      <c r="BY234" s="27"/>
      <c r="BZ234" s="28" t="str">
        <f aca="false">IF(N(E234)=0,"",IF(E234&lt;65,"Under 65","≥65"))</f>
        <v/>
      </c>
      <c r="CA234" s="28" t="str">
        <f aca="false">IF(OR(AC234="Yes",AC234="No"),AC234,"")</f>
        <v/>
      </c>
      <c r="CB234" s="28" t="str">
        <f aca="false">IF(OR(AD234="Yes",AD234="No"),AD234,"")</f>
        <v/>
      </c>
      <c r="CC234" s="28" t="str">
        <f aca="false">IF(F234="","",F234)</f>
        <v/>
      </c>
      <c r="CD234" s="27"/>
      <c r="CE234" s="27"/>
    </row>
    <row r="235" customFormat="false" ht="15" hidden="false" customHeight="false" outlineLevel="0" collapsed="false">
      <c r="A235" s="27"/>
      <c r="B235" s="27"/>
      <c r="C235" s="27"/>
      <c r="D235" s="27"/>
      <c r="E235" s="27"/>
      <c r="F235" s="27"/>
      <c r="G235" s="27"/>
      <c r="H235" s="27"/>
      <c r="I235" s="27"/>
      <c r="J235" s="28" t="str">
        <f aca="false">IF(AND(N(H235)&gt;0,N(I235)&gt;0),ROUND(I235/(H235/100)^2,1),"")</f>
        <v/>
      </c>
      <c r="K235" s="27"/>
      <c r="L235" s="27"/>
      <c r="M235" s="27"/>
      <c r="N235" s="27"/>
      <c r="O235" s="27"/>
      <c r="P235" s="27"/>
      <c r="Q235" s="27"/>
      <c r="R235" s="29"/>
      <c r="S235" s="29"/>
      <c r="T235" s="27"/>
      <c r="U235" s="28" t="str">
        <f aca="false">IF(N(T235)=0,"",IF(T235&lt;12,"Under 12 months",IF(T235&lt;36,"12-35 months",IF(T235&lt;60,"36-59 months","≥60 months"))))</f>
        <v/>
      </c>
      <c r="V235" s="27"/>
      <c r="W235" s="30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9"/>
      <c r="AT235" s="30"/>
      <c r="AU235" s="30"/>
      <c r="AV235" s="30"/>
      <c r="AW235" s="27"/>
      <c r="AX235" s="27"/>
      <c r="AY235" s="29"/>
      <c r="AZ235" s="27"/>
      <c r="BA235" s="27"/>
      <c r="BB235" s="29"/>
      <c r="BC235" s="30"/>
      <c r="BD235" s="30"/>
      <c r="BE235" s="30"/>
      <c r="BF235" s="27"/>
      <c r="BG235" s="27"/>
      <c r="BH235" s="28" t="str">
        <f aca="false">IF(COUNT(BC235:BE235)=0,"",IF(MIN(BC235:BE235)&lt;=-2.5,"Yes","No"))</f>
        <v/>
      </c>
      <c r="BI235" s="27"/>
      <c r="BJ235" s="29"/>
      <c r="BK235" s="27"/>
      <c r="BL235" s="27"/>
      <c r="BM235" s="27"/>
      <c r="BN235" s="28" t="str">
        <f aca="false">IF(OR(AX235="Yes",BI235="Yes"),"Yes",IF(AND(AX235="No",BI235="No"),"No",IF(AND(AX235="",BI235=""),"","Unknown")))</f>
        <v/>
      </c>
      <c r="BO235" s="31" t="str">
        <f aca="false">IF(COUNT(AY235,BJ235)=0,"",MIN(AY235,BJ235))</f>
        <v/>
      </c>
      <c r="BP235" s="29"/>
      <c r="BQ235" s="29"/>
      <c r="BR235" s="29"/>
      <c r="BS235" s="28" t="str">
        <f aca="false">IF(AND(N(BP235)&gt;0,N(BR235)&gt;0),BR235-BP235,"")</f>
        <v/>
      </c>
      <c r="BT235" s="28" t="str">
        <f aca="false">IF(BS235="","",ROUND(BS235/365.25,2))</f>
        <v/>
      </c>
      <c r="BU235" s="28" t="str">
        <f aca="false">IF(BS235="","",IF(BS235&gt;=730.5,"Yes","No"))</f>
        <v/>
      </c>
      <c r="BV235" s="27"/>
      <c r="BW235" s="29"/>
      <c r="BX235" s="27"/>
      <c r="BY235" s="27"/>
      <c r="BZ235" s="28" t="str">
        <f aca="false">IF(N(E235)=0,"",IF(E235&lt;65,"Under 65","≥65"))</f>
        <v/>
      </c>
      <c r="CA235" s="28" t="str">
        <f aca="false">IF(OR(AC235="Yes",AC235="No"),AC235,"")</f>
        <v/>
      </c>
      <c r="CB235" s="28" t="str">
        <f aca="false">IF(OR(AD235="Yes",AD235="No"),AD235,"")</f>
        <v/>
      </c>
      <c r="CC235" s="28" t="str">
        <f aca="false">IF(F235="","",F235)</f>
        <v/>
      </c>
      <c r="CD235" s="27"/>
      <c r="CE235" s="27"/>
    </row>
    <row r="236" customFormat="false" ht="15" hidden="false" customHeight="false" outlineLevel="0" collapsed="false">
      <c r="A236" s="27"/>
      <c r="B236" s="27"/>
      <c r="C236" s="27"/>
      <c r="D236" s="27"/>
      <c r="E236" s="27"/>
      <c r="F236" s="27"/>
      <c r="G236" s="27"/>
      <c r="H236" s="27"/>
      <c r="I236" s="27"/>
      <c r="J236" s="28" t="str">
        <f aca="false">IF(AND(N(H236)&gt;0,N(I236)&gt;0),ROUND(I236/(H236/100)^2,1),"")</f>
        <v/>
      </c>
      <c r="K236" s="27"/>
      <c r="L236" s="27"/>
      <c r="M236" s="27"/>
      <c r="N236" s="27"/>
      <c r="O236" s="27"/>
      <c r="P236" s="27"/>
      <c r="Q236" s="27"/>
      <c r="R236" s="29"/>
      <c r="S236" s="29"/>
      <c r="T236" s="27"/>
      <c r="U236" s="28" t="str">
        <f aca="false">IF(N(T236)=0,"",IF(T236&lt;12,"Under 12 months",IF(T236&lt;36,"12-35 months",IF(T236&lt;60,"36-59 months","≥60 months"))))</f>
        <v/>
      </c>
      <c r="V236" s="27"/>
      <c r="W236" s="30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9"/>
      <c r="AT236" s="30"/>
      <c r="AU236" s="30"/>
      <c r="AV236" s="30"/>
      <c r="AW236" s="27"/>
      <c r="AX236" s="27"/>
      <c r="AY236" s="29"/>
      <c r="AZ236" s="27"/>
      <c r="BA236" s="27"/>
      <c r="BB236" s="29"/>
      <c r="BC236" s="30"/>
      <c r="BD236" s="30"/>
      <c r="BE236" s="30"/>
      <c r="BF236" s="27"/>
      <c r="BG236" s="27"/>
      <c r="BH236" s="28" t="str">
        <f aca="false">IF(COUNT(BC236:BE236)=0,"",IF(MIN(BC236:BE236)&lt;=-2.5,"Yes","No"))</f>
        <v/>
      </c>
      <c r="BI236" s="27"/>
      <c r="BJ236" s="29"/>
      <c r="BK236" s="27"/>
      <c r="BL236" s="27"/>
      <c r="BM236" s="27"/>
      <c r="BN236" s="28" t="str">
        <f aca="false">IF(OR(AX236="Yes",BI236="Yes"),"Yes",IF(AND(AX236="No",BI236="No"),"No",IF(AND(AX236="",BI236=""),"","Unknown")))</f>
        <v/>
      </c>
      <c r="BO236" s="31" t="str">
        <f aca="false">IF(COUNT(AY236,BJ236)=0,"",MIN(AY236,BJ236))</f>
        <v/>
      </c>
      <c r="BP236" s="29"/>
      <c r="BQ236" s="29"/>
      <c r="BR236" s="29"/>
      <c r="BS236" s="28" t="str">
        <f aca="false">IF(AND(N(BP236)&gt;0,N(BR236)&gt;0),BR236-BP236,"")</f>
        <v/>
      </c>
      <c r="BT236" s="28" t="str">
        <f aca="false">IF(BS236="","",ROUND(BS236/365.25,2))</f>
        <v/>
      </c>
      <c r="BU236" s="28" t="str">
        <f aca="false">IF(BS236="","",IF(BS236&gt;=730.5,"Yes","No"))</f>
        <v/>
      </c>
      <c r="BV236" s="27"/>
      <c r="BW236" s="29"/>
      <c r="BX236" s="27"/>
      <c r="BY236" s="27"/>
      <c r="BZ236" s="28" t="str">
        <f aca="false">IF(N(E236)=0,"",IF(E236&lt;65,"Under 65","≥65"))</f>
        <v/>
      </c>
      <c r="CA236" s="28" t="str">
        <f aca="false">IF(OR(AC236="Yes",AC236="No"),AC236,"")</f>
        <v/>
      </c>
      <c r="CB236" s="28" t="str">
        <f aca="false">IF(OR(AD236="Yes",AD236="No"),AD236,"")</f>
        <v/>
      </c>
      <c r="CC236" s="28" t="str">
        <f aca="false">IF(F236="","",F236)</f>
        <v/>
      </c>
      <c r="CD236" s="27"/>
      <c r="CE236" s="27"/>
    </row>
    <row r="237" customFormat="false" ht="15" hidden="false" customHeight="false" outlineLevel="0" collapsed="false">
      <c r="A237" s="27"/>
      <c r="B237" s="27"/>
      <c r="C237" s="27"/>
      <c r="D237" s="27"/>
      <c r="E237" s="27"/>
      <c r="F237" s="27"/>
      <c r="G237" s="27"/>
      <c r="H237" s="27"/>
      <c r="I237" s="27"/>
      <c r="J237" s="28" t="str">
        <f aca="false">IF(AND(N(H237)&gt;0,N(I237)&gt;0),ROUND(I237/(H237/100)^2,1),"")</f>
        <v/>
      </c>
      <c r="K237" s="27"/>
      <c r="L237" s="27"/>
      <c r="M237" s="27"/>
      <c r="N237" s="27"/>
      <c r="O237" s="27"/>
      <c r="P237" s="27"/>
      <c r="Q237" s="27"/>
      <c r="R237" s="29"/>
      <c r="S237" s="29"/>
      <c r="T237" s="27"/>
      <c r="U237" s="28" t="str">
        <f aca="false">IF(N(T237)=0,"",IF(T237&lt;12,"Under 12 months",IF(T237&lt;36,"12-35 months",IF(T237&lt;60,"36-59 months","≥60 months"))))</f>
        <v/>
      </c>
      <c r="V237" s="27"/>
      <c r="W237" s="30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9"/>
      <c r="AT237" s="30"/>
      <c r="AU237" s="30"/>
      <c r="AV237" s="30"/>
      <c r="AW237" s="27"/>
      <c r="AX237" s="27"/>
      <c r="AY237" s="29"/>
      <c r="AZ237" s="27"/>
      <c r="BA237" s="27"/>
      <c r="BB237" s="29"/>
      <c r="BC237" s="30"/>
      <c r="BD237" s="30"/>
      <c r="BE237" s="30"/>
      <c r="BF237" s="27"/>
      <c r="BG237" s="27"/>
      <c r="BH237" s="28" t="str">
        <f aca="false">IF(COUNT(BC237:BE237)=0,"",IF(MIN(BC237:BE237)&lt;=-2.5,"Yes","No"))</f>
        <v/>
      </c>
      <c r="BI237" s="27"/>
      <c r="BJ237" s="29"/>
      <c r="BK237" s="27"/>
      <c r="BL237" s="27"/>
      <c r="BM237" s="27"/>
      <c r="BN237" s="28" t="str">
        <f aca="false">IF(OR(AX237="Yes",BI237="Yes"),"Yes",IF(AND(AX237="No",BI237="No"),"No",IF(AND(AX237="",BI237=""),"","Unknown")))</f>
        <v/>
      </c>
      <c r="BO237" s="31" t="str">
        <f aca="false">IF(COUNT(AY237,BJ237)=0,"",MIN(AY237,BJ237))</f>
        <v/>
      </c>
      <c r="BP237" s="29"/>
      <c r="BQ237" s="29"/>
      <c r="BR237" s="29"/>
      <c r="BS237" s="28" t="str">
        <f aca="false">IF(AND(N(BP237)&gt;0,N(BR237)&gt;0),BR237-BP237,"")</f>
        <v/>
      </c>
      <c r="BT237" s="28" t="str">
        <f aca="false">IF(BS237="","",ROUND(BS237/365.25,2))</f>
        <v/>
      </c>
      <c r="BU237" s="28" t="str">
        <f aca="false">IF(BS237="","",IF(BS237&gt;=730.5,"Yes","No"))</f>
        <v/>
      </c>
      <c r="BV237" s="27"/>
      <c r="BW237" s="29"/>
      <c r="BX237" s="27"/>
      <c r="BY237" s="27"/>
      <c r="BZ237" s="28" t="str">
        <f aca="false">IF(N(E237)=0,"",IF(E237&lt;65,"Under 65","≥65"))</f>
        <v/>
      </c>
      <c r="CA237" s="28" t="str">
        <f aca="false">IF(OR(AC237="Yes",AC237="No"),AC237,"")</f>
        <v/>
      </c>
      <c r="CB237" s="28" t="str">
        <f aca="false">IF(OR(AD237="Yes",AD237="No"),AD237,"")</f>
        <v/>
      </c>
      <c r="CC237" s="28" t="str">
        <f aca="false">IF(F237="","",F237)</f>
        <v/>
      </c>
      <c r="CD237" s="27"/>
      <c r="CE237" s="27"/>
    </row>
    <row r="238" customFormat="false" ht="15" hidden="false" customHeight="false" outlineLevel="0" collapsed="false">
      <c r="A238" s="27"/>
      <c r="B238" s="27"/>
      <c r="C238" s="27"/>
      <c r="D238" s="27"/>
      <c r="E238" s="27"/>
      <c r="F238" s="27"/>
      <c r="G238" s="27"/>
      <c r="H238" s="27"/>
      <c r="I238" s="27"/>
      <c r="J238" s="28" t="str">
        <f aca="false">IF(AND(N(H238)&gt;0,N(I238)&gt;0),ROUND(I238/(H238/100)^2,1),"")</f>
        <v/>
      </c>
      <c r="K238" s="27"/>
      <c r="L238" s="27"/>
      <c r="M238" s="27"/>
      <c r="N238" s="27"/>
      <c r="O238" s="27"/>
      <c r="P238" s="27"/>
      <c r="Q238" s="27"/>
      <c r="R238" s="29"/>
      <c r="S238" s="29"/>
      <c r="T238" s="27"/>
      <c r="U238" s="28" t="str">
        <f aca="false">IF(N(T238)=0,"",IF(T238&lt;12,"Under 12 months",IF(T238&lt;36,"12-35 months",IF(T238&lt;60,"36-59 months","≥60 months"))))</f>
        <v/>
      </c>
      <c r="V238" s="27"/>
      <c r="W238" s="30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9"/>
      <c r="AT238" s="30"/>
      <c r="AU238" s="30"/>
      <c r="AV238" s="30"/>
      <c r="AW238" s="27"/>
      <c r="AX238" s="27"/>
      <c r="AY238" s="29"/>
      <c r="AZ238" s="27"/>
      <c r="BA238" s="27"/>
      <c r="BB238" s="29"/>
      <c r="BC238" s="30"/>
      <c r="BD238" s="30"/>
      <c r="BE238" s="30"/>
      <c r="BF238" s="27"/>
      <c r="BG238" s="27"/>
      <c r="BH238" s="28" t="str">
        <f aca="false">IF(COUNT(BC238:BE238)=0,"",IF(MIN(BC238:BE238)&lt;=-2.5,"Yes","No"))</f>
        <v/>
      </c>
      <c r="BI238" s="27"/>
      <c r="BJ238" s="29"/>
      <c r="BK238" s="27"/>
      <c r="BL238" s="27"/>
      <c r="BM238" s="27"/>
      <c r="BN238" s="28" t="str">
        <f aca="false">IF(OR(AX238="Yes",BI238="Yes"),"Yes",IF(AND(AX238="No",BI238="No"),"No",IF(AND(AX238="",BI238=""),"","Unknown")))</f>
        <v/>
      </c>
      <c r="BO238" s="31" t="str">
        <f aca="false">IF(COUNT(AY238,BJ238)=0,"",MIN(AY238,BJ238))</f>
        <v/>
      </c>
      <c r="BP238" s="29"/>
      <c r="BQ238" s="29"/>
      <c r="BR238" s="29"/>
      <c r="BS238" s="28" t="str">
        <f aca="false">IF(AND(N(BP238)&gt;0,N(BR238)&gt;0),BR238-BP238,"")</f>
        <v/>
      </c>
      <c r="BT238" s="28" t="str">
        <f aca="false">IF(BS238="","",ROUND(BS238/365.25,2))</f>
        <v/>
      </c>
      <c r="BU238" s="28" t="str">
        <f aca="false">IF(BS238="","",IF(BS238&gt;=730.5,"Yes","No"))</f>
        <v/>
      </c>
      <c r="BV238" s="27"/>
      <c r="BW238" s="29"/>
      <c r="BX238" s="27"/>
      <c r="BY238" s="27"/>
      <c r="BZ238" s="28" t="str">
        <f aca="false">IF(N(E238)=0,"",IF(E238&lt;65,"Under 65","≥65"))</f>
        <v/>
      </c>
      <c r="CA238" s="28" t="str">
        <f aca="false">IF(OR(AC238="Yes",AC238="No"),AC238,"")</f>
        <v/>
      </c>
      <c r="CB238" s="28" t="str">
        <f aca="false">IF(OR(AD238="Yes",AD238="No"),AD238,"")</f>
        <v/>
      </c>
      <c r="CC238" s="28" t="str">
        <f aca="false">IF(F238="","",F238)</f>
        <v/>
      </c>
      <c r="CD238" s="27"/>
      <c r="CE238" s="27"/>
    </row>
    <row r="239" customFormat="false" ht="15" hidden="false" customHeight="false" outlineLevel="0" collapsed="false">
      <c r="A239" s="27"/>
      <c r="B239" s="27"/>
      <c r="C239" s="27"/>
      <c r="D239" s="27"/>
      <c r="E239" s="27"/>
      <c r="F239" s="27"/>
      <c r="G239" s="27"/>
      <c r="H239" s="27"/>
      <c r="I239" s="27"/>
      <c r="J239" s="28" t="str">
        <f aca="false">IF(AND(N(H239)&gt;0,N(I239)&gt;0),ROUND(I239/(H239/100)^2,1),"")</f>
        <v/>
      </c>
      <c r="K239" s="27"/>
      <c r="L239" s="27"/>
      <c r="M239" s="27"/>
      <c r="N239" s="27"/>
      <c r="O239" s="27"/>
      <c r="P239" s="27"/>
      <c r="Q239" s="27"/>
      <c r="R239" s="29"/>
      <c r="S239" s="29"/>
      <c r="T239" s="27"/>
      <c r="U239" s="28" t="str">
        <f aca="false">IF(N(T239)=0,"",IF(T239&lt;12,"Under 12 months",IF(T239&lt;36,"12-35 months",IF(T239&lt;60,"36-59 months","≥60 months"))))</f>
        <v/>
      </c>
      <c r="V239" s="27"/>
      <c r="W239" s="30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9"/>
      <c r="AT239" s="30"/>
      <c r="AU239" s="30"/>
      <c r="AV239" s="30"/>
      <c r="AW239" s="27"/>
      <c r="AX239" s="27"/>
      <c r="AY239" s="29"/>
      <c r="AZ239" s="27"/>
      <c r="BA239" s="27"/>
      <c r="BB239" s="29"/>
      <c r="BC239" s="30"/>
      <c r="BD239" s="30"/>
      <c r="BE239" s="30"/>
      <c r="BF239" s="27"/>
      <c r="BG239" s="27"/>
      <c r="BH239" s="28" t="str">
        <f aca="false">IF(COUNT(BC239:BE239)=0,"",IF(MIN(BC239:BE239)&lt;=-2.5,"Yes","No"))</f>
        <v/>
      </c>
      <c r="BI239" s="27"/>
      <c r="BJ239" s="29"/>
      <c r="BK239" s="27"/>
      <c r="BL239" s="27"/>
      <c r="BM239" s="27"/>
      <c r="BN239" s="28" t="str">
        <f aca="false">IF(OR(AX239="Yes",BI239="Yes"),"Yes",IF(AND(AX239="No",BI239="No"),"No",IF(AND(AX239="",BI239=""),"","Unknown")))</f>
        <v/>
      </c>
      <c r="BO239" s="31" t="str">
        <f aca="false">IF(COUNT(AY239,BJ239)=0,"",MIN(AY239,BJ239))</f>
        <v/>
      </c>
      <c r="BP239" s="29"/>
      <c r="BQ239" s="29"/>
      <c r="BR239" s="29"/>
      <c r="BS239" s="28" t="str">
        <f aca="false">IF(AND(N(BP239)&gt;0,N(BR239)&gt;0),BR239-BP239,"")</f>
        <v/>
      </c>
      <c r="BT239" s="28" t="str">
        <f aca="false">IF(BS239="","",ROUND(BS239/365.25,2))</f>
        <v/>
      </c>
      <c r="BU239" s="28" t="str">
        <f aca="false">IF(BS239="","",IF(BS239&gt;=730.5,"Yes","No"))</f>
        <v/>
      </c>
      <c r="BV239" s="27"/>
      <c r="BW239" s="29"/>
      <c r="BX239" s="27"/>
      <c r="BY239" s="27"/>
      <c r="BZ239" s="28" t="str">
        <f aca="false">IF(N(E239)=0,"",IF(E239&lt;65,"Under 65","≥65"))</f>
        <v/>
      </c>
      <c r="CA239" s="28" t="str">
        <f aca="false">IF(OR(AC239="Yes",AC239="No"),AC239,"")</f>
        <v/>
      </c>
      <c r="CB239" s="28" t="str">
        <f aca="false">IF(OR(AD239="Yes",AD239="No"),AD239,"")</f>
        <v/>
      </c>
      <c r="CC239" s="28" t="str">
        <f aca="false">IF(F239="","",F239)</f>
        <v/>
      </c>
      <c r="CD239" s="27"/>
      <c r="CE239" s="27"/>
    </row>
    <row r="240" customFormat="false" ht="15" hidden="false" customHeight="false" outlineLevel="0" collapsed="false">
      <c r="A240" s="27"/>
      <c r="B240" s="27"/>
      <c r="C240" s="27"/>
      <c r="D240" s="27"/>
      <c r="E240" s="27"/>
      <c r="F240" s="27"/>
      <c r="G240" s="27"/>
      <c r="H240" s="27"/>
      <c r="I240" s="27"/>
      <c r="J240" s="28" t="str">
        <f aca="false">IF(AND(N(H240)&gt;0,N(I240)&gt;0),ROUND(I240/(H240/100)^2,1),"")</f>
        <v/>
      </c>
      <c r="K240" s="27"/>
      <c r="L240" s="27"/>
      <c r="M240" s="27"/>
      <c r="N240" s="27"/>
      <c r="O240" s="27"/>
      <c r="P240" s="27"/>
      <c r="Q240" s="27"/>
      <c r="R240" s="29"/>
      <c r="S240" s="29"/>
      <c r="T240" s="27"/>
      <c r="U240" s="28" t="str">
        <f aca="false">IF(N(T240)=0,"",IF(T240&lt;12,"Under 12 months",IF(T240&lt;36,"12-35 months",IF(T240&lt;60,"36-59 months","≥60 months"))))</f>
        <v/>
      </c>
      <c r="V240" s="27"/>
      <c r="W240" s="30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9"/>
      <c r="AT240" s="30"/>
      <c r="AU240" s="30"/>
      <c r="AV240" s="30"/>
      <c r="AW240" s="27"/>
      <c r="AX240" s="27"/>
      <c r="AY240" s="29"/>
      <c r="AZ240" s="27"/>
      <c r="BA240" s="27"/>
      <c r="BB240" s="29"/>
      <c r="BC240" s="30"/>
      <c r="BD240" s="30"/>
      <c r="BE240" s="30"/>
      <c r="BF240" s="27"/>
      <c r="BG240" s="27"/>
      <c r="BH240" s="28" t="str">
        <f aca="false">IF(COUNT(BC240:BE240)=0,"",IF(MIN(BC240:BE240)&lt;=-2.5,"Yes","No"))</f>
        <v/>
      </c>
      <c r="BI240" s="27"/>
      <c r="BJ240" s="29"/>
      <c r="BK240" s="27"/>
      <c r="BL240" s="27"/>
      <c r="BM240" s="27"/>
      <c r="BN240" s="28" t="str">
        <f aca="false">IF(OR(AX240="Yes",BI240="Yes"),"Yes",IF(AND(AX240="No",BI240="No"),"No",IF(AND(AX240="",BI240=""),"","Unknown")))</f>
        <v/>
      </c>
      <c r="BO240" s="31" t="str">
        <f aca="false">IF(COUNT(AY240,BJ240)=0,"",MIN(AY240,BJ240))</f>
        <v/>
      </c>
      <c r="BP240" s="29"/>
      <c r="BQ240" s="29"/>
      <c r="BR240" s="29"/>
      <c r="BS240" s="28" t="str">
        <f aca="false">IF(AND(N(BP240)&gt;0,N(BR240)&gt;0),BR240-BP240,"")</f>
        <v/>
      </c>
      <c r="BT240" s="28" t="str">
        <f aca="false">IF(BS240="","",ROUND(BS240/365.25,2))</f>
        <v/>
      </c>
      <c r="BU240" s="28" t="str">
        <f aca="false">IF(BS240="","",IF(BS240&gt;=730.5,"Yes","No"))</f>
        <v/>
      </c>
      <c r="BV240" s="27"/>
      <c r="BW240" s="29"/>
      <c r="BX240" s="27"/>
      <c r="BY240" s="27"/>
      <c r="BZ240" s="28" t="str">
        <f aca="false">IF(N(E240)=0,"",IF(E240&lt;65,"Under 65","≥65"))</f>
        <v/>
      </c>
      <c r="CA240" s="28" t="str">
        <f aca="false">IF(OR(AC240="Yes",AC240="No"),AC240,"")</f>
        <v/>
      </c>
      <c r="CB240" s="28" t="str">
        <f aca="false">IF(OR(AD240="Yes",AD240="No"),AD240,"")</f>
        <v/>
      </c>
      <c r="CC240" s="28" t="str">
        <f aca="false">IF(F240="","",F240)</f>
        <v/>
      </c>
      <c r="CD240" s="27"/>
      <c r="CE240" s="27"/>
    </row>
    <row r="241" customFormat="false" ht="15" hidden="false" customHeight="false" outlineLevel="0" collapsed="false">
      <c r="A241" s="27"/>
      <c r="B241" s="27"/>
      <c r="C241" s="27"/>
      <c r="D241" s="27"/>
      <c r="E241" s="27"/>
      <c r="F241" s="27"/>
      <c r="G241" s="27"/>
      <c r="H241" s="27"/>
      <c r="I241" s="27"/>
      <c r="J241" s="28" t="str">
        <f aca="false">IF(AND(N(H241)&gt;0,N(I241)&gt;0),ROUND(I241/(H241/100)^2,1),"")</f>
        <v/>
      </c>
      <c r="K241" s="27"/>
      <c r="L241" s="27"/>
      <c r="M241" s="27"/>
      <c r="N241" s="27"/>
      <c r="O241" s="27"/>
      <c r="P241" s="27"/>
      <c r="Q241" s="27"/>
      <c r="R241" s="29"/>
      <c r="S241" s="29"/>
      <c r="T241" s="27"/>
      <c r="U241" s="28" t="str">
        <f aca="false">IF(N(T241)=0,"",IF(T241&lt;12,"Under 12 months",IF(T241&lt;36,"12-35 months",IF(T241&lt;60,"36-59 months","≥60 months"))))</f>
        <v/>
      </c>
      <c r="V241" s="27"/>
      <c r="W241" s="30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9"/>
      <c r="AT241" s="30"/>
      <c r="AU241" s="30"/>
      <c r="AV241" s="30"/>
      <c r="AW241" s="27"/>
      <c r="AX241" s="27"/>
      <c r="AY241" s="29"/>
      <c r="AZ241" s="27"/>
      <c r="BA241" s="27"/>
      <c r="BB241" s="29"/>
      <c r="BC241" s="30"/>
      <c r="BD241" s="30"/>
      <c r="BE241" s="30"/>
      <c r="BF241" s="27"/>
      <c r="BG241" s="27"/>
      <c r="BH241" s="28" t="str">
        <f aca="false">IF(COUNT(BC241:BE241)=0,"",IF(MIN(BC241:BE241)&lt;=-2.5,"Yes","No"))</f>
        <v/>
      </c>
      <c r="BI241" s="27"/>
      <c r="BJ241" s="29"/>
      <c r="BK241" s="27"/>
      <c r="BL241" s="27"/>
      <c r="BM241" s="27"/>
      <c r="BN241" s="28" t="str">
        <f aca="false">IF(OR(AX241="Yes",BI241="Yes"),"Yes",IF(AND(AX241="No",BI241="No"),"No",IF(AND(AX241="",BI241=""),"","Unknown")))</f>
        <v/>
      </c>
      <c r="BO241" s="31" t="str">
        <f aca="false">IF(COUNT(AY241,BJ241)=0,"",MIN(AY241,BJ241))</f>
        <v/>
      </c>
      <c r="BP241" s="29"/>
      <c r="BQ241" s="29"/>
      <c r="BR241" s="29"/>
      <c r="BS241" s="28" t="str">
        <f aca="false">IF(AND(N(BP241)&gt;0,N(BR241)&gt;0),BR241-BP241,"")</f>
        <v/>
      </c>
      <c r="BT241" s="28" t="str">
        <f aca="false">IF(BS241="","",ROUND(BS241/365.25,2))</f>
        <v/>
      </c>
      <c r="BU241" s="28" t="str">
        <f aca="false">IF(BS241="","",IF(BS241&gt;=730.5,"Yes","No"))</f>
        <v/>
      </c>
      <c r="BV241" s="27"/>
      <c r="BW241" s="29"/>
      <c r="BX241" s="27"/>
      <c r="BY241" s="27"/>
      <c r="BZ241" s="28" t="str">
        <f aca="false">IF(N(E241)=0,"",IF(E241&lt;65,"Under 65","≥65"))</f>
        <v/>
      </c>
      <c r="CA241" s="28" t="str">
        <f aca="false">IF(OR(AC241="Yes",AC241="No"),AC241,"")</f>
        <v/>
      </c>
      <c r="CB241" s="28" t="str">
        <f aca="false">IF(OR(AD241="Yes",AD241="No"),AD241,"")</f>
        <v/>
      </c>
      <c r="CC241" s="28" t="str">
        <f aca="false">IF(F241="","",F241)</f>
        <v/>
      </c>
      <c r="CD241" s="27"/>
      <c r="CE241" s="27"/>
    </row>
    <row r="242" customFormat="false" ht="15" hidden="false" customHeight="false" outlineLevel="0" collapsed="false">
      <c r="A242" s="27"/>
      <c r="B242" s="27"/>
      <c r="C242" s="27"/>
      <c r="D242" s="27"/>
      <c r="E242" s="27"/>
      <c r="F242" s="27"/>
      <c r="G242" s="27"/>
      <c r="H242" s="27"/>
      <c r="I242" s="27"/>
      <c r="J242" s="28" t="str">
        <f aca="false">IF(AND(N(H242)&gt;0,N(I242)&gt;0),ROUND(I242/(H242/100)^2,1),"")</f>
        <v/>
      </c>
      <c r="K242" s="27"/>
      <c r="L242" s="27"/>
      <c r="M242" s="27"/>
      <c r="N242" s="27"/>
      <c r="O242" s="27"/>
      <c r="P242" s="27"/>
      <c r="Q242" s="27"/>
      <c r="R242" s="29"/>
      <c r="S242" s="29"/>
      <c r="T242" s="27"/>
      <c r="U242" s="28" t="str">
        <f aca="false">IF(N(T242)=0,"",IF(T242&lt;12,"Under 12 months",IF(T242&lt;36,"12-35 months",IF(T242&lt;60,"36-59 months","≥60 months"))))</f>
        <v/>
      </c>
      <c r="V242" s="27"/>
      <c r="W242" s="30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9"/>
      <c r="AT242" s="30"/>
      <c r="AU242" s="30"/>
      <c r="AV242" s="30"/>
      <c r="AW242" s="27"/>
      <c r="AX242" s="27"/>
      <c r="AY242" s="29"/>
      <c r="AZ242" s="27"/>
      <c r="BA242" s="27"/>
      <c r="BB242" s="29"/>
      <c r="BC242" s="30"/>
      <c r="BD242" s="30"/>
      <c r="BE242" s="30"/>
      <c r="BF242" s="27"/>
      <c r="BG242" s="27"/>
      <c r="BH242" s="28" t="str">
        <f aca="false">IF(COUNT(BC242:BE242)=0,"",IF(MIN(BC242:BE242)&lt;=-2.5,"Yes","No"))</f>
        <v/>
      </c>
      <c r="BI242" s="27"/>
      <c r="BJ242" s="29"/>
      <c r="BK242" s="27"/>
      <c r="BL242" s="27"/>
      <c r="BM242" s="27"/>
      <c r="BN242" s="28" t="str">
        <f aca="false">IF(OR(AX242="Yes",BI242="Yes"),"Yes",IF(AND(AX242="No",BI242="No"),"No",IF(AND(AX242="",BI242=""),"","Unknown")))</f>
        <v/>
      </c>
      <c r="BO242" s="31" t="str">
        <f aca="false">IF(COUNT(AY242,BJ242)=0,"",MIN(AY242,BJ242))</f>
        <v/>
      </c>
      <c r="BP242" s="29"/>
      <c r="BQ242" s="29"/>
      <c r="BR242" s="29"/>
      <c r="BS242" s="28" t="str">
        <f aca="false">IF(AND(N(BP242)&gt;0,N(BR242)&gt;0),BR242-BP242,"")</f>
        <v/>
      </c>
      <c r="BT242" s="28" t="str">
        <f aca="false">IF(BS242="","",ROUND(BS242/365.25,2))</f>
        <v/>
      </c>
      <c r="BU242" s="28" t="str">
        <f aca="false">IF(BS242="","",IF(BS242&gt;=730.5,"Yes","No"))</f>
        <v/>
      </c>
      <c r="BV242" s="27"/>
      <c r="BW242" s="29"/>
      <c r="BX242" s="27"/>
      <c r="BY242" s="27"/>
      <c r="BZ242" s="28" t="str">
        <f aca="false">IF(N(E242)=0,"",IF(E242&lt;65,"Under 65","≥65"))</f>
        <v/>
      </c>
      <c r="CA242" s="28" t="str">
        <f aca="false">IF(OR(AC242="Yes",AC242="No"),AC242,"")</f>
        <v/>
      </c>
      <c r="CB242" s="28" t="str">
        <f aca="false">IF(OR(AD242="Yes",AD242="No"),AD242,"")</f>
        <v/>
      </c>
      <c r="CC242" s="28" t="str">
        <f aca="false">IF(F242="","",F242)</f>
        <v/>
      </c>
      <c r="CD242" s="27"/>
      <c r="CE242" s="27"/>
    </row>
    <row r="243" customFormat="false" ht="15" hidden="false" customHeight="false" outlineLevel="0" collapsed="false">
      <c r="A243" s="27"/>
      <c r="B243" s="27"/>
      <c r="C243" s="27"/>
      <c r="D243" s="27"/>
      <c r="E243" s="27"/>
      <c r="F243" s="27"/>
      <c r="G243" s="27"/>
      <c r="H243" s="27"/>
      <c r="I243" s="27"/>
      <c r="J243" s="28" t="str">
        <f aca="false">IF(AND(N(H243)&gt;0,N(I243)&gt;0),ROUND(I243/(H243/100)^2,1),"")</f>
        <v/>
      </c>
      <c r="K243" s="27"/>
      <c r="L243" s="27"/>
      <c r="M243" s="27"/>
      <c r="N243" s="27"/>
      <c r="O243" s="27"/>
      <c r="P243" s="27"/>
      <c r="Q243" s="27"/>
      <c r="R243" s="29"/>
      <c r="S243" s="29"/>
      <c r="T243" s="27"/>
      <c r="U243" s="28" t="str">
        <f aca="false">IF(N(T243)=0,"",IF(T243&lt;12,"Under 12 months",IF(T243&lt;36,"12-35 months",IF(T243&lt;60,"36-59 months","≥60 months"))))</f>
        <v/>
      </c>
      <c r="V243" s="27"/>
      <c r="W243" s="30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9"/>
      <c r="AT243" s="30"/>
      <c r="AU243" s="30"/>
      <c r="AV243" s="30"/>
      <c r="AW243" s="27"/>
      <c r="AX243" s="27"/>
      <c r="AY243" s="29"/>
      <c r="AZ243" s="27"/>
      <c r="BA243" s="27"/>
      <c r="BB243" s="29"/>
      <c r="BC243" s="30"/>
      <c r="BD243" s="30"/>
      <c r="BE243" s="30"/>
      <c r="BF243" s="27"/>
      <c r="BG243" s="27"/>
      <c r="BH243" s="28" t="str">
        <f aca="false">IF(COUNT(BC243:BE243)=0,"",IF(MIN(BC243:BE243)&lt;=-2.5,"Yes","No"))</f>
        <v/>
      </c>
      <c r="BI243" s="27"/>
      <c r="BJ243" s="29"/>
      <c r="BK243" s="27"/>
      <c r="BL243" s="27"/>
      <c r="BM243" s="27"/>
      <c r="BN243" s="28" t="str">
        <f aca="false">IF(OR(AX243="Yes",BI243="Yes"),"Yes",IF(AND(AX243="No",BI243="No"),"No",IF(AND(AX243="",BI243=""),"","Unknown")))</f>
        <v/>
      </c>
      <c r="BO243" s="31" t="str">
        <f aca="false">IF(COUNT(AY243,BJ243)=0,"",MIN(AY243,BJ243))</f>
        <v/>
      </c>
      <c r="BP243" s="29"/>
      <c r="BQ243" s="29"/>
      <c r="BR243" s="29"/>
      <c r="BS243" s="28" t="str">
        <f aca="false">IF(AND(N(BP243)&gt;0,N(BR243)&gt;0),BR243-BP243,"")</f>
        <v/>
      </c>
      <c r="BT243" s="28" t="str">
        <f aca="false">IF(BS243="","",ROUND(BS243/365.25,2))</f>
        <v/>
      </c>
      <c r="BU243" s="28" t="str">
        <f aca="false">IF(BS243="","",IF(BS243&gt;=730.5,"Yes","No"))</f>
        <v/>
      </c>
      <c r="BV243" s="27"/>
      <c r="BW243" s="29"/>
      <c r="BX243" s="27"/>
      <c r="BY243" s="27"/>
      <c r="BZ243" s="28" t="str">
        <f aca="false">IF(N(E243)=0,"",IF(E243&lt;65,"Under 65","≥65"))</f>
        <v/>
      </c>
      <c r="CA243" s="28" t="str">
        <f aca="false">IF(OR(AC243="Yes",AC243="No"),AC243,"")</f>
        <v/>
      </c>
      <c r="CB243" s="28" t="str">
        <f aca="false">IF(OR(AD243="Yes",AD243="No"),AD243,"")</f>
        <v/>
      </c>
      <c r="CC243" s="28" t="str">
        <f aca="false">IF(F243="","",F243)</f>
        <v/>
      </c>
      <c r="CD243" s="27"/>
      <c r="CE243" s="27"/>
    </row>
    <row r="244" customFormat="false" ht="15" hidden="false" customHeight="false" outlineLevel="0" collapsed="false">
      <c r="A244" s="27"/>
      <c r="B244" s="27"/>
      <c r="C244" s="27"/>
      <c r="D244" s="27"/>
      <c r="E244" s="27"/>
      <c r="F244" s="27"/>
      <c r="G244" s="27"/>
      <c r="H244" s="27"/>
      <c r="I244" s="27"/>
      <c r="J244" s="28" t="str">
        <f aca="false">IF(AND(N(H244)&gt;0,N(I244)&gt;0),ROUND(I244/(H244/100)^2,1),"")</f>
        <v/>
      </c>
      <c r="K244" s="27"/>
      <c r="L244" s="27"/>
      <c r="M244" s="27"/>
      <c r="N244" s="27"/>
      <c r="O244" s="27"/>
      <c r="P244" s="27"/>
      <c r="Q244" s="27"/>
      <c r="R244" s="29"/>
      <c r="S244" s="29"/>
      <c r="T244" s="27"/>
      <c r="U244" s="28" t="str">
        <f aca="false">IF(N(T244)=0,"",IF(T244&lt;12,"Under 12 months",IF(T244&lt;36,"12-35 months",IF(T244&lt;60,"36-59 months","≥60 months"))))</f>
        <v/>
      </c>
      <c r="V244" s="27"/>
      <c r="W244" s="30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9"/>
      <c r="AT244" s="30"/>
      <c r="AU244" s="30"/>
      <c r="AV244" s="30"/>
      <c r="AW244" s="27"/>
      <c r="AX244" s="27"/>
      <c r="AY244" s="29"/>
      <c r="AZ244" s="27"/>
      <c r="BA244" s="27"/>
      <c r="BB244" s="29"/>
      <c r="BC244" s="30"/>
      <c r="BD244" s="30"/>
      <c r="BE244" s="30"/>
      <c r="BF244" s="27"/>
      <c r="BG244" s="27"/>
      <c r="BH244" s="28" t="str">
        <f aca="false">IF(COUNT(BC244:BE244)=0,"",IF(MIN(BC244:BE244)&lt;=-2.5,"Yes","No"))</f>
        <v/>
      </c>
      <c r="BI244" s="27"/>
      <c r="BJ244" s="29"/>
      <c r="BK244" s="27"/>
      <c r="BL244" s="27"/>
      <c r="BM244" s="27"/>
      <c r="BN244" s="28" t="str">
        <f aca="false">IF(OR(AX244="Yes",BI244="Yes"),"Yes",IF(AND(AX244="No",BI244="No"),"No",IF(AND(AX244="",BI244=""),"","Unknown")))</f>
        <v/>
      </c>
      <c r="BO244" s="31" t="str">
        <f aca="false">IF(COUNT(AY244,BJ244)=0,"",MIN(AY244,BJ244))</f>
        <v/>
      </c>
      <c r="BP244" s="29"/>
      <c r="BQ244" s="29"/>
      <c r="BR244" s="29"/>
      <c r="BS244" s="28" t="str">
        <f aca="false">IF(AND(N(BP244)&gt;0,N(BR244)&gt;0),BR244-BP244,"")</f>
        <v/>
      </c>
      <c r="BT244" s="28" t="str">
        <f aca="false">IF(BS244="","",ROUND(BS244/365.25,2))</f>
        <v/>
      </c>
      <c r="BU244" s="28" t="str">
        <f aca="false">IF(BS244="","",IF(BS244&gt;=730.5,"Yes","No"))</f>
        <v/>
      </c>
      <c r="BV244" s="27"/>
      <c r="BW244" s="29"/>
      <c r="BX244" s="27"/>
      <c r="BY244" s="27"/>
      <c r="BZ244" s="28" t="str">
        <f aca="false">IF(N(E244)=0,"",IF(E244&lt;65,"Under 65","≥65"))</f>
        <v/>
      </c>
      <c r="CA244" s="28" t="str">
        <f aca="false">IF(OR(AC244="Yes",AC244="No"),AC244,"")</f>
        <v/>
      </c>
      <c r="CB244" s="28" t="str">
        <f aca="false">IF(OR(AD244="Yes",AD244="No"),AD244,"")</f>
        <v/>
      </c>
      <c r="CC244" s="28" t="str">
        <f aca="false">IF(F244="","",F244)</f>
        <v/>
      </c>
      <c r="CD244" s="27"/>
      <c r="CE244" s="27"/>
    </row>
    <row r="245" customFormat="false" ht="15" hidden="false" customHeight="false" outlineLevel="0" collapsed="false">
      <c r="A245" s="27"/>
      <c r="B245" s="27"/>
      <c r="C245" s="27"/>
      <c r="D245" s="27"/>
      <c r="E245" s="27"/>
      <c r="F245" s="27"/>
      <c r="G245" s="27"/>
      <c r="H245" s="27"/>
      <c r="I245" s="27"/>
      <c r="J245" s="28" t="str">
        <f aca="false">IF(AND(N(H245)&gt;0,N(I245)&gt;0),ROUND(I245/(H245/100)^2,1),"")</f>
        <v/>
      </c>
      <c r="K245" s="27"/>
      <c r="L245" s="27"/>
      <c r="M245" s="27"/>
      <c r="N245" s="27"/>
      <c r="O245" s="27"/>
      <c r="P245" s="27"/>
      <c r="Q245" s="27"/>
      <c r="R245" s="29"/>
      <c r="S245" s="29"/>
      <c r="T245" s="27"/>
      <c r="U245" s="28" t="str">
        <f aca="false">IF(N(T245)=0,"",IF(T245&lt;12,"Under 12 months",IF(T245&lt;36,"12-35 months",IF(T245&lt;60,"36-59 months","≥60 months"))))</f>
        <v/>
      </c>
      <c r="V245" s="27"/>
      <c r="W245" s="30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9"/>
      <c r="AT245" s="30"/>
      <c r="AU245" s="30"/>
      <c r="AV245" s="30"/>
      <c r="AW245" s="27"/>
      <c r="AX245" s="27"/>
      <c r="AY245" s="29"/>
      <c r="AZ245" s="27"/>
      <c r="BA245" s="27"/>
      <c r="BB245" s="29"/>
      <c r="BC245" s="30"/>
      <c r="BD245" s="30"/>
      <c r="BE245" s="30"/>
      <c r="BF245" s="27"/>
      <c r="BG245" s="27"/>
      <c r="BH245" s="28" t="str">
        <f aca="false">IF(COUNT(BC245:BE245)=0,"",IF(MIN(BC245:BE245)&lt;=-2.5,"Yes","No"))</f>
        <v/>
      </c>
      <c r="BI245" s="27"/>
      <c r="BJ245" s="29"/>
      <c r="BK245" s="27"/>
      <c r="BL245" s="27"/>
      <c r="BM245" s="27"/>
      <c r="BN245" s="28" t="str">
        <f aca="false">IF(OR(AX245="Yes",BI245="Yes"),"Yes",IF(AND(AX245="No",BI245="No"),"No",IF(AND(AX245="",BI245=""),"","Unknown")))</f>
        <v/>
      </c>
      <c r="BO245" s="31" t="str">
        <f aca="false">IF(COUNT(AY245,BJ245)=0,"",MIN(AY245,BJ245))</f>
        <v/>
      </c>
      <c r="BP245" s="29"/>
      <c r="BQ245" s="29"/>
      <c r="BR245" s="29"/>
      <c r="BS245" s="28" t="str">
        <f aca="false">IF(AND(N(BP245)&gt;0,N(BR245)&gt;0),BR245-BP245,"")</f>
        <v/>
      </c>
      <c r="BT245" s="28" t="str">
        <f aca="false">IF(BS245="","",ROUND(BS245/365.25,2))</f>
        <v/>
      </c>
      <c r="BU245" s="28" t="str">
        <f aca="false">IF(BS245="","",IF(BS245&gt;=730.5,"Yes","No"))</f>
        <v/>
      </c>
      <c r="BV245" s="27"/>
      <c r="BW245" s="29"/>
      <c r="BX245" s="27"/>
      <c r="BY245" s="27"/>
      <c r="BZ245" s="28" t="str">
        <f aca="false">IF(N(E245)=0,"",IF(E245&lt;65,"Under 65","≥65"))</f>
        <v/>
      </c>
      <c r="CA245" s="28" t="str">
        <f aca="false">IF(OR(AC245="Yes",AC245="No"),AC245,"")</f>
        <v/>
      </c>
      <c r="CB245" s="28" t="str">
        <f aca="false">IF(OR(AD245="Yes",AD245="No"),AD245,"")</f>
        <v/>
      </c>
      <c r="CC245" s="28" t="str">
        <f aca="false">IF(F245="","",F245)</f>
        <v/>
      </c>
      <c r="CD245" s="27"/>
      <c r="CE245" s="27"/>
    </row>
    <row r="246" customFormat="false" ht="15" hidden="false" customHeight="false" outlineLevel="0" collapsed="false">
      <c r="A246" s="27"/>
      <c r="B246" s="27"/>
      <c r="C246" s="27"/>
      <c r="D246" s="27"/>
      <c r="E246" s="27"/>
      <c r="F246" s="27"/>
      <c r="G246" s="27"/>
      <c r="H246" s="27"/>
      <c r="I246" s="27"/>
      <c r="J246" s="28" t="str">
        <f aca="false">IF(AND(N(H246)&gt;0,N(I246)&gt;0),ROUND(I246/(H246/100)^2,1),"")</f>
        <v/>
      </c>
      <c r="K246" s="27"/>
      <c r="L246" s="27"/>
      <c r="M246" s="27"/>
      <c r="N246" s="27"/>
      <c r="O246" s="27"/>
      <c r="P246" s="27"/>
      <c r="Q246" s="27"/>
      <c r="R246" s="29"/>
      <c r="S246" s="29"/>
      <c r="T246" s="27"/>
      <c r="U246" s="28" t="str">
        <f aca="false">IF(N(T246)=0,"",IF(T246&lt;12,"Under 12 months",IF(T246&lt;36,"12-35 months",IF(T246&lt;60,"36-59 months","≥60 months"))))</f>
        <v/>
      </c>
      <c r="V246" s="27"/>
      <c r="W246" s="30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9"/>
      <c r="AT246" s="30"/>
      <c r="AU246" s="30"/>
      <c r="AV246" s="30"/>
      <c r="AW246" s="27"/>
      <c r="AX246" s="27"/>
      <c r="AY246" s="29"/>
      <c r="AZ246" s="27"/>
      <c r="BA246" s="27"/>
      <c r="BB246" s="29"/>
      <c r="BC246" s="30"/>
      <c r="BD246" s="30"/>
      <c r="BE246" s="30"/>
      <c r="BF246" s="27"/>
      <c r="BG246" s="27"/>
      <c r="BH246" s="28" t="str">
        <f aca="false">IF(COUNT(BC246:BE246)=0,"",IF(MIN(BC246:BE246)&lt;=-2.5,"Yes","No"))</f>
        <v/>
      </c>
      <c r="BI246" s="27"/>
      <c r="BJ246" s="29"/>
      <c r="BK246" s="27"/>
      <c r="BL246" s="27"/>
      <c r="BM246" s="27"/>
      <c r="BN246" s="28" t="str">
        <f aca="false">IF(OR(AX246="Yes",BI246="Yes"),"Yes",IF(AND(AX246="No",BI246="No"),"No",IF(AND(AX246="",BI246=""),"","Unknown")))</f>
        <v/>
      </c>
      <c r="BO246" s="31" t="str">
        <f aca="false">IF(COUNT(AY246,BJ246)=0,"",MIN(AY246,BJ246))</f>
        <v/>
      </c>
      <c r="BP246" s="29"/>
      <c r="BQ246" s="29"/>
      <c r="BR246" s="29"/>
      <c r="BS246" s="28" t="str">
        <f aca="false">IF(AND(N(BP246)&gt;0,N(BR246)&gt;0),BR246-BP246,"")</f>
        <v/>
      </c>
      <c r="BT246" s="28" t="str">
        <f aca="false">IF(BS246="","",ROUND(BS246/365.25,2))</f>
        <v/>
      </c>
      <c r="BU246" s="28" t="str">
        <f aca="false">IF(BS246="","",IF(BS246&gt;=730.5,"Yes","No"))</f>
        <v/>
      </c>
      <c r="BV246" s="27"/>
      <c r="BW246" s="29"/>
      <c r="BX246" s="27"/>
      <c r="BY246" s="27"/>
      <c r="BZ246" s="28" t="str">
        <f aca="false">IF(N(E246)=0,"",IF(E246&lt;65,"Under 65","≥65"))</f>
        <v/>
      </c>
      <c r="CA246" s="28" t="str">
        <f aca="false">IF(OR(AC246="Yes",AC246="No"),AC246,"")</f>
        <v/>
      </c>
      <c r="CB246" s="28" t="str">
        <f aca="false">IF(OR(AD246="Yes",AD246="No"),AD246,"")</f>
        <v/>
      </c>
      <c r="CC246" s="28" t="str">
        <f aca="false">IF(F246="","",F246)</f>
        <v/>
      </c>
      <c r="CD246" s="27"/>
      <c r="CE246" s="27"/>
    </row>
    <row r="247" customFormat="false" ht="15" hidden="false" customHeight="false" outlineLevel="0" collapsed="false">
      <c r="A247" s="27"/>
      <c r="B247" s="27"/>
      <c r="C247" s="27"/>
      <c r="D247" s="27"/>
      <c r="E247" s="27"/>
      <c r="F247" s="27"/>
      <c r="G247" s="27"/>
      <c r="H247" s="27"/>
      <c r="I247" s="27"/>
      <c r="J247" s="28" t="str">
        <f aca="false">IF(AND(N(H247)&gt;0,N(I247)&gt;0),ROUND(I247/(H247/100)^2,1),"")</f>
        <v/>
      </c>
      <c r="K247" s="27"/>
      <c r="L247" s="27"/>
      <c r="M247" s="27"/>
      <c r="N247" s="27"/>
      <c r="O247" s="27"/>
      <c r="P247" s="27"/>
      <c r="Q247" s="27"/>
      <c r="R247" s="29"/>
      <c r="S247" s="29"/>
      <c r="T247" s="27"/>
      <c r="U247" s="28" t="str">
        <f aca="false">IF(N(T247)=0,"",IF(T247&lt;12,"Under 12 months",IF(T247&lt;36,"12-35 months",IF(T247&lt;60,"36-59 months","≥60 months"))))</f>
        <v/>
      </c>
      <c r="V247" s="27"/>
      <c r="W247" s="30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9"/>
      <c r="AT247" s="30"/>
      <c r="AU247" s="30"/>
      <c r="AV247" s="30"/>
      <c r="AW247" s="27"/>
      <c r="AX247" s="27"/>
      <c r="AY247" s="29"/>
      <c r="AZ247" s="27"/>
      <c r="BA247" s="27"/>
      <c r="BB247" s="29"/>
      <c r="BC247" s="30"/>
      <c r="BD247" s="30"/>
      <c r="BE247" s="30"/>
      <c r="BF247" s="27"/>
      <c r="BG247" s="27"/>
      <c r="BH247" s="28" t="str">
        <f aca="false">IF(COUNT(BC247:BE247)=0,"",IF(MIN(BC247:BE247)&lt;=-2.5,"Yes","No"))</f>
        <v/>
      </c>
      <c r="BI247" s="27"/>
      <c r="BJ247" s="29"/>
      <c r="BK247" s="27"/>
      <c r="BL247" s="27"/>
      <c r="BM247" s="27"/>
      <c r="BN247" s="28" t="str">
        <f aca="false">IF(OR(AX247="Yes",BI247="Yes"),"Yes",IF(AND(AX247="No",BI247="No"),"No",IF(AND(AX247="",BI247=""),"","Unknown")))</f>
        <v/>
      </c>
      <c r="BO247" s="31" t="str">
        <f aca="false">IF(COUNT(AY247,BJ247)=0,"",MIN(AY247,BJ247))</f>
        <v/>
      </c>
      <c r="BP247" s="29"/>
      <c r="BQ247" s="29"/>
      <c r="BR247" s="29"/>
      <c r="BS247" s="28" t="str">
        <f aca="false">IF(AND(N(BP247)&gt;0,N(BR247)&gt;0),BR247-BP247,"")</f>
        <v/>
      </c>
      <c r="BT247" s="28" t="str">
        <f aca="false">IF(BS247="","",ROUND(BS247/365.25,2))</f>
        <v/>
      </c>
      <c r="BU247" s="28" t="str">
        <f aca="false">IF(BS247="","",IF(BS247&gt;=730.5,"Yes","No"))</f>
        <v/>
      </c>
      <c r="BV247" s="27"/>
      <c r="BW247" s="29"/>
      <c r="BX247" s="27"/>
      <c r="BY247" s="27"/>
      <c r="BZ247" s="28" t="str">
        <f aca="false">IF(N(E247)=0,"",IF(E247&lt;65,"Under 65","≥65"))</f>
        <v/>
      </c>
      <c r="CA247" s="28" t="str">
        <f aca="false">IF(OR(AC247="Yes",AC247="No"),AC247,"")</f>
        <v/>
      </c>
      <c r="CB247" s="28" t="str">
        <f aca="false">IF(OR(AD247="Yes",AD247="No"),AD247,"")</f>
        <v/>
      </c>
      <c r="CC247" s="28" t="str">
        <f aca="false">IF(F247="","",F247)</f>
        <v/>
      </c>
      <c r="CD247" s="27"/>
      <c r="CE247" s="27"/>
    </row>
    <row r="248" customFormat="false" ht="15" hidden="false" customHeight="false" outlineLevel="0" collapsed="false">
      <c r="A248" s="27"/>
      <c r="B248" s="27"/>
      <c r="C248" s="27"/>
      <c r="D248" s="27"/>
      <c r="E248" s="27"/>
      <c r="F248" s="27"/>
      <c r="G248" s="27"/>
      <c r="H248" s="27"/>
      <c r="I248" s="27"/>
      <c r="J248" s="28" t="str">
        <f aca="false">IF(AND(N(H248)&gt;0,N(I248)&gt;0),ROUND(I248/(H248/100)^2,1),"")</f>
        <v/>
      </c>
      <c r="K248" s="27"/>
      <c r="L248" s="27"/>
      <c r="M248" s="27"/>
      <c r="N248" s="27"/>
      <c r="O248" s="27"/>
      <c r="P248" s="27"/>
      <c r="Q248" s="27"/>
      <c r="R248" s="29"/>
      <c r="S248" s="29"/>
      <c r="T248" s="27"/>
      <c r="U248" s="28" t="str">
        <f aca="false">IF(N(T248)=0,"",IF(T248&lt;12,"Under 12 months",IF(T248&lt;36,"12-35 months",IF(T248&lt;60,"36-59 months","≥60 months"))))</f>
        <v/>
      </c>
      <c r="V248" s="27"/>
      <c r="W248" s="30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9"/>
      <c r="AT248" s="30"/>
      <c r="AU248" s="30"/>
      <c r="AV248" s="30"/>
      <c r="AW248" s="27"/>
      <c r="AX248" s="27"/>
      <c r="AY248" s="29"/>
      <c r="AZ248" s="27"/>
      <c r="BA248" s="27"/>
      <c r="BB248" s="29"/>
      <c r="BC248" s="30"/>
      <c r="BD248" s="30"/>
      <c r="BE248" s="30"/>
      <c r="BF248" s="27"/>
      <c r="BG248" s="27"/>
      <c r="BH248" s="28" t="str">
        <f aca="false">IF(COUNT(BC248:BE248)=0,"",IF(MIN(BC248:BE248)&lt;=-2.5,"Yes","No"))</f>
        <v/>
      </c>
      <c r="BI248" s="27"/>
      <c r="BJ248" s="29"/>
      <c r="BK248" s="27"/>
      <c r="BL248" s="27"/>
      <c r="BM248" s="27"/>
      <c r="BN248" s="28" t="str">
        <f aca="false">IF(OR(AX248="Yes",BI248="Yes"),"Yes",IF(AND(AX248="No",BI248="No"),"No",IF(AND(AX248="",BI248=""),"","Unknown")))</f>
        <v/>
      </c>
      <c r="BO248" s="31" t="str">
        <f aca="false">IF(COUNT(AY248,BJ248)=0,"",MIN(AY248,BJ248))</f>
        <v/>
      </c>
      <c r="BP248" s="29"/>
      <c r="BQ248" s="29"/>
      <c r="BR248" s="29"/>
      <c r="BS248" s="28" t="str">
        <f aca="false">IF(AND(N(BP248)&gt;0,N(BR248)&gt;0),BR248-BP248,"")</f>
        <v/>
      </c>
      <c r="BT248" s="28" t="str">
        <f aca="false">IF(BS248="","",ROUND(BS248/365.25,2))</f>
        <v/>
      </c>
      <c r="BU248" s="28" t="str">
        <f aca="false">IF(BS248="","",IF(BS248&gt;=730.5,"Yes","No"))</f>
        <v/>
      </c>
      <c r="BV248" s="27"/>
      <c r="BW248" s="29"/>
      <c r="BX248" s="27"/>
      <c r="BY248" s="27"/>
      <c r="BZ248" s="28" t="str">
        <f aca="false">IF(N(E248)=0,"",IF(E248&lt;65,"Under 65","≥65"))</f>
        <v/>
      </c>
      <c r="CA248" s="28" t="str">
        <f aca="false">IF(OR(AC248="Yes",AC248="No"),AC248,"")</f>
        <v/>
      </c>
      <c r="CB248" s="28" t="str">
        <f aca="false">IF(OR(AD248="Yes",AD248="No"),AD248,"")</f>
        <v/>
      </c>
      <c r="CC248" s="28" t="str">
        <f aca="false">IF(F248="","",F248)</f>
        <v/>
      </c>
      <c r="CD248" s="27"/>
      <c r="CE248" s="27"/>
    </row>
    <row r="249" customFormat="false" ht="15" hidden="false" customHeight="false" outlineLevel="0" collapsed="false">
      <c r="A249" s="27"/>
      <c r="B249" s="27"/>
      <c r="C249" s="27"/>
      <c r="D249" s="27"/>
      <c r="E249" s="27"/>
      <c r="F249" s="27"/>
      <c r="G249" s="27"/>
      <c r="H249" s="27"/>
      <c r="I249" s="27"/>
      <c r="J249" s="28" t="str">
        <f aca="false">IF(AND(N(H249)&gt;0,N(I249)&gt;0),ROUND(I249/(H249/100)^2,1),"")</f>
        <v/>
      </c>
      <c r="K249" s="27"/>
      <c r="L249" s="27"/>
      <c r="M249" s="27"/>
      <c r="N249" s="27"/>
      <c r="O249" s="27"/>
      <c r="P249" s="27"/>
      <c r="Q249" s="27"/>
      <c r="R249" s="29"/>
      <c r="S249" s="29"/>
      <c r="T249" s="27"/>
      <c r="U249" s="28" t="str">
        <f aca="false">IF(N(T249)=0,"",IF(T249&lt;12,"Under 12 months",IF(T249&lt;36,"12-35 months",IF(T249&lt;60,"36-59 months","≥60 months"))))</f>
        <v/>
      </c>
      <c r="V249" s="27"/>
      <c r="W249" s="30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9"/>
      <c r="AT249" s="30"/>
      <c r="AU249" s="30"/>
      <c r="AV249" s="30"/>
      <c r="AW249" s="27"/>
      <c r="AX249" s="27"/>
      <c r="AY249" s="29"/>
      <c r="AZ249" s="27"/>
      <c r="BA249" s="27"/>
      <c r="BB249" s="29"/>
      <c r="BC249" s="30"/>
      <c r="BD249" s="30"/>
      <c r="BE249" s="30"/>
      <c r="BF249" s="27"/>
      <c r="BG249" s="27"/>
      <c r="BH249" s="28" t="str">
        <f aca="false">IF(COUNT(BC249:BE249)=0,"",IF(MIN(BC249:BE249)&lt;=-2.5,"Yes","No"))</f>
        <v/>
      </c>
      <c r="BI249" s="27"/>
      <c r="BJ249" s="29"/>
      <c r="BK249" s="27"/>
      <c r="BL249" s="27"/>
      <c r="BM249" s="27"/>
      <c r="BN249" s="28" t="str">
        <f aca="false">IF(OR(AX249="Yes",BI249="Yes"),"Yes",IF(AND(AX249="No",BI249="No"),"No",IF(AND(AX249="",BI249=""),"","Unknown")))</f>
        <v/>
      </c>
      <c r="BO249" s="31" t="str">
        <f aca="false">IF(COUNT(AY249,BJ249)=0,"",MIN(AY249,BJ249))</f>
        <v/>
      </c>
      <c r="BP249" s="29"/>
      <c r="BQ249" s="29"/>
      <c r="BR249" s="29"/>
      <c r="BS249" s="28" t="str">
        <f aca="false">IF(AND(N(BP249)&gt;0,N(BR249)&gt;0),BR249-BP249,"")</f>
        <v/>
      </c>
      <c r="BT249" s="28" t="str">
        <f aca="false">IF(BS249="","",ROUND(BS249/365.25,2))</f>
        <v/>
      </c>
      <c r="BU249" s="28" t="str">
        <f aca="false">IF(BS249="","",IF(BS249&gt;=730.5,"Yes","No"))</f>
        <v/>
      </c>
      <c r="BV249" s="27"/>
      <c r="BW249" s="29"/>
      <c r="BX249" s="27"/>
      <c r="BY249" s="27"/>
      <c r="BZ249" s="28" t="str">
        <f aca="false">IF(N(E249)=0,"",IF(E249&lt;65,"Under 65","≥65"))</f>
        <v/>
      </c>
      <c r="CA249" s="28" t="str">
        <f aca="false">IF(OR(AC249="Yes",AC249="No"),AC249,"")</f>
        <v/>
      </c>
      <c r="CB249" s="28" t="str">
        <f aca="false">IF(OR(AD249="Yes",AD249="No"),AD249,"")</f>
        <v/>
      </c>
      <c r="CC249" s="28" t="str">
        <f aca="false">IF(F249="","",F249)</f>
        <v/>
      </c>
      <c r="CD249" s="27"/>
      <c r="CE249" s="27"/>
    </row>
    <row r="250" customFormat="false" ht="15" hidden="false" customHeight="false" outlineLevel="0" collapsed="false">
      <c r="A250" s="27"/>
      <c r="B250" s="27"/>
      <c r="C250" s="27"/>
      <c r="D250" s="27"/>
      <c r="E250" s="27"/>
      <c r="F250" s="27"/>
      <c r="G250" s="27"/>
      <c r="H250" s="27"/>
      <c r="I250" s="27"/>
      <c r="J250" s="28" t="str">
        <f aca="false">IF(AND(N(H250)&gt;0,N(I250)&gt;0),ROUND(I250/(H250/100)^2,1),"")</f>
        <v/>
      </c>
      <c r="K250" s="27"/>
      <c r="L250" s="27"/>
      <c r="M250" s="27"/>
      <c r="N250" s="27"/>
      <c r="O250" s="27"/>
      <c r="P250" s="27"/>
      <c r="Q250" s="27"/>
      <c r="R250" s="29"/>
      <c r="S250" s="29"/>
      <c r="T250" s="27"/>
      <c r="U250" s="28" t="str">
        <f aca="false">IF(N(T250)=0,"",IF(T250&lt;12,"Under 12 months",IF(T250&lt;36,"12-35 months",IF(T250&lt;60,"36-59 months","≥60 months"))))</f>
        <v/>
      </c>
      <c r="V250" s="27"/>
      <c r="W250" s="30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9"/>
      <c r="AT250" s="30"/>
      <c r="AU250" s="30"/>
      <c r="AV250" s="30"/>
      <c r="AW250" s="27"/>
      <c r="AX250" s="27"/>
      <c r="AY250" s="29"/>
      <c r="AZ250" s="27"/>
      <c r="BA250" s="27"/>
      <c r="BB250" s="29"/>
      <c r="BC250" s="30"/>
      <c r="BD250" s="30"/>
      <c r="BE250" s="30"/>
      <c r="BF250" s="27"/>
      <c r="BG250" s="27"/>
      <c r="BH250" s="28" t="str">
        <f aca="false">IF(COUNT(BC250:BE250)=0,"",IF(MIN(BC250:BE250)&lt;=-2.5,"Yes","No"))</f>
        <v/>
      </c>
      <c r="BI250" s="27"/>
      <c r="BJ250" s="29"/>
      <c r="BK250" s="27"/>
      <c r="BL250" s="27"/>
      <c r="BM250" s="27"/>
      <c r="BN250" s="28" t="str">
        <f aca="false">IF(OR(AX250="Yes",BI250="Yes"),"Yes",IF(AND(AX250="No",BI250="No"),"No",IF(AND(AX250="",BI250=""),"","Unknown")))</f>
        <v/>
      </c>
      <c r="BO250" s="31" t="str">
        <f aca="false">IF(COUNT(AY250,BJ250)=0,"",MIN(AY250,BJ250))</f>
        <v/>
      </c>
      <c r="BP250" s="29"/>
      <c r="BQ250" s="29"/>
      <c r="BR250" s="29"/>
      <c r="BS250" s="28" t="str">
        <f aca="false">IF(AND(N(BP250)&gt;0,N(BR250)&gt;0),BR250-BP250,"")</f>
        <v/>
      </c>
      <c r="BT250" s="28" t="str">
        <f aca="false">IF(BS250="","",ROUND(BS250/365.25,2))</f>
        <v/>
      </c>
      <c r="BU250" s="28" t="str">
        <f aca="false">IF(BS250="","",IF(BS250&gt;=730.5,"Yes","No"))</f>
        <v/>
      </c>
      <c r="BV250" s="27"/>
      <c r="BW250" s="29"/>
      <c r="BX250" s="27"/>
      <c r="BY250" s="27"/>
      <c r="BZ250" s="28" t="str">
        <f aca="false">IF(N(E250)=0,"",IF(E250&lt;65,"Under 65","≥65"))</f>
        <v/>
      </c>
      <c r="CA250" s="28" t="str">
        <f aca="false">IF(OR(AC250="Yes",AC250="No"),AC250,"")</f>
        <v/>
      </c>
      <c r="CB250" s="28" t="str">
        <f aca="false">IF(OR(AD250="Yes",AD250="No"),AD250,"")</f>
        <v/>
      </c>
      <c r="CC250" s="28" t="str">
        <f aca="false">IF(F250="","",F250)</f>
        <v/>
      </c>
      <c r="CD250" s="27"/>
      <c r="CE250" s="27"/>
    </row>
    <row r="251" customFormat="false" ht="15" hidden="false" customHeight="false" outlineLevel="0" collapsed="false">
      <c r="A251" s="27"/>
      <c r="B251" s="27"/>
      <c r="C251" s="27"/>
      <c r="D251" s="27"/>
      <c r="E251" s="27"/>
      <c r="F251" s="27"/>
      <c r="G251" s="27"/>
      <c r="H251" s="27"/>
      <c r="I251" s="27"/>
      <c r="J251" s="28" t="str">
        <f aca="false">IF(AND(N(H251)&gt;0,N(I251)&gt;0),ROUND(I251/(H251/100)^2,1),"")</f>
        <v/>
      </c>
      <c r="K251" s="27"/>
      <c r="L251" s="27"/>
      <c r="M251" s="27"/>
      <c r="N251" s="27"/>
      <c r="O251" s="27"/>
      <c r="P251" s="27"/>
      <c r="Q251" s="27"/>
      <c r="R251" s="29"/>
      <c r="S251" s="29"/>
      <c r="T251" s="27"/>
      <c r="U251" s="28" t="str">
        <f aca="false">IF(N(T251)=0,"",IF(T251&lt;12,"Under 12 months",IF(T251&lt;36,"12-35 months",IF(T251&lt;60,"36-59 months","≥60 months"))))</f>
        <v/>
      </c>
      <c r="V251" s="27"/>
      <c r="W251" s="30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9"/>
      <c r="AT251" s="30"/>
      <c r="AU251" s="30"/>
      <c r="AV251" s="30"/>
      <c r="AW251" s="27"/>
      <c r="AX251" s="27"/>
      <c r="AY251" s="29"/>
      <c r="AZ251" s="27"/>
      <c r="BA251" s="27"/>
      <c r="BB251" s="29"/>
      <c r="BC251" s="30"/>
      <c r="BD251" s="30"/>
      <c r="BE251" s="30"/>
      <c r="BF251" s="27"/>
      <c r="BG251" s="27"/>
      <c r="BH251" s="28" t="str">
        <f aca="false">IF(COUNT(BC251:BE251)=0,"",IF(MIN(BC251:BE251)&lt;=-2.5,"Yes","No"))</f>
        <v/>
      </c>
      <c r="BI251" s="27"/>
      <c r="BJ251" s="29"/>
      <c r="BK251" s="27"/>
      <c r="BL251" s="27"/>
      <c r="BM251" s="27"/>
      <c r="BN251" s="28" t="str">
        <f aca="false">IF(OR(AX251="Yes",BI251="Yes"),"Yes",IF(AND(AX251="No",BI251="No"),"No",IF(AND(AX251="",BI251=""),"","Unknown")))</f>
        <v/>
      </c>
      <c r="BO251" s="31" t="str">
        <f aca="false">IF(COUNT(AY251,BJ251)=0,"",MIN(AY251,BJ251))</f>
        <v/>
      </c>
      <c r="BP251" s="29"/>
      <c r="BQ251" s="29"/>
      <c r="BR251" s="29"/>
      <c r="BS251" s="28" t="str">
        <f aca="false">IF(AND(N(BP251)&gt;0,N(BR251)&gt;0),BR251-BP251,"")</f>
        <v/>
      </c>
      <c r="BT251" s="28" t="str">
        <f aca="false">IF(BS251="","",ROUND(BS251/365.25,2))</f>
        <v/>
      </c>
      <c r="BU251" s="28" t="str">
        <f aca="false">IF(BS251="","",IF(BS251&gt;=730.5,"Yes","No"))</f>
        <v/>
      </c>
      <c r="BV251" s="27"/>
      <c r="BW251" s="29"/>
      <c r="BX251" s="27"/>
      <c r="BY251" s="27"/>
      <c r="BZ251" s="28" t="str">
        <f aca="false">IF(N(E251)=0,"",IF(E251&lt;65,"Under 65","≥65"))</f>
        <v/>
      </c>
      <c r="CA251" s="28" t="str">
        <f aca="false">IF(OR(AC251="Yes",AC251="No"),AC251,"")</f>
        <v/>
      </c>
      <c r="CB251" s="28" t="str">
        <f aca="false">IF(OR(AD251="Yes",AD251="No"),AD251,"")</f>
        <v/>
      </c>
      <c r="CC251" s="28" t="str">
        <f aca="false">IF(F251="","",F251)</f>
        <v/>
      </c>
      <c r="CD251" s="27"/>
      <c r="CE251" s="27"/>
    </row>
    <row r="252" customFormat="false" ht="15" hidden="false" customHeight="false" outlineLevel="0" collapsed="false">
      <c r="A252" s="27"/>
      <c r="B252" s="27"/>
      <c r="C252" s="27"/>
      <c r="D252" s="27"/>
      <c r="E252" s="27"/>
      <c r="F252" s="27"/>
      <c r="G252" s="27"/>
      <c r="H252" s="27"/>
      <c r="I252" s="27"/>
      <c r="J252" s="28" t="str">
        <f aca="false">IF(AND(N(H252)&gt;0,N(I252)&gt;0),ROUND(I252/(H252/100)^2,1),"")</f>
        <v/>
      </c>
      <c r="K252" s="27"/>
      <c r="L252" s="27"/>
      <c r="M252" s="27"/>
      <c r="N252" s="27"/>
      <c r="O252" s="27"/>
      <c r="P252" s="27"/>
      <c r="Q252" s="27"/>
      <c r="R252" s="29"/>
      <c r="S252" s="29"/>
      <c r="T252" s="27"/>
      <c r="U252" s="28" t="str">
        <f aca="false">IF(N(T252)=0,"",IF(T252&lt;12,"Under 12 months",IF(T252&lt;36,"12-35 months",IF(T252&lt;60,"36-59 months","≥60 months"))))</f>
        <v/>
      </c>
      <c r="V252" s="27"/>
      <c r="W252" s="30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9"/>
      <c r="AT252" s="30"/>
      <c r="AU252" s="30"/>
      <c r="AV252" s="30"/>
      <c r="AW252" s="27"/>
      <c r="AX252" s="27"/>
      <c r="AY252" s="29"/>
      <c r="AZ252" s="27"/>
      <c r="BA252" s="27"/>
      <c r="BB252" s="29"/>
      <c r="BC252" s="30"/>
      <c r="BD252" s="30"/>
      <c r="BE252" s="30"/>
      <c r="BF252" s="27"/>
      <c r="BG252" s="27"/>
      <c r="BH252" s="28" t="str">
        <f aca="false">IF(COUNT(BC252:BE252)=0,"",IF(MIN(BC252:BE252)&lt;=-2.5,"Yes","No"))</f>
        <v/>
      </c>
      <c r="BI252" s="27"/>
      <c r="BJ252" s="29"/>
      <c r="BK252" s="27"/>
      <c r="BL252" s="27"/>
      <c r="BM252" s="27"/>
      <c r="BN252" s="28" t="str">
        <f aca="false">IF(OR(AX252="Yes",BI252="Yes"),"Yes",IF(AND(AX252="No",BI252="No"),"No",IF(AND(AX252="",BI252=""),"","Unknown")))</f>
        <v/>
      </c>
      <c r="BO252" s="31" t="str">
        <f aca="false">IF(COUNT(AY252,BJ252)=0,"",MIN(AY252,BJ252))</f>
        <v/>
      </c>
      <c r="BP252" s="29"/>
      <c r="BQ252" s="29"/>
      <c r="BR252" s="29"/>
      <c r="BS252" s="28" t="str">
        <f aca="false">IF(AND(N(BP252)&gt;0,N(BR252)&gt;0),BR252-BP252,"")</f>
        <v/>
      </c>
      <c r="BT252" s="28" t="str">
        <f aca="false">IF(BS252="","",ROUND(BS252/365.25,2))</f>
        <v/>
      </c>
      <c r="BU252" s="28" t="str">
        <f aca="false">IF(BS252="","",IF(BS252&gt;=730.5,"Yes","No"))</f>
        <v/>
      </c>
      <c r="BV252" s="27"/>
      <c r="BW252" s="29"/>
      <c r="BX252" s="27"/>
      <c r="BY252" s="27"/>
      <c r="BZ252" s="28" t="str">
        <f aca="false">IF(N(E252)=0,"",IF(E252&lt;65,"Under 65","≥65"))</f>
        <v/>
      </c>
      <c r="CA252" s="28" t="str">
        <f aca="false">IF(OR(AC252="Yes",AC252="No"),AC252,"")</f>
        <v/>
      </c>
      <c r="CB252" s="28" t="str">
        <f aca="false">IF(OR(AD252="Yes",AD252="No"),AD252,"")</f>
        <v/>
      </c>
      <c r="CC252" s="28" t="str">
        <f aca="false">IF(F252="","",F252)</f>
        <v/>
      </c>
      <c r="CD252" s="27"/>
      <c r="CE252" s="27"/>
    </row>
    <row r="253" customFormat="false" ht="15" hidden="false" customHeight="false" outlineLevel="0" collapsed="false">
      <c r="A253" s="27"/>
      <c r="B253" s="27"/>
      <c r="C253" s="27"/>
      <c r="D253" s="27"/>
      <c r="E253" s="27"/>
      <c r="F253" s="27"/>
      <c r="G253" s="27"/>
      <c r="H253" s="27"/>
      <c r="I253" s="27"/>
      <c r="J253" s="28" t="str">
        <f aca="false">IF(AND(N(H253)&gt;0,N(I253)&gt;0),ROUND(I253/(H253/100)^2,1),"")</f>
        <v/>
      </c>
      <c r="K253" s="27"/>
      <c r="L253" s="27"/>
      <c r="M253" s="27"/>
      <c r="N253" s="27"/>
      <c r="O253" s="27"/>
      <c r="P253" s="27"/>
      <c r="Q253" s="27"/>
      <c r="R253" s="29"/>
      <c r="S253" s="29"/>
      <c r="T253" s="27"/>
      <c r="U253" s="28" t="str">
        <f aca="false">IF(N(T253)=0,"",IF(T253&lt;12,"Under 12 months",IF(T253&lt;36,"12-35 months",IF(T253&lt;60,"36-59 months","≥60 months"))))</f>
        <v/>
      </c>
      <c r="V253" s="27"/>
      <c r="W253" s="30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9"/>
      <c r="AT253" s="30"/>
      <c r="AU253" s="30"/>
      <c r="AV253" s="30"/>
      <c r="AW253" s="27"/>
      <c r="AX253" s="27"/>
      <c r="AY253" s="29"/>
      <c r="AZ253" s="27"/>
      <c r="BA253" s="27"/>
      <c r="BB253" s="29"/>
      <c r="BC253" s="30"/>
      <c r="BD253" s="30"/>
      <c r="BE253" s="30"/>
      <c r="BF253" s="27"/>
      <c r="BG253" s="27"/>
      <c r="BH253" s="28" t="str">
        <f aca="false">IF(COUNT(BC253:BE253)=0,"",IF(MIN(BC253:BE253)&lt;=-2.5,"Yes","No"))</f>
        <v/>
      </c>
      <c r="BI253" s="27"/>
      <c r="BJ253" s="29"/>
      <c r="BK253" s="27"/>
      <c r="BL253" s="27"/>
      <c r="BM253" s="27"/>
      <c r="BN253" s="28" t="str">
        <f aca="false">IF(OR(AX253="Yes",BI253="Yes"),"Yes",IF(AND(AX253="No",BI253="No"),"No",IF(AND(AX253="",BI253=""),"","Unknown")))</f>
        <v/>
      </c>
      <c r="BO253" s="31" t="str">
        <f aca="false">IF(COUNT(AY253,BJ253)=0,"",MIN(AY253,BJ253))</f>
        <v/>
      </c>
      <c r="BP253" s="29"/>
      <c r="BQ253" s="29"/>
      <c r="BR253" s="29"/>
      <c r="BS253" s="28" t="str">
        <f aca="false">IF(AND(N(BP253)&gt;0,N(BR253)&gt;0),BR253-BP253,"")</f>
        <v/>
      </c>
      <c r="BT253" s="28" t="str">
        <f aca="false">IF(BS253="","",ROUND(BS253/365.25,2))</f>
        <v/>
      </c>
      <c r="BU253" s="28" t="str">
        <f aca="false">IF(BS253="","",IF(BS253&gt;=730.5,"Yes","No"))</f>
        <v/>
      </c>
      <c r="BV253" s="27"/>
      <c r="BW253" s="29"/>
      <c r="BX253" s="27"/>
      <c r="BY253" s="27"/>
      <c r="BZ253" s="28" t="str">
        <f aca="false">IF(N(E253)=0,"",IF(E253&lt;65,"Under 65","≥65"))</f>
        <v/>
      </c>
      <c r="CA253" s="28" t="str">
        <f aca="false">IF(OR(AC253="Yes",AC253="No"),AC253,"")</f>
        <v/>
      </c>
      <c r="CB253" s="28" t="str">
        <f aca="false">IF(OR(AD253="Yes",AD253="No"),AD253,"")</f>
        <v/>
      </c>
      <c r="CC253" s="28" t="str">
        <f aca="false">IF(F253="","",F253)</f>
        <v/>
      </c>
      <c r="CD253" s="27"/>
      <c r="CE253" s="27"/>
    </row>
    <row r="254" customFormat="false" ht="15" hidden="false" customHeight="false" outlineLevel="0" collapsed="false">
      <c r="A254" s="27"/>
      <c r="B254" s="27"/>
      <c r="C254" s="27"/>
      <c r="D254" s="27"/>
      <c r="E254" s="27"/>
      <c r="F254" s="27"/>
      <c r="G254" s="27"/>
      <c r="H254" s="27"/>
      <c r="I254" s="27"/>
      <c r="J254" s="28" t="str">
        <f aca="false">IF(AND(N(H254)&gt;0,N(I254)&gt;0),ROUND(I254/(H254/100)^2,1),"")</f>
        <v/>
      </c>
      <c r="K254" s="27"/>
      <c r="L254" s="27"/>
      <c r="M254" s="27"/>
      <c r="N254" s="27"/>
      <c r="O254" s="27"/>
      <c r="P254" s="27"/>
      <c r="Q254" s="27"/>
      <c r="R254" s="29"/>
      <c r="S254" s="29"/>
      <c r="T254" s="27"/>
      <c r="U254" s="28" t="str">
        <f aca="false">IF(N(T254)=0,"",IF(T254&lt;12,"Under 12 months",IF(T254&lt;36,"12-35 months",IF(T254&lt;60,"36-59 months","≥60 months"))))</f>
        <v/>
      </c>
      <c r="V254" s="27"/>
      <c r="W254" s="30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9"/>
      <c r="AT254" s="30"/>
      <c r="AU254" s="30"/>
      <c r="AV254" s="30"/>
      <c r="AW254" s="27"/>
      <c r="AX254" s="27"/>
      <c r="AY254" s="29"/>
      <c r="AZ254" s="27"/>
      <c r="BA254" s="27"/>
      <c r="BB254" s="29"/>
      <c r="BC254" s="30"/>
      <c r="BD254" s="30"/>
      <c r="BE254" s="30"/>
      <c r="BF254" s="27"/>
      <c r="BG254" s="27"/>
      <c r="BH254" s="28" t="str">
        <f aca="false">IF(COUNT(BC254:BE254)=0,"",IF(MIN(BC254:BE254)&lt;=-2.5,"Yes","No"))</f>
        <v/>
      </c>
      <c r="BI254" s="27"/>
      <c r="BJ254" s="29"/>
      <c r="BK254" s="27"/>
      <c r="BL254" s="27"/>
      <c r="BM254" s="27"/>
      <c r="BN254" s="28" t="str">
        <f aca="false">IF(OR(AX254="Yes",BI254="Yes"),"Yes",IF(AND(AX254="No",BI254="No"),"No",IF(AND(AX254="",BI254=""),"","Unknown")))</f>
        <v/>
      </c>
      <c r="BO254" s="31" t="str">
        <f aca="false">IF(COUNT(AY254,BJ254)=0,"",MIN(AY254,BJ254))</f>
        <v/>
      </c>
      <c r="BP254" s="29"/>
      <c r="BQ254" s="29"/>
      <c r="BR254" s="29"/>
      <c r="BS254" s="28" t="str">
        <f aca="false">IF(AND(N(BP254)&gt;0,N(BR254)&gt;0),BR254-BP254,"")</f>
        <v/>
      </c>
      <c r="BT254" s="28" t="str">
        <f aca="false">IF(BS254="","",ROUND(BS254/365.25,2))</f>
        <v/>
      </c>
      <c r="BU254" s="28" t="str">
        <f aca="false">IF(BS254="","",IF(BS254&gt;=730.5,"Yes","No"))</f>
        <v/>
      </c>
      <c r="BV254" s="27"/>
      <c r="BW254" s="29"/>
      <c r="BX254" s="27"/>
      <c r="BY254" s="27"/>
      <c r="BZ254" s="28" t="str">
        <f aca="false">IF(N(E254)=0,"",IF(E254&lt;65,"Under 65","≥65"))</f>
        <v/>
      </c>
      <c r="CA254" s="28" t="str">
        <f aca="false">IF(OR(AC254="Yes",AC254="No"),AC254,"")</f>
        <v/>
      </c>
      <c r="CB254" s="28" t="str">
        <f aca="false">IF(OR(AD254="Yes",AD254="No"),AD254,"")</f>
        <v/>
      </c>
      <c r="CC254" s="28" t="str">
        <f aca="false">IF(F254="","",F254)</f>
        <v/>
      </c>
      <c r="CD254" s="27"/>
      <c r="CE254" s="27"/>
    </row>
    <row r="255" customFormat="false" ht="15" hidden="false" customHeight="false" outlineLevel="0" collapsed="false">
      <c r="A255" s="27"/>
      <c r="B255" s="27"/>
      <c r="C255" s="27"/>
      <c r="D255" s="27"/>
      <c r="E255" s="27"/>
      <c r="F255" s="27"/>
      <c r="G255" s="27"/>
      <c r="H255" s="27"/>
      <c r="I255" s="27"/>
      <c r="J255" s="28" t="str">
        <f aca="false">IF(AND(N(H255)&gt;0,N(I255)&gt;0),ROUND(I255/(H255/100)^2,1),"")</f>
        <v/>
      </c>
      <c r="K255" s="27"/>
      <c r="L255" s="27"/>
      <c r="M255" s="27"/>
      <c r="N255" s="27"/>
      <c r="O255" s="27"/>
      <c r="P255" s="27"/>
      <c r="Q255" s="27"/>
      <c r="R255" s="29"/>
      <c r="S255" s="29"/>
      <c r="T255" s="27"/>
      <c r="U255" s="28" t="str">
        <f aca="false">IF(N(T255)=0,"",IF(T255&lt;12,"Under 12 months",IF(T255&lt;36,"12-35 months",IF(T255&lt;60,"36-59 months","≥60 months"))))</f>
        <v/>
      </c>
      <c r="V255" s="27"/>
      <c r="W255" s="30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9"/>
      <c r="AT255" s="30"/>
      <c r="AU255" s="30"/>
      <c r="AV255" s="30"/>
      <c r="AW255" s="27"/>
      <c r="AX255" s="27"/>
      <c r="AY255" s="29"/>
      <c r="AZ255" s="27"/>
      <c r="BA255" s="27"/>
      <c r="BB255" s="29"/>
      <c r="BC255" s="30"/>
      <c r="BD255" s="30"/>
      <c r="BE255" s="30"/>
      <c r="BF255" s="27"/>
      <c r="BG255" s="27"/>
      <c r="BH255" s="28" t="str">
        <f aca="false">IF(COUNT(BC255:BE255)=0,"",IF(MIN(BC255:BE255)&lt;=-2.5,"Yes","No"))</f>
        <v/>
      </c>
      <c r="BI255" s="27"/>
      <c r="BJ255" s="29"/>
      <c r="BK255" s="27"/>
      <c r="BL255" s="27"/>
      <c r="BM255" s="27"/>
      <c r="BN255" s="28" t="str">
        <f aca="false">IF(OR(AX255="Yes",BI255="Yes"),"Yes",IF(AND(AX255="No",BI255="No"),"No",IF(AND(AX255="",BI255=""),"","Unknown")))</f>
        <v/>
      </c>
      <c r="BO255" s="31" t="str">
        <f aca="false">IF(COUNT(AY255,BJ255)=0,"",MIN(AY255,BJ255))</f>
        <v/>
      </c>
      <c r="BP255" s="29"/>
      <c r="BQ255" s="29"/>
      <c r="BR255" s="29"/>
      <c r="BS255" s="28" t="str">
        <f aca="false">IF(AND(N(BP255)&gt;0,N(BR255)&gt;0),BR255-BP255,"")</f>
        <v/>
      </c>
      <c r="BT255" s="28" t="str">
        <f aca="false">IF(BS255="","",ROUND(BS255/365.25,2))</f>
        <v/>
      </c>
      <c r="BU255" s="28" t="str">
        <f aca="false">IF(BS255="","",IF(BS255&gt;=730.5,"Yes","No"))</f>
        <v/>
      </c>
      <c r="BV255" s="27"/>
      <c r="BW255" s="29"/>
      <c r="BX255" s="27"/>
      <c r="BY255" s="27"/>
      <c r="BZ255" s="28" t="str">
        <f aca="false">IF(N(E255)=0,"",IF(E255&lt;65,"Under 65","≥65"))</f>
        <v/>
      </c>
      <c r="CA255" s="28" t="str">
        <f aca="false">IF(OR(AC255="Yes",AC255="No"),AC255,"")</f>
        <v/>
      </c>
      <c r="CB255" s="28" t="str">
        <f aca="false">IF(OR(AD255="Yes",AD255="No"),AD255,"")</f>
        <v/>
      </c>
      <c r="CC255" s="28" t="str">
        <f aca="false">IF(F255="","",F255)</f>
        <v/>
      </c>
      <c r="CD255" s="27"/>
      <c r="CE255" s="27"/>
    </row>
    <row r="256" customFormat="false" ht="15" hidden="false" customHeight="false" outlineLevel="0" collapsed="false">
      <c r="A256" s="27"/>
      <c r="B256" s="27"/>
      <c r="C256" s="27"/>
      <c r="D256" s="27"/>
      <c r="E256" s="27"/>
      <c r="F256" s="27"/>
      <c r="G256" s="27"/>
      <c r="H256" s="27"/>
      <c r="I256" s="27"/>
      <c r="J256" s="28" t="str">
        <f aca="false">IF(AND(N(H256)&gt;0,N(I256)&gt;0),ROUND(I256/(H256/100)^2,1),"")</f>
        <v/>
      </c>
      <c r="K256" s="27"/>
      <c r="L256" s="27"/>
      <c r="M256" s="27"/>
      <c r="N256" s="27"/>
      <c r="O256" s="27"/>
      <c r="P256" s="27"/>
      <c r="Q256" s="27"/>
      <c r="R256" s="29"/>
      <c r="S256" s="29"/>
      <c r="T256" s="27"/>
      <c r="U256" s="28" t="str">
        <f aca="false">IF(N(T256)=0,"",IF(T256&lt;12,"Under 12 months",IF(T256&lt;36,"12-35 months",IF(T256&lt;60,"36-59 months","≥60 months"))))</f>
        <v/>
      </c>
      <c r="V256" s="27"/>
      <c r="W256" s="30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9"/>
      <c r="AT256" s="30"/>
      <c r="AU256" s="30"/>
      <c r="AV256" s="30"/>
      <c r="AW256" s="27"/>
      <c r="AX256" s="27"/>
      <c r="AY256" s="29"/>
      <c r="AZ256" s="27"/>
      <c r="BA256" s="27"/>
      <c r="BB256" s="29"/>
      <c r="BC256" s="30"/>
      <c r="BD256" s="30"/>
      <c r="BE256" s="30"/>
      <c r="BF256" s="27"/>
      <c r="BG256" s="27"/>
      <c r="BH256" s="28" t="str">
        <f aca="false">IF(COUNT(BC256:BE256)=0,"",IF(MIN(BC256:BE256)&lt;=-2.5,"Yes","No"))</f>
        <v/>
      </c>
      <c r="BI256" s="27"/>
      <c r="BJ256" s="29"/>
      <c r="BK256" s="27"/>
      <c r="BL256" s="27"/>
      <c r="BM256" s="27"/>
      <c r="BN256" s="28" t="str">
        <f aca="false">IF(OR(AX256="Yes",BI256="Yes"),"Yes",IF(AND(AX256="No",BI256="No"),"No",IF(AND(AX256="",BI256=""),"","Unknown")))</f>
        <v/>
      </c>
      <c r="BO256" s="31" t="str">
        <f aca="false">IF(COUNT(AY256,BJ256)=0,"",MIN(AY256,BJ256))</f>
        <v/>
      </c>
      <c r="BP256" s="29"/>
      <c r="BQ256" s="29"/>
      <c r="BR256" s="29"/>
      <c r="BS256" s="28" t="str">
        <f aca="false">IF(AND(N(BP256)&gt;0,N(BR256)&gt;0),BR256-BP256,"")</f>
        <v/>
      </c>
      <c r="BT256" s="28" t="str">
        <f aca="false">IF(BS256="","",ROUND(BS256/365.25,2))</f>
        <v/>
      </c>
      <c r="BU256" s="28" t="str">
        <f aca="false">IF(BS256="","",IF(BS256&gt;=730.5,"Yes","No"))</f>
        <v/>
      </c>
      <c r="BV256" s="27"/>
      <c r="BW256" s="29"/>
      <c r="BX256" s="27"/>
      <c r="BY256" s="27"/>
      <c r="BZ256" s="28" t="str">
        <f aca="false">IF(N(E256)=0,"",IF(E256&lt;65,"Under 65","≥65"))</f>
        <v/>
      </c>
      <c r="CA256" s="28" t="str">
        <f aca="false">IF(OR(AC256="Yes",AC256="No"),AC256,"")</f>
        <v/>
      </c>
      <c r="CB256" s="28" t="str">
        <f aca="false">IF(OR(AD256="Yes",AD256="No"),AD256,"")</f>
        <v/>
      </c>
      <c r="CC256" s="28" t="str">
        <f aca="false">IF(F256="","",F256)</f>
        <v/>
      </c>
      <c r="CD256" s="27"/>
      <c r="CE256" s="27"/>
    </row>
    <row r="257" customFormat="false" ht="15" hidden="false" customHeight="false" outlineLevel="0" collapsed="false">
      <c r="A257" s="27"/>
      <c r="B257" s="27"/>
      <c r="C257" s="27"/>
      <c r="D257" s="27"/>
      <c r="E257" s="27"/>
      <c r="F257" s="27"/>
      <c r="G257" s="27"/>
      <c r="H257" s="27"/>
      <c r="I257" s="27"/>
      <c r="J257" s="28" t="str">
        <f aca="false">IF(AND(N(H257)&gt;0,N(I257)&gt;0),ROUND(I257/(H257/100)^2,1),"")</f>
        <v/>
      </c>
      <c r="K257" s="27"/>
      <c r="L257" s="27"/>
      <c r="M257" s="27"/>
      <c r="N257" s="27"/>
      <c r="O257" s="27"/>
      <c r="P257" s="27"/>
      <c r="Q257" s="27"/>
      <c r="R257" s="29"/>
      <c r="S257" s="29"/>
      <c r="T257" s="27"/>
      <c r="U257" s="28" t="str">
        <f aca="false">IF(N(T257)=0,"",IF(T257&lt;12,"Under 12 months",IF(T257&lt;36,"12-35 months",IF(T257&lt;60,"36-59 months","≥60 months"))))</f>
        <v/>
      </c>
      <c r="V257" s="27"/>
      <c r="W257" s="30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9"/>
      <c r="AT257" s="30"/>
      <c r="AU257" s="30"/>
      <c r="AV257" s="30"/>
      <c r="AW257" s="27"/>
      <c r="AX257" s="27"/>
      <c r="AY257" s="29"/>
      <c r="AZ257" s="27"/>
      <c r="BA257" s="27"/>
      <c r="BB257" s="29"/>
      <c r="BC257" s="30"/>
      <c r="BD257" s="30"/>
      <c r="BE257" s="30"/>
      <c r="BF257" s="27"/>
      <c r="BG257" s="27"/>
      <c r="BH257" s="28" t="str">
        <f aca="false">IF(COUNT(BC257:BE257)=0,"",IF(MIN(BC257:BE257)&lt;=-2.5,"Yes","No"))</f>
        <v/>
      </c>
      <c r="BI257" s="27"/>
      <c r="BJ257" s="29"/>
      <c r="BK257" s="27"/>
      <c r="BL257" s="27"/>
      <c r="BM257" s="27"/>
      <c r="BN257" s="28" t="str">
        <f aca="false">IF(OR(AX257="Yes",BI257="Yes"),"Yes",IF(AND(AX257="No",BI257="No"),"No",IF(AND(AX257="",BI257=""),"","Unknown")))</f>
        <v/>
      </c>
      <c r="BO257" s="31" t="str">
        <f aca="false">IF(COUNT(AY257,BJ257)=0,"",MIN(AY257,BJ257))</f>
        <v/>
      </c>
      <c r="BP257" s="29"/>
      <c r="BQ257" s="29"/>
      <c r="BR257" s="29"/>
      <c r="BS257" s="28" t="str">
        <f aca="false">IF(AND(N(BP257)&gt;0,N(BR257)&gt;0),BR257-BP257,"")</f>
        <v/>
      </c>
      <c r="BT257" s="28" t="str">
        <f aca="false">IF(BS257="","",ROUND(BS257/365.25,2))</f>
        <v/>
      </c>
      <c r="BU257" s="28" t="str">
        <f aca="false">IF(BS257="","",IF(BS257&gt;=730.5,"Yes","No"))</f>
        <v/>
      </c>
      <c r="BV257" s="27"/>
      <c r="BW257" s="29"/>
      <c r="BX257" s="27"/>
      <c r="BY257" s="27"/>
      <c r="BZ257" s="28" t="str">
        <f aca="false">IF(N(E257)=0,"",IF(E257&lt;65,"Under 65","≥65"))</f>
        <v/>
      </c>
      <c r="CA257" s="28" t="str">
        <f aca="false">IF(OR(AC257="Yes",AC257="No"),AC257,"")</f>
        <v/>
      </c>
      <c r="CB257" s="28" t="str">
        <f aca="false">IF(OR(AD257="Yes",AD257="No"),AD257,"")</f>
        <v/>
      </c>
      <c r="CC257" s="28" t="str">
        <f aca="false">IF(F257="","",F257)</f>
        <v/>
      </c>
      <c r="CD257" s="27"/>
      <c r="CE257" s="27"/>
    </row>
    <row r="258" customFormat="false" ht="15" hidden="false" customHeight="false" outlineLevel="0" collapsed="false">
      <c r="A258" s="27"/>
      <c r="B258" s="27"/>
      <c r="C258" s="27"/>
      <c r="D258" s="27"/>
      <c r="E258" s="27"/>
      <c r="F258" s="27"/>
      <c r="G258" s="27"/>
      <c r="H258" s="27"/>
      <c r="I258" s="27"/>
      <c r="J258" s="28" t="str">
        <f aca="false">IF(AND(N(H258)&gt;0,N(I258)&gt;0),ROUND(I258/(H258/100)^2,1),"")</f>
        <v/>
      </c>
      <c r="K258" s="27"/>
      <c r="L258" s="27"/>
      <c r="M258" s="27"/>
      <c r="N258" s="27"/>
      <c r="O258" s="27"/>
      <c r="P258" s="27"/>
      <c r="Q258" s="27"/>
      <c r="R258" s="29"/>
      <c r="S258" s="29"/>
      <c r="T258" s="27"/>
      <c r="U258" s="28" t="str">
        <f aca="false">IF(N(T258)=0,"",IF(T258&lt;12,"Under 12 months",IF(T258&lt;36,"12-35 months",IF(T258&lt;60,"36-59 months","≥60 months"))))</f>
        <v/>
      </c>
      <c r="V258" s="27"/>
      <c r="W258" s="30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9"/>
      <c r="AT258" s="30"/>
      <c r="AU258" s="30"/>
      <c r="AV258" s="30"/>
      <c r="AW258" s="27"/>
      <c r="AX258" s="27"/>
      <c r="AY258" s="29"/>
      <c r="AZ258" s="27"/>
      <c r="BA258" s="27"/>
      <c r="BB258" s="29"/>
      <c r="BC258" s="30"/>
      <c r="BD258" s="30"/>
      <c r="BE258" s="30"/>
      <c r="BF258" s="27"/>
      <c r="BG258" s="27"/>
      <c r="BH258" s="28" t="str">
        <f aca="false">IF(COUNT(BC258:BE258)=0,"",IF(MIN(BC258:BE258)&lt;=-2.5,"Yes","No"))</f>
        <v/>
      </c>
      <c r="BI258" s="27"/>
      <c r="BJ258" s="29"/>
      <c r="BK258" s="27"/>
      <c r="BL258" s="27"/>
      <c r="BM258" s="27"/>
      <c r="BN258" s="28" t="str">
        <f aca="false">IF(OR(AX258="Yes",BI258="Yes"),"Yes",IF(AND(AX258="No",BI258="No"),"No",IF(AND(AX258="",BI258=""),"","Unknown")))</f>
        <v/>
      </c>
      <c r="BO258" s="31" t="str">
        <f aca="false">IF(COUNT(AY258,BJ258)=0,"",MIN(AY258,BJ258))</f>
        <v/>
      </c>
      <c r="BP258" s="29"/>
      <c r="BQ258" s="29"/>
      <c r="BR258" s="29"/>
      <c r="BS258" s="28" t="str">
        <f aca="false">IF(AND(N(BP258)&gt;0,N(BR258)&gt;0),BR258-BP258,"")</f>
        <v/>
      </c>
      <c r="BT258" s="28" t="str">
        <f aca="false">IF(BS258="","",ROUND(BS258/365.25,2))</f>
        <v/>
      </c>
      <c r="BU258" s="28" t="str">
        <f aca="false">IF(BS258="","",IF(BS258&gt;=730.5,"Yes","No"))</f>
        <v/>
      </c>
      <c r="BV258" s="27"/>
      <c r="BW258" s="29"/>
      <c r="BX258" s="27"/>
      <c r="BY258" s="27"/>
      <c r="BZ258" s="28" t="str">
        <f aca="false">IF(N(E258)=0,"",IF(E258&lt;65,"Under 65","≥65"))</f>
        <v/>
      </c>
      <c r="CA258" s="28" t="str">
        <f aca="false">IF(OR(AC258="Yes",AC258="No"),AC258,"")</f>
        <v/>
      </c>
      <c r="CB258" s="28" t="str">
        <f aca="false">IF(OR(AD258="Yes",AD258="No"),AD258,"")</f>
        <v/>
      </c>
      <c r="CC258" s="28" t="str">
        <f aca="false">IF(F258="","",F258)</f>
        <v/>
      </c>
      <c r="CD258" s="27"/>
      <c r="CE258" s="27"/>
    </row>
    <row r="259" customFormat="false" ht="15" hidden="false" customHeight="false" outlineLevel="0" collapsed="false">
      <c r="A259" s="27"/>
      <c r="B259" s="27"/>
      <c r="C259" s="27"/>
      <c r="D259" s="27"/>
      <c r="E259" s="27"/>
      <c r="F259" s="27"/>
      <c r="G259" s="27"/>
      <c r="H259" s="27"/>
      <c r="I259" s="27"/>
      <c r="J259" s="28" t="str">
        <f aca="false">IF(AND(N(H259)&gt;0,N(I259)&gt;0),ROUND(I259/(H259/100)^2,1),"")</f>
        <v/>
      </c>
      <c r="K259" s="27"/>
      <c r="L259" s="27"/>
      <c r="M259" s="27"/>
      <c r="N259" s="27"/>
      <c r="O259" s="27"/>
      <c r="P259" s="27"/>
      <c r="Q259" s="27"/>
      <c r="R259" s="29"/>
      <c r="S259" s="29"/>
      <c r="T259" s="27"/>
      <c r="U259" s="28" t="str">
        <f aca="false">IF(N(T259)=0,"",IF(T259&lt;12,"Under 12 months",IF(T259&lt;36,"12-35 months",IF(T259&lt;60,"36-59 months","≥60 months"))))</f>
        <v/>
      </c>
      <c r="V259" s="27"/>
      <c r="W259" s="30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9"/>
      <c r="AT259" s="30"/>
      <c r="AU259" s="30"/>
      <c r="AV259" s="30"/>
      <c r="AW259" s="27"/>
      <c r="AX259" s="27"/>
      <c r="AY259" s="29"/>
      <c r="AZ259" s="27"/>
      <c r="BA259" s="27"/>
      <c r="BB259" s="29"/>
      <c r="BC259" s="30"/>
      <c r="BD259" s="30"/>
      <c r="BE259" s="30"/>
      <c r="BF259" s="27"/>
      <c r="BG259" s="27"/>
      <c r="BH259" s="28" t="str">
        <f aca="false">IF(COUNT(BC259:BE259)=0,"",IF(MIN(BC259:BE259)&lt;=-2.5,"Yes","No"))</f>
        <v/>
      </c>
      <c r="BI259" s="27"/>
      <c r="BJ259" s="29"/>
      <c r="BK259" s="27"/>
      <c r="BL259" s="27"/>
      <c r="BM259" s="27"/>
      <c r="BN259" s="28" t="str">
        <f aca="false">IF(OR(AX259="Yes",BI259="Yes"),"Yes",IF(AND(AX259="No",BI259="No"),"No",IF(AND(AX259="",BI259=""),"","Unknown")))</f>
        <v/>
      </c>
      <c r="BO259" s="31" t="str">
        <f aca="false">IF(COUNT(AY259,BJ259)=0,"",MIN(AY259,BJ259))</f>
        <v/>
      </c>
      <c r="BP259" s="29"/>
      <c r="BQ259" s="29"/>
      <c r="BR259" s="29"/>
      <c r="BS259" s="28" t="str">
        <f aca="false">IF(AND(N(BP259)&gt;0,N(BR259)&gt;0),BR259-BP259,"")</f>
        <v/>
      </c>
      <c r="BT259" s="28" t="str">
        <f aca="false">IF(BS259="","",ROUND(BS259/365.25,2))</f>
        <v/>
      </c>
      <c r="BU259" s="28" t="str">
        <f aca="false">IF(BS259="","",IF(BS259&gt;=730.5,"Yes","No"))</f>
        <v/>
      </c>
      <c r="BV259" s="27"/>
      <c r="BW259" s="29"/>
      <c r="BX259" s="27"/>
      <c r="BY259" s="27"/>
      <c r="BZ259" s="28" t="str">
        <f aca="false">IF(N(E259)=0,"",IF(E259&lt;65,"Under 65","≥65"))</f>
        <v/>
      </c>
      <c r="CA259" s="28" t="str">
        <f aca="false">IF(OR(AC259="Yes",AC259="No"),AC259,"")</f>
        <v/>
      </c>
      <c r="CB259" s="28" t="str">
        <f aca="false">IF(OR(AD259="Yes",AD259="No"),AD259,"")</f>
        <v/>
      </c>
      <c r="CC259" s="28" t="str">
        <f aca="false">IF(F259="","",F259)</f>
        <v/>
      </c>
      <c r="CD259" s="27"/>
      <c r="CE259" s="27"/>
    </row>
    <row r="260" customFormat="false" ht="15" hidden="false" customHeight="false" outlineLevel="0" collapsed="false">
      <c r="A260" s="27"/>
      <c r="B260" s="27"/>
      <c r="C260" s="27"/>
      <c r="D260" s="27"/>
      <c r="E260" s="27"/>
      <c r="F260" s="27"/>
      <c r="G260" s="27"/>
      <c r="H260" s="27"/>
      <c r="I260" s="27"/>
      <c r="J260" s="28" t="str">
        <f aca="false">IF(AND(N(H260)&gt;0,N(I260)&gt;0),ROUND(I260/(H260/100)^2,1),"")</f>
        <v/>
      </c>
      <c r="K260" s="27"/>
      <c r="L260" s="27"/>
      <c r="M260" s="27"/>
      <c r="N260" s="27"/>
      <c r="O260" s="27"/>
      <c r="P260" s="27"/>
      <c r="Q260" s="27"/>
      <c r="R260" s="29"/>
      <c r="S260" s="29"/>
      <c r="T260" s="27"/>
      <c r="U260" s="28" t="str">
        <f aca="false">IF(N(T260)=0,"",IF(T260&lt;12,"Under 12 months",IF(T260&lt;36,"12-35 months",IF(T260&lt;60,"36-59 months","≥60 months"))))</f>
        <v/>
      </c>
      <c r="V260" s="27"/>
      <c r="W260" s="30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9"/>
      <c r="AT260" s="30"/>
      <c r="AU260" s="30"/>
      <c r="AV260" s="30"/>
      <c r="AW260" s="27"/>
      <c r="AX260" s="27"/>
      <c r="AY260" s="29"/>
      <c r="AZ260" s="27"/>
      <c r="BA260" s="27"/>
      <c r="BB260" s="29"/>
      <c r="BC260" s="30"/>
      <c r="BD260" s="30"/>
      <c r="BE260" s="30"/>
      <c r="BF260" s="27"/>
      <c r="BG260" s="27"/>
      <c r="BH260" s="28" t="str">
        <f aca="false">IF(COUNT(BC260:BE260)=0,"",IF(MIN(BC260:BE260)&lt;=-2.5,"Yes","No"))</f>
        <v/>
      </c>
      <c r="BI260" s="27"/>
      <c r="BJ260" s="29"/>
      <c r="BK260" s="27"/>
      <c r="BL260" s="27"/>
      <c r="BM260" s="27"/>
      <c r="BN260" s="28" t="str">
        <f aca="false">IF(OR(AX260="Yes",BI260="Yes"),"Yes",IF(AND(AX260="No",BI260="No"),"No",IF(AND(AX260="",BI260=""),"","Unknown")))</f>
        <v/>
      </c>
      <c r="BO260" s="31" t="str">
        <f aca="false">IF(COUNT(AY260,BJ260)=0,"",MIN(AY260,BJ260))</f>
        <v/>
      </c>
      <c r="BP260" s="29"/>
      <c r="BQ260" s="29"/>
      <c r="BR260" s="29"/>
      <c r="BS260" s="28" t="str">
        <f aca="false">IF(AND(N(BP260)&gt;0,N(BR260)&gt;0),BR260-BP260,"")</f>
        <v/>
      </c>
      <c r="BT260" s="28" t="str">
        <f aca="false">IF(BS260="","",ROUND(BS260/365.25,2))</f>
        <v/>
      </c>
      <c r="BU260" s="28" t="str">
        <f aca="false">IF(BS260="","",IF(BS260&gt;=730.5,"Yes","No"))</f>
        <v/>
      </c>
      <c r="BV260" s="27"/>
      <c r="BW260" s="29"/>
      <c r="BX260" s="27"/>
      <c r="BY260" s="27"/>
      <c r="BZ260" s="28" t="str">
        <f aca="false">IF(N(E260)=0,"",IF(E260&lt;65,"Under 65","≥65"))</f>
        <v/>
      </c>
      <c r="CA260" s="28" t="str">
        <f aca="false">IF(OR(AC260="Yes",AC260="No"),AC260,"")</f>
        <v/>
      </c>
      <c r="CB260" s="28" t="str">
        <f aca="false">IF(OR(AD260="Yes",AD260="No"),AD260,"")</f>
        <v/>
      </c>
      <c r="CC260" s="28" t="str">
        <f aca="false">IF(F260="","",F260)</f>
        <v/>
      </c>
      <c r="CD260" s="27"/>
      <c r="CE260" s="27"/>
    </row>
    <row r="261" customFormat="false" ht="15" hidden="false" customHeight="false" outlineLevel="0" collapsed="false">
      <c r="A261" s="27"/>
      <c r="B261" s="27"/>
      <c r="C261" s="27"/>
      <c r="D261" s="27"/>
      <c r="E261" s="27"/>
      <c r="F261" s="27"/>
      <c r="G261" s="27"/>
      <c r="H261" s="27"/>
      <c r="I261" s="27"/>
      <c r="J261" s="28" t="str">
        <f aca="false">IF(AND(N(H261)&gt;0,N(I261)&gt;0),ROUND(I261/(H261/100)^2,1),"")</f>
        <v/>
      </c>
      <c r="K261" s="27"/>
      <c r="L261" s="27"/>
      <c r="M261" s="27"/>
      <c r="N261" s="27"/>
      <c r="O261" s="27"/>
      <c r="P261" s="27"/>
      <c r="Q261" s="27"/>
      <c r="R261" s="29"/>
      <c r="S261" s="29"/>
      <c r="T261" s="27"/>
      <c r="U261" s="28" t="str">
        <f aca="false">IF(N(T261)=0,"",IF(T261&lt;12,"Under 12 months",IF(T261&lt;36,"12-35 months",IF(T261&lt;60,"36-59 months","≥60 months"))))</f>
        <v/>
      </c>
      <c r="V261" s="27"/>
      <c r="W261" s="30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9"/>
      <c r="AT261" s="30"/>
      <c r="AU261" s="30"/>
      <c r="AV261" s="30"/>
      <c r="AW261" s="27"/>
      <c r="AX261" s="27"/>
      <c r="AY261" s="29"/>
      <c r="AZ261" s="27"/>
      <c r="BA261" s="27"/>
      <c r="BB261" s="29"/>
      <c r="BC261" s="30"/>
      <c r="BD261" s="30"/>
      <c r="BE261" s="30"/>
      <c r="BF261" s="27"/>
      <c r="BG261" s="27"/>
      <c r="BH261" s="28" t="str">
        <f aca="false">IF(COUNT(BC261:BE261)=0,"",IF(MIN(BC261:BE261)&lt;=-2.5,"Yes","No"))</f>
        <v/>
      </c>
      <c r="BI261" s="27"/>
      <c r="BJ261" s="29"/>
      <c r="BK261" s="27"/>
      <c r="BL261" s="27"/>
      <c r="BM261" s="27"/>
      <c r="BN261" s="28" t="str">
        <f aca="false">IF(OR(AX261="Yes",BI261="Yes"),"Yes",IF(AND(AX261="No",BI261="No"),"No",IF(AND(AX261="",BI261=""),"","Unknown")))</f>
        <v/>
      </c>
      <c r="BO261" s="31" t="str">
        <f aca="false">IF(COUNT(AY261,BJ261)=0,"",MIN(AY261,BJ261))</f>
        <v/>
      </c>
      <c r="BP261" s="29"/>
      <c r="BQ261" s="29"/>
      <c r="BR261" s="29"/>
      <c r="BS261" s="28" t="str">
        <f aca="false">IF(AND(N(BP261)&gt;0,N(BR261)&gt;0),BR261-BP261,"")</f>
        <v/>
      </c>
      <c r="BT261" s="28" t="str">
        <f aca="false">IF(BS261="","",ROUND(BS261/365.25,2))</f>
        <v/>
      </c>
      <c r="BU261" s="28" t="str">
        <f aca="false">IF(BS261="","",IF(BS261&gt;=730.5,"Yes","No"))</f>
        <v/>
      </c>
      <c r="BV261" s="27"/>
      <c r="BW261" s="29"/>
      <c r="BX261" s="27"/>
      <c r="BY261" s="27"/>
      <c r="BZ261" s="28" t="str">
        <f aca="false">IF(N(E261)=0,"",IF(E261&lt;65,"Under 65","≥65"))</f>
        <v/>
      </c>
      <c r="CA261" s="28" t="str">
        <f aca="false">IF(OR(AC261="Yes",AC261="No"),AC261,"")</f>
        <v/>
      </c>
      <c r="CB261" s="28" t="str">
        <f aca="false">IF(OR(AD261="Yes",AD261="No"),AD261,"")</f>
        <v/>
      </c>
      <c r="CC261" s="28" t="str">
        <f aca="false">IF(F261="","",F261)</f>
        <v/>
      </c>
      <c r="CD261" s="27"/>
      <c r="CE261" s="27"/>
    </row>
    <row r="262" customFormat="false" ht="15" hidden="false" customHeight="false" outlineLevel="0" collapsed="false">
      <c r="A262" s="27"/>
      <c r="B262" s="27"/>
      <c r="C262" s="27"/>
      <c r="D262" s="27"/>
      <c r="E262" s="27"/>
      <c r="F262" s="27"/>
      <c r="G262" s="27"/>
      <c r="H262" s="27"/>
      <c r="I262" s="27"/>
      <c r="J262" s="28" t="str">
        <f aca="false">IF(AND(N(H262)&gt;0,N(I262)&gt;0),ROUND(I262/(H262/100)^2,1),"")</f>
        <v/>
      </c>
      <c r="K262" s="27"/>
      <c r="L262" s="27"/>
      <c r="M262" s="27"/>
      <c r="N262" s="27"/>
      <c r="O262" s="27"/>
      <c r="P262" s="27"/>
      <c r="Q262" s="27"/>
      <c r="R262" s="29"/>
      <c r="S262" s="29"/>
      <c r="T262" s="27"/>
      <c r="U262" s="28" t="str">
        <f aca="false">IF(N(T262)=0,"",IF(T262&lt;12,"Under 12 months",IF(T262&lt;36,"12-35 months",IF(T262&lt;60,"36-59 months","≥60 months"))))</f>
        <v/>
      </c>
      <c r="V262" s="27"/>
      <c r="W262" s="30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9"/>
      <c r="AT262" s="30"/>
      <c r="AU262" s="30"/>
      <c r="AV262" s="30"/>
      <c r="AW262" s="27"/>
      <c r="AX262" s="27"/>
      <c r="AY262" s="29"/>
      <c r="AZ262" s="27"/>
      <c r="BA262" s="27"/>
      <c r="BB262" s="29"/>
      <c r="BC262" s="30"/>
      <c r="BD262" s="30"/>
      <c r="BE262" s="30"/>
      <c r="BF262" s="27"/>
      <c r="BG262" s="27"/>
      <c r="BH262" s="28" t="str">
        <f aca="false">IF(COUNT(BC262:BE262)=0,"",IF(MIN(BC262:BE262)&lt;=-2.5,"Yes","No"))</f>
        <v/>
      </c>
      <c r="BI262" s="27"/>
      <c r="BJ262" s="29"/>
      <c r="BK262" s="27"/>
      <c r="BL262" s="27"/>
      <c r="BM262" s="27"/>
      <c r="BN262" s="28" t="str">
        <f aca="false">IF(OR(AX262="Yes",BI262="Yes"),"Yes",IF(AND(AX262="No",BI262="No"),"No",IF(AND(AX262="",BI262=""),"","Unknown")))</f>
        <v/>
      </c>
      <c r="BO262" s="31" t="str">
        <f aca="false">IF(COUNT(AY262,BJ262)=0,"",MIN(AY262,BJ262))</f>
        <v/>
      </c>
      <c r="BP262" s="29"/>
      <c r="BQ262" s="29"/>
      <c r="BR262" s="29"/>
      <c r="BS262" s="28" t="str">
        <f aca="false">IF(AND(N(BP262)&gt;0,N(BR262)&gt;0),BR262-BP262,"")</f>
        <v/>
      </c>
      <c r="BT262" s="28" t="str">
        <f aca="false">IF(BS262="","",ROUND(BS262/365.25,2))</f>
        <v/>
      </c>
      <c r="BU262" s="28" t="str">
        <f aca="false">IF(BS262="","",IF(BS262&gt;=730.5,"Yes","No"))</f>
        <v/>
      </c>
      <c r="BV262" s="27"/>
      <c r="BW262" s="29"/>
      <c r="BX262" s="27"/>
      <c r="BY262" s="27"/>
      <c r="BZ262" s="28" t="str">
        <f aca="false">IF(N(E262)=0,"",IF(E262&lt;65,"Under 65","≥65"))</f>
        <v/>
      </c>
      <c r="CA262" s="28" t="str">
        <f aca="false">IF(OR(AC262="Yes",AC262="No"),AC262,"")</f>
        <v/>
      </c>
      <c r="CB262" s="28" t="str">
        <f aca="false">IF(OR(AD262="Yes",AD262="No"),AD262,"")</f>
        <v/>
      </c>
      <c r="CC262" s="28" t="str">
        <f aca="false">IF(F262="","",F262)</f>
        <v/>
      </c>
      <c r="CD262" s="27"/>
      <c r="CE262" s="27"/>
    </row>
    <row r="263" customFormat="false" ht="15" hidden="false" customHeight="false" outlineLevel="0" collapsed="false">
      <c r="A263" s="27"/>
      <c r="B263" s="27"/>
      <c r="C263" s="27"/>
      <c r="D263" s="27"/>
      <c r="E263" s="27"/>
      <c r="F263" s="27"/>
      <c r="G263" s="27"/>
      <c r="H263" s="27"/>
      <c r="I263" s="27"/>
      <c r="J263" s="28" t="str">
        <f aca="false">IF(AND(N(H263)&gt;0,N(I263)&gt;0),ROUND(I263/(H263/100)^2,1),"")</f>
        <v/>
      </c>
      <c r="K263" s="27"/>
      <c r="L263" s="27"/>
      <c r="M263" s="27"/>
      <c r="N263" s="27"/>
      <c r="O263" s="27"/>
      <c r="P263" s="27"/>
      <c r="Q263" s="27"/>
      <c r="R263" s="29"/>
      <c r="S263" s="29"/>
      <c r="T263" s="27"/>
      <c r="U263" s="28" t="str">
        <f aca="false">IF(N(T263)=0,"",IF(T263&lt;12,"Under 12 months",IF(T263&lt;36,"12-35 months",IF(T263&lt;60,"36-59 months","≥60 months"))))</f>
        <v/>
      </c>
      <c r="V263" s="27"/>
      <c r="W263" s="30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9"/>
      <c r="AT263" s="30"/>
      <c r="AU263" s="30"/>
      <c r="AV263" s="30"/>
      <c r="AW263" s="27"/>
      <c r="AX263" s="27"/>
      <c r="AY263" s="29"/>
      <c r="AZ263" s="27"/>
      <c r="BA263" s="27"/>
      <c r="BB263" s="29"/>
      <c r="BC263" s="30"/>
      <c r="BD263" s="30"/>
      <c r="BE263" s="30"/>
      <c r="BF263" s="27"/>
      <c r="BG263" s="27"/>
      <c r="BH263" s="28" t="str">
        <f aca="false">IF(COUNT(BC263:BE263)=0,"",IF(MIN(BC263:BE263)&lt;=-2.5,"Yes","No"))</f>
        <v/>
      </c>
      <c r="BI263" s="27"/>
      <c r="BJ263" s="29"/>
      <c r="BK263" s="27"/>
      <c r="BL263" s="27"/>
      <c r="BM263" s="27"/>
      <c r="BN263" s="28" t="str">
        <f aca="false">IF(OR(AX263="Yes",BI263="Yes"),"Yes",IF(AND(AX263="No",BI263="No"),"No",IF(AND(AX263="",BI263=""),"","Unknown")))</f>
        <v/>
      </c>
      <c r="BO263" s="31" t="str">
        <f aca="false">IF(COUNT(AY263,BJ263)=0,"",MIN(AY263,BJ263))</f>
        <v/>
      </c>
      <c r="BP263" s="29"/>
      <c r="BQ263" s="29"/>
      <c r="BR263" s="29"/>
      <c r="BS263" s="28" t="str">
        <f aca="false">IF(AND(N(BP263)&gt;0,N(BR263)&gt;0),BR263-BP263,"")</f>
        <v/>
      </c>
      <c r="BT263" s="28" t="str">
        <f aca="false">IF(BS263="","",ROUND(BS263/365.25,2))</f>
        <v/>
      </c>
      <c r="BU263" s="28" t="str">
        <f aca="false">IF(BS263="","",IF(BS263&gt;=730.5,"Yes","No"))</f>
        <v/>
      </c>
      <c r="BV263" s="27"/>
      <c r="BW263" s="29"/>
      <c r="BX263" s="27"/>
      <c r="BY263" s="27"/>
      <c r="BZ263" s="28" t="str">
        <f aca="false">IF(N(E263)=0,"",IF(E263&lt;65,"Under 65","≥65"))</f>
        <v/>
      </c>
      <c r="CA263" s="28" t="str">
        <f aca="false">IF(OR(AC263="Yes",AC263="No"),AC263,"")</f>
        <v/>
      </c>
      <c r="CB263" s="28" t="str">
        <f aca="false">IF(OR(AD263="Yes",AD263="No"),AD263,"")</f>
        <v/>
      </c>
      <c r="CC263" s="28" t="str">
        <f aca="false">IF(F263="","",F263)</f>
        <v/>
      </c>
      <c r="CD263" s="27"/>
      <c r="CE263" s="27"/>
    </row>
    <row r="264" customFormat="false" ht="15" hidden="false" customHeight="false" outlineLevel="0" collapsed="false">
      <c r="A264" s="27"/>
      <c r="B264" s="27"/>
      <c r="C264" s="27"/>
      <c r="D264" s="27"/>
      <c r="E264" s="27"/>
      <c r="F264" s="27"/>
      <c r="G264" s="27"/>
      <c r="H264" s="27"/>
      <c r="I264" s="27"/>
      <c r="J264" s="28" t="str">
        <f aca="false">IF(AND(N(H264)&gt;0,N(I264)&gt;0),ROUND(I264/(H264/100)^2,1),"")</f>
        <v/>
      </c>
      <c r="K264" s="27"/>
      <c r="L264" s="27"/>
      <c r="M264" s="27"/>
      <c r="N264" s="27"/>
      <c r="O264" s="27"/>
      <c r="P264" s="27"/>
      <c r="Q264" s="27"/>
      <c r="R264" s="29"/>
      <c r="S264" s="29"/>
      <c r="T264" s="27"/>
      <c r="U264" s="28" t="str">
        <f aca="false">IF(N(T264)=0,"",IF(T264&lt;12,"Under 12 months",IF(T264&lt;36,"12-35 months",IF(T264&lt;60,"36-59 months","≥60 months"))))</f>
        <v/>
      </c>
      <c r="V264" s="27"/>
      <c r="W264" s="30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9"/>
      <c r="AT264" s="30"/>
      <c r="AU264" s="30"/>
      <c r="AV264" s="30"/>
      <c r="AW264" s="27"/>
      <c r="AX264" s="27"/>
      <c r="AY264" s="29"/>
      <c r="AZ264" s="27"/>
      <c r="BA264" s="27"/>
      <c r="BB264" s="29"/>
      <c r="BC264" s="30"/>
      <c r="BD264" s="30"/>
      <c r="BE264" s="30"/>
      <c r="BF264" s="27"/>
      <c r="BG264" s="27"/>
      <c r="BH264" s="28" t="str">
        <f aca="false">IF(COUNT(BC264:BE264)=0,"",IF(MIN(BC264:BE264)&lt;=-2.5,"Yes","No"))</f>
        <v/>
      </c>
      <c r="BI264" s="27"/>
      <c r="BJ264" s="29"/>
      <c r="BK264" s="27"/>
      <c r="BL264" s="27"/>
      <c r="BM264" s="27"/>
      <c r="BN264" s="28" t="str">
        <f aca="false">IF(OR(AX264="Yes",BI264="Yes"),"Yes",IF(AND(AX264="No",BI264="No"),"No",IF(AND(AX264="",BI264=""),"","Unknown")))</f>
        <v/>
      </c>
      <c r="BO264" s="31" t="str">
        <f aca="false">IF(COUNT(AY264,BJ264)=0,"",MIN(AY264,BJ264))</f>
        <v/>
      </c>
      <c r="BP264" s="29"/>
      <c r="BQ264" s="29"/>
      <c r="BR264" s="29"/>
      <c r="BS264" s="28" t="str">
        <f aca="false">IF(AND(N(BP264)&gt;0,N(BR264)&gt;0),BR264-BP264,"")</f>
        <v/>
      </c>
      <c r="BT264" s="28" t="str">
        <f aca="false">IF(BS264="","",ROUND(BS264/365.25,2))</f>
        <v/>
      </c>
      <c r="BU264" s="28" t="str">
        <f aca="false">IF(BS264="","",IF(BS264&gt;=730.5,"Yes","No"))</f>
        <v/>
      </c>
      <c r="BV264" s="27"/>
      <c r="BW264" s="29"/>
      <c r="BX264" s="27"/>
      <c r="BY264" s="27"/>
      <c r="BZ264" s="28" t="str">
        <f aca="false">IF(N(E264)=0,"",IF(E264&lt;65,"Under 65","≥65"))</f>
        <v/>
      </c>
      <c r="CA264" s="28" t="str">
        <f aca="false">IF(OR(AC264="Yes",AC264="No"),AC264,"")</f>
        <v/>
      </c>
      <c r="CB264" s="28" t="str">
        <f aca="false">IF(OR(AD264="Yes",AD264="No"),AD264,"")</f>
        <v/>
      </c>
      <c r="CC264" s="28" t="str">
        <f aca="false">IF(F264="","",F264)</f>
        <v/>
      </c>
      <c r="CD264" s="27"/>
      <c r="CE264" s="27"/>
    </row>
    <row r="265" customFormat="false" ht="15" hidden="false" customHeight="false" outlineLevel="0" collapsed="false">
      <c r="A265" s="27"/>
      <c r="B265" s="27"/>
      <c r="C265" s="27"/>
      <c r="D265" s="27"/>
      <c r="E265" s="27"/>
      <c r="F265" s="27"/>
      <c r="G265" s="27"/>
      <c r="H265" s="27"/>
      <c r="I265" s="27"/>
      <c r="J265" s="28" t="str">
        <f aca="false">IF(AND(N(H265)&gt;0,N(I265)&gt;0),ROUND(I265/(H265/100)^2,1),"")</f>
        <v/>
      </c>
      <c r="K265" s="27"/>
      <c r="L265" s="27"/>
      <c r="M265" s="27"/>
      <c r="N265" s="27"/>
      <c r="O265" s="27"/>
      <c r="P265" s="27"/>
      <c r="Q265" s="27"/>
      <c r="R265" s="29"/>
      <c r="S265" s="29"/>
      <c r="T265" s="27"/>
      <c r="U265" s="28" t="str">
        <f aca="false">IF(N(T265)=0,"",IF(T265&lt;12,"Under 12 months",IF(T265&lt;36,"12-35 months",IF(T265&lt;60,"36-59 months","≥60 months"))))</f>
        <v/>
      </c>
      <c r="V265" s="27"/>
      <c r="W265" s="30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9"/>
      <c r="AT265" s="30"/>
      <c r="AU265" s="30"/>
      <c r="AV265" s="30"/>
      <c r="AW265" s="27"/>
      <c r="AX265" s="27"/>
      <c r="AY265" s="29"/>
      <c r="AZ265" s="27"/>
      <c r="BA265" s="27"/>
      <c r="BB265" s="29"/>
      <c r="BC265" s="30"/>
      <c r="BD265" s="30"/>
      <c r="BE265" s="30"/>
      <c r="BF265" s="27"/>
      <c r="BG265" s="27"/>
      <c r="BH265" s="28" t="str">
        <f aca="false">IF(COUNT(BC265:BE265)=0,"",IF(MIN(BC265:BE265)&lt;=-2.5,"Yes","No"))</f>
        <v/>
      </c>
      <c r="BI265" s="27"/>
      <c r="BJ265" s="29"/>
      <c r="BK265" s="27"/>
      <c r="BL265" s="27"/>
      <c r="BM265" s="27"/>
      <c r="BN265" s="28" t="str">
        <f aca="false">IF(OR(AX265="Yes",BI265="Yes"),"Yes",IF(AND(AX265="No",BI265="No"),"No",IF(AND(AX265="",BI265=""),"","Unknown")))</f>
        <v/>
      </c>
      <c r="BO265" s="31" t="str">
        <f aca="false">IF(COUNT(AY265,BJ265)=0,"",MIN(AY265,BJ265))</f>
        <v/>
      </c>
      <c r="BP265" s="29"/>
      <c r="BQ265" s="29"/>
      <c r="BR265" s="29"/>
      <c r="BS265" s="28" t="str">
        <f aca="false">IF(AND(N(BP265)&gt;0,N(BR265)&gt;0),BR265-BP265,"")</f>
        <v/>
      </c>
      <c r="BT265" s="28" t="str">
        <f aca="false">IF(BS265="","",ROUND(BS265/365.25,2))</f>
        <v/>
      </c>
      <c r="BU265" s="28" t="str">
        <f aca="false">IF(BS265="","",IF(BS265&gt;=730.5,"Yes","No"))</f>
        <v/>
      </c>
      <c r="BV265" s="27"/>
      <c r="BW265" s="29"/>
      <c r="BX265" s="27"/>
      <c r="BY265" s="27"/>
      <c r="BZ265" s="28" t="str">
        <f aca="false">IF(N(E265)=0,"",IF(E265&lt;65,"Under 65","≥65"))</f>
        <v/>
      </c>
      <c r="CA265" s="28" t="str">
        <f aca="false">IF(OR(AC265="Yes",AC265="No"),AC265,"")</f>
        <v/>
      </c>
      <c r="CB265" s="28" t="str">
        <f aca="false">IF(OR(AD265="Yes",AD265="No"),AD265,"")</f>
        <v/>
      </c>
      <c r="CC265" s="28" t="str">
        <f aca="false">IF(F265="","",F265)</f>
        <v/>
      </c>
      <c r="CD265" s="27"/>
      <c r="CE265" s="27"/>
    </row>
    <row r="266" customFormat="false" ht="15" hidden="false" customHeight="false" outlineLevel="0" collapsed="false">
      <c r="A266" s="27"/>
      <c r="B266" s="27"/>
      <c r="C266" s="27"/>
      <c r="D266" s="27"/>
      <c r="E266" s="27"/>
      <c r="F266" s="27"/>
      <c r="G266" s="27"/>
      <c r="H266" s="27"/>
      <c r="I266" s="27"/>
      <c r="J266" s="28" t="str">
        <f aca="false">IF(AND(N(H266)&gt;0,N(I266)&gt;0),ROUND(I266/(H266/100)^2,1),"")</f>
        <v/>
      </c>
      <c r="K266" s="27"/>
      <c r="L266" s="27"/>
      <c r="M266" s="27"/>
      <c r="N266" s="27"/>
      <c r="O266" s="27"/>
      <c r="P266" s="27"/>
      <c r="Q266" s="27"/>
      <c r="R266" s="29"/>
      <c r="S266" s="29"/>
      <c r="T266" s="27"/>
      <c r="U266" s="28" t="str">
        <f aca="false">IF(N(T266)=0,"",IF(T266&lt;12,"Under 12 months",IF(T266&lt;36,"12-35 months",IF(T266&lt;60,"36-59 months","≥60 months"))))</f>
        <v/>
      </c>
      <c r="V266" s="27"/>
      <c r="W266" s="30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9"/>
      <c r="AT266" s="30"/>
      <c r="AU266" s="30"/>
      <c r="AV266" s="30"/>
      <c r="AW266" s="27"/>
      <c r="AX266" s="27"/>
      <c r="AY266" s="29"/>
      <c r="AZ266" s="27"/>
      <c r="BA266" s="27"/>
      <c r="BB266" s="29"/>
      <c r="BC266" s="30"/>
      <c r="BD266" s="30"/>
      <c r="BE266" s="30"/>
      <c r="BF266" s="27"/>
      <c r="BG266" s="27"/>
      <c r="BH266" s="28" t="str">
        <f aca="false">IF(COUNT(BC266:BE266)=0,"",IF(MIN(BC266:BE266)&lt;=-2.5,"Yes","No"))</f>
        <v/>
      </c>
      <c r="BI266" s="27"/>
      <c r="BJ266" s="29"/>
      <c r="BK266" s="27"/>
      <c r="BL266" s="27"/>
      <c r="BM266" s="27"/>
      <c r="BN266" s="28" t="str">
        <f aca="false">IF(OR(AX266="Yes",BI266="Yes"),"Yes",IF(AND(AX266="No",BI266="No"),"No",IF(AND(AX266="",BI266=""),"","Unknown")))</f>
        <v/>
      </c>
      <c r="BO266" s="31" t="str">
        <f aca="false">IF(COUNT(AY266,BJ266)=0,"",MIN(AY266,BJ266))</f>
        <v/>
      </c>
      <c r="BP266" s="29"/>
      <c r="BQ266" s="29"/>
      <c r="BR266" s="29"/>
      <c r="BS266" s="28" t="str">
        <f aca="false">IF(AND(N(BP266)&gt;0,N(BR266)&gt;0),BR266-BP266,"")</f>
        <v/>
      </c>
      <c r="BT266" s="28" t="str">
        <f aca="false">IF(BS266="","",ROUND(BS266/365.25,2))</f>
        <v/>
      </c>
      <c r="BU266" s="28" t="str">
        <f aca="false">IF(BS266="","",IF(BS266&gt;=730.5,"Yes","No"))</f>
        <v/>
      </c>
      <c r="BV266" s="27"/>
      <c r="BW266" s="29"/>
      <c r="BX266" s="27"/>
      <c r="BY266" s="27"/>
      <c r="BZ266" s="28" t="str">
        <f aca="false">IF(N(E266)=0,"",IF(E266&lt;65,"Under 65","≥65"))</f>
        <v/>
      </c>
      <c r="CA266" s="28" t="str">
        <f aca="false">IF(OR(AC266="Yes",AC266="No"),AC266,"")</f>
        <v/>
      </c>
      <c r="CB266" s="28" t="str">
        <f aca="false">IF(OR(AD266="Yes",AD266="No"),AD266,"")</f>
        <v/>
      </c>
      <c r="CC266" s="28" t="str">
        <f aca="false">IF(F266="","",F266)</f>
        <v/>
      </c>
      <c r="CD266" s="27"/>
      <c r="CE266" s="27"/>
    </row>
    <row r="267" customFormat="false" ht="15" hidden="false" customHeight="false" outlineLevel="0" collapsed="false">
      <c r="A267" s="27"/>
      <c r="B267" s="27"/>
      <c r="C267" s="27"/>
      <c r="D267" s="27"/>
      <c r="E267" s="27"/>
      <c r="F267" s="27"/>
      <c r="G267" s="27"/>
      <c r="H267" s="27"/>
      <c r="I267" s="27"/>
      <c r="J267" s="28" t="str">
        <f aca="false">IF(AND(N(H267)&gt;0,N(I267)&gt;0),ROUND(I267/(H267/100)^2,1),"")</f>
        <v/>
      </c>
      <c r="K267" s="27"/>
      <c r="L267" s="27"/>
      <c r="M267" s="27"/>
      <c r="N267" s="27"/>
      <c r="O267" s="27"/>
      <c r="P267" s="27"/>
      <c r="Q267" s="27"/>
      <c r="R267" s="29"/>
      <c r="S267" s="29"/>
      <c r="T267" s="27"/>
      <c r="U267" s="28" t="str">
        <f aca="false">IF(N(T267)=0,"",IF(T267&lt;12,"Under 12 months",IF(T267&lt;36,"12-35 months",IF(T267&lt;60,"36-59 months","≥60 months"))))</f>
        <v/>
      </c>
      <c r="V267" s="27"/>
      <c r="W267" s="30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9"/>
      <c r="AT267" s="30"/>
      <c r="AU267" s="30"/>
      <c r="AV267" s="30"/>
      <c r="AW267" s="27"/>
      <c r="AX267" s="27"/>
      <c r="AY267" s="29"/>
      <c r="AZ267" s="27"/>
      <c r="BA267" s="27"/>
      <c r="BB267" s="29"/>
      <c r="BC267" s="30"/>
      <c r="BD267" s="30"/>
      <c r="BE267" s="30"/>
      <c r="BF267" s="27"/>
      <c r="BG267" s="27"/>
      <c r="BH267" s="28" t="str">
        <f aca="false">IF(COUNT(BC267:BE267)=0,"",IF(MIN(BC267:BE267)&lt;=-2.5,"Yes","No"))</f>
        <v/>
      </c>
      <c r="BI267" s="27"/>
      <c r="BJ267" s="29"/>
      <c r="BK267" s="27"/>
      <c r="BL267" s="27"/>
      <c r="BM267" s="27"/>
      <c r="BN267" s="28" t="str">
        <f aca="false">IF(OR(AX267="Yes",BI267="Yes"),"Yes",IF(AND(AX267="No",BI267="No"),"No",IF(AND(AX267="",BI267=""),"","Unknown")))</f>
        <v/>
      </c>
      <c r="BO267" s="31" t="str">
        <f aca="false">IF(COUNT(AY267,BJ267)=0,"",MIN(AY267,BJ267))</f>
        <v/>
      </c>
      <c r="BP267" s="29"/>
      <c r="BQ267" s="29"/>
      <c r="BR267" s="29"/>
      <c r="BS267" s="28" t="str">
        <f aca="false">IF(AND(N(BP267)&gt;0,N(BR267)&gt;0),BR267-BP267,"")</f>
        <v/>
      </c>
      <c r="BT267" s="28" t="str">
        <f aca="false">IF(BS267="","",ROUND(BS267/365.25,2))</f>
        <v/>
      </c>
      <c r="BU267" s="28" t="str">
        <f aca="false">IF(BS267="","",IF(BS267&gt;=730.5,"Yes","No"))</f>
        <v/>
      </c>
      <c r="BV267" s="27"/>
      <c r="BW267" s="29"/>
      <c r="BX267" s="27"/>
      <c r="BY267" s="27"/>
      <c r="BZ267" s="28" t="str">
        <f aca="false">IF(N(E267)=0,"",IF(E267&lt;65,"Under 65","≥65"))</f>
        <v/>
      </c>
      <c r="CA267" s="28" t="str">
        <f aca="false">IF(OR(AC267="Yes",AC267="No"),AC267,"")</f>
        <v/>
      </c>
      <c r="CB267" s="28" t="str">
        <f aca="false">IF(OR(AD267="Yes",AD267="No"),AD267,"")</f>
        <v/>
      </c>
      <c r="CC267" s="28" t="str">
        <f aca="false">IF(F267="","",F267)</f>
        <v/>
      </c>
      <c r="CD267" s="27"/>
      <c r="CE267" s="27"/>
    </row>
    <row r="268" customFormat="false" ht="15" hidden="false" customHeight="false" outlineLevel="0" collapsed="false">
      <c r="A268" s="27"/>
      <c r="B268" s="27"/>
      <c r="C268" s="27"/>
      <c r="D268" s="27"/>
      <c r="E268" s="27"/>
      <c r="F268" s="27"/>
      <c r="G268" s="27"/>
      <c r="H268" s="27"/>
      <c r="I268" s="27"/>
      <c r="J268" s="28" t="str">
        <f aca="false">IF(AND(N(H268)&gt;0,N(I268)&gt;0),ROUND(I268/(H268/100)^2,1),"")</f>
        <v/>
      </c>
      <c r="K268" s="27"/>
      <c r="L268" s="27"/>
      <c r="M268" s="27"/>
      <c r="N268" s="27"/>
      <c r="O268" s="27"/>
      <c r="P268" s="27"/>
      <c r="Q268" s="27"/>
      <c r="R268" s="29"/>
      <c r="S268" s="29"/>
      <c r="T268" s="27"/>
      <c r="U268" s="28" t="str">
        <f aca="false">IF(N(T268)=0,"",IF(T268&lt;12,"Under 12 months",IF(T268&lt;36,"12-35 months",IF(T268&lt;60,"36-59 months","≥60 months"))))</f>
        <v/>
      </c>
      <c r="V268" s="27"/>
      <c r="W268" s="30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9"/>
      <c r="AT268" s="30"/>
      <c r="AU268" s="30"/>
      <c r="AV268" s="30"/>
      <c r="AW268" s="27"/>
      <c r="AX268" s="27"/>
      <c r="AY268" s="29"/>
      <c r="AZ268" s="27"/>
      <c r="BA268" s="27"/>
      <c r="BB268" s="29"/>
      <c r="BC268" s="30"/>
      <c r="BD268" s="30"/>
      <c r="BE268" s="30"/>
      <c r="BF268" s="27"/>
      <c r="BG268" s="27"/>
      <c r="BH268" s="28" t="str">
        <f aca="false">IF(COUNT(BC268:BE268)=0,"",IF(MIN(BC268:BE268)&lt;=-2.5,"Yes","No"))</f>
        <v/>
      </c>
      <c r="BI268" s="27"/>
      <c r="BJ268" s="29"/>
      <c r="BK268" s="27"/>
      <c r="BL268" s="27"/>
      <c r="BM268" s="27"/>
      <c r="BN268" s="28" t="str">
        <f aca="false">IF(OR(AX268="Yes",BI268="Yes"),"Yes",IF(AND(AX268="No",BI268="No"),"No",IF(AND(AX268="",BI268=""),"","Unknown")))</f>
        <v/>
      </c>
      <c r="BO268" s="31" t="str">
        <f aca="false">IF(COUNT(AY268,BJ268)=0,"",MIN(AY268,BJ268))</f>
        <v/>
      </c>
      <c r="BP268" s="29"/>
      <c r="BQ268" s="29"/>
      <c r="BR268" s="29"/>
      <c r="BS268" s="28" t="str">
        <f aca="false">IF(AND(N(BP268)&gt;0,N(BR268)&gt;0),BR268-BP268,"")</f>
        <v/>
      </c>
      <c r="BT268" s="28" t="str">
        <f aca="false">IF(BS268="","",ROUND(BS268/365.25,2))</f>
        <v/>
      </c>
      <c r="BU268" s="28" t="str">
        <f aca="false">IF(BS268="","",IF(BS268&gt;=730.5,"Yes","No"))</f>
        <v/>
      </c>
      <c r="BV268" s="27"/>
      <c r="BW268" s="29"/>
      <c r="BX268" s="27"/>
      <c r="BY268" s="27"/>
      <c r="BZ268" s="28" t="str">
        <f aca="false">IF(N(E268)=0,"",IF(E268&lt;65,"Under 65","≥65"))</f>
        <v/>
      </c>
      <c r="CA268" s="28" t="str">
        <f aca="false">IF(OR(AC268="Yes",AC268="No"),AC268,"")</f>
        <v/>
      </c>
      <c r="CB268" s="28" t="str">
        <f aca="false">IF(OR(AD268="Yes",AD268="No"),AD268,"")</f>
        <v/>
      </c>
      <c r="CC268" s="28" t="str">
        <f aca="false">IF(F268="","",F268)</f>
        <v/>
      </c>
      <c r="CD268" s="27"/>
      <c r="CE268" s="27"/>
    </row>
    <row r="269" customFormat="false" ht="15" hidden="false" customHeight="false" outlineLevel="0" collapsed="false">
      <c r="A269" s="27"/>
      <c r="B269" s="27"/>
      <c r="C269" s="27"/>
      <c r="D269" s="27"/>
      <c r="E269" s="27"/>
      <c r="F269" s="27"/>
      <c r="G269" s="27"/>
      <c r="H269" s="27"/>
      <c r="I269" s="27"/>
      <c r="J269" s="28" t="str">
        <f aca="false">IF(AND(N(H269)&gt;0,N(I269)&gt;0),ROUND(I269/(H269/100)^2,1),"")</f>
        <v/>
      </c>
      <c r="K269" s="27"/>
      <c r="L269" s="27"/>
      <c r="M269" s="27"/>
      <c r="N269" s="27"/>
      <c r="O269" s="27"/>
      <c r="P269" s="27"/>
      <c r="Q269" s="27"/>
      <c r="R269" s="29"/>
      <c r="S269" s="29"/>
      <c r="T269" s="27"/>
      <c r="U269" s="28" t="str">
        <f aca="false">IF(N(T269)=0,"",IF(T269&lt;12,"Under 12 months",IF(T269&lt;36,"12-35 months",IF(T269&lt;60,"36-59 months","≥60 months"))))</f>
        <v/>
      </c>
      <c r="V269" s="27"/>
      <c r="W269" s="30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9"/>
      <c r="AT269" s="30"/>
      <c r="AU269" s="30"/>
      <c r="AV269" s="30"/>
      <c r="AW269" s="27"/>
      <c r="AX269" s="27"/>
      <c r="AY269" s="29"/>
      <c r="AZ269" s="27"/>
      <c r="BA269" s="27"/>
      <c r="BB269" s="29"/>
      <c r="BC269" s="30"/>
      <c r="BD269" s="30"/>
      <c r="BE269" s="30"/>
      <c r="BF269" s="27"/>
      <c r="BG269" s="27"/>
      <c r="BH269" s="28" t="str">
        <f aca="false">IF(COUNT(BC269:BE269)=0,"",IF(MIN(BC269:BE269)&lt;=-2.5,"Yes","No"))</f>
        <v/>
      </c>
      <c r="BI269" s="27"/>
      <c r="BJ269" s="29"/>
      <c r="BK269" s="27"/>
      <c r="BL269" s="27"/>
      <c r="BM269" s="27"/>
      <c r="BN269" s="28" t="str">
        <f aca="false">IF(OR(AX269="Yes",BI269="Yes"),"Yes",IF(AND(AX269="No",BI269="No"),"No",IF(AND(AX269="",BI269=""),"","Unknown")))</f>
        <v/>
      </c>
      <c r="BO269" s="31" t="str">
        <f aca="false">IF(COUNT(AY269,BJ269)=0,"",MIN(AY269,BJ269))</f>
        <v/>
      </c>
      <c r="BP269" s="29"/>
      <c r="BQ269" s="29"/>
      <c r="BR269" s="29"/>
      <c r="BS269" s="28" t="str">
        <f aca="false">IF(AND(N(BP269)&gt;0,N(BR269)&gt;0),BR269-BP269,"")</f>
        <v/>
      </c>
      <c r="BT269" s="28" t="str">
        <f aca="false">IF(BS269="","",ROUND(BS269/365.25,2))</f>
        <v/>
      </c>
      <c r="BU269" s="28" t="str">
        <f aca="false">IF(BS269="","",IF(BS269&gt;=730.5,"Yes","No"))</f>
        <v/>
      </c>
      <c r="BV269" s="27"/>
      <c r="BW269" s="29"/>
      <c r="BX269" s="27"/>
      <c r="BY269" s="27"/>
      <c r="BZ269" s="28" t="str">
        <f aca="false">IF(N(E269)=0,"",IF(E269&lt;65,"Under 65","≥65"))</f>
        <v/>
      </c>
      <c r="CA269" s="28" t="str">
        <f aca="false">IF(OR(AC269="Yes",AC269="No"),AC269,"")</f>
        <v/>
      </c>
      <c r="CB269" s="28" t="str">
        <f aca="false">IF(OR(AD269="Yes",AD269="No"),AD269,"")</f>
        <v/>
      </c>
      <c r="CC269" s="28" t="str">
        <f aca="false">IF(F269="","",F269)</f>
        <v/>
      </c>
      <c r="CD269" s="27"/>
      <c r="CE269" s="27"/>
    </row>
    <row r="270" customFormat="false" ht="15" hidden="false" customHeight="false" outlineLevel="0" collapsed="false">
      <c r="A270" s="27"/>
      <c r="B270" s="27"/>
      <c r="C270" s="27"/>
      <c r="D270" s="27"/>
      <c r="E270" s="27"/>
      <c r="F270" s="27"/>
      <c r="G270" s="27"/>
      <c r="H270" s="27"/>
      <c r="I270" s="27"/>
      <c r="J270" s="28" t="str">
        <f aca="false">IF(AND(N(H270)&gt;0,N(I270)&gt;0),ROUND(I270/(H270/100)^2,1),"")</f>
        <v/>
      </c>
      <c r="K270" s="27"/>
      <c r="L270" s="27"/>
      <c r="M270" s="27"/>
      <c r="N270" s="27"/>
      <c r="O270" s="27"/>
      <c r="P270" s="27"/>
      <c r="Q270" s="27"/>
      <c r="R270" s="29"/>
      <c r="S270" s="29"/>
      <c r="T270" s="27"/>
      <c r="U270" s="28" t="str">
        <f aca="false">IF(N(T270)=0,"",IF(T270&lt;12,"Under 12 months",IF(T270&lt;36,"12-35 months",IF(T270&lt;60,"36-59 months","≥60 months"))))</f>
        <v/>
      </c>
      <c r="V270" s="27"/>
      <c r="W270" s="30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9"/>
      <c r="AT270" s="30"/>
      <c r="AU270" s="30"/>
      <c r="AV270" s="30"/>
      <c r="AW270" s="27"/>
      <c r="AX270" s="27"/>
      <c r="AY270" s="29"/>
      <c r="AZ270" s="27"/>
      <c r="BA270" s="27"/>
      <c r="BB270" s="29"/>
      <c r="BC270" s="30"/>
      <c r="BD270" s="30"/>
      <c r="BE270" s="30"/>
      <c r="BF270" s="27"/>
      <c r="BG270" s="27"/>
      <c r="BH270" s="28" t="str">
        <f aca="false">IF(COUNT(BC270:BE270)=0,"",IF(MIN(BC270:BE270)&lt;=-2.5,"Yes","No"))</f>
        <v/>
      </c>
      <c r="BI270" s="27"/>
      <c r="BJ270" s="29"/>
      <c r="BK270" s="27"/>
      <c r="BL270" s="27"/>
      <c r="BM270" s="27"/>
      <c r="BN270" s="28" t="str">
        <f aca="false">IF(OR(AX270="Yes",BI270="Yes"),"Yes",IF(AND(AX270="No",BI270="No"),"No",IF(AND(AX270="",BI270=""),"","Unknown")))</f>
        <v/>
      </c>
      <c r="BO270" s="31" t="str">
        <f aca="false">IF(COUNT(AY270,BJ270)=0,"",MIN(AY270,BJ270))</f>
        <v/>
      </c>
      <c r="BP270" s="29"/>
      <c r="BQ270" s="29"/>
      <c r="BR270" s="29"/>
      <c r="BS270" s="28" t="str">
        <f aca="false">IF(AND(N(BP270)&gt;0,N(BR270)&gt;0),BR270-BP270,"")</f>
        <v/>
      </c>
      <c r="BT270" s="28" t="str">
        <f aca="false">IF(BS270="","",ROUND(BS270/365.25,2))</f>
        <v/>
      </c>
      <c r="BU270" s="28" t="str">
        <f aca="false">IF(BS270="","",IF(BS270&gt;=730.5,"Yes","No"))</f>
        <v/>
      </c>
      <c r="BV270" s="27"/>
      <c r="BW270" s="29"/>
      <c r="BX270" s="27"/>
      <c r="BY270" s="27"/>
      <c r="BZ270" s="28" t="str">
        <f aca="false">IF(N(E270)=0,"",IF(E270&lt;65,"Under 65","≥65"))</f>
        <v/>
      </c>
      <c r="CA270" s="28" t="str">
        <f aca="false">IF(OR(AC270="Yes",AC270="No"),AC270,"")</f>
        <v/>
      </c>
      <c r="CB270" s="28" t="str">
        <f aca="false">IF(OR(AD270="Yes",AD270="No"),AD270,"")</f>
        <v/>
      </c>
      <c r="CC270" s="28" t="str">
        <f aca="false">IF(F270="","",F270)</f>
        <v/>
      </c>
      <c r="CD270" s="27"/>
      <c r="CE270" s="27"/>
    </row>
    <row r="271" customFormat="false" ht="15" hidden="false" customHeight="false" outlineLevel="0" collapsed="false">
      <c r="A271" s="27"/>
      <c r="B271" s="27"/>
      <c r="C271" s="27"/>
      <c r="D271" s="27"/>
      <c r="E271" s="27"/>
      <c r="F271" s="27"/>
      <c r="G271" s="27"/>
      <c r="H271" s="27"/>
      <c r="I271" s="27"/>
      <c r="J271" s="28" t="str">
        <f aca="false">IF(AND(N(H271)&gt;0,N(I271)&gt;0),ROUND(I271/(H271/100)^2,1),"")</f>
        <v/>
      </c>
      <c r="K271" s="27"/>
      <c r="L271" s="27"/>
      <c r="M271" s="27"/>
      <c r="N271" s="27"/>
      <c r="O271" s="27"/>
      <c r="P271" s="27"/>
      <c r="Q271" s="27"/>
      <c r="R271" s="29"/>
      <c r="S271" s="29"/>
      <c r="T271" s="27"/>
      <c r="U271" s="28" t="str">
        <f aca="false">IF(N(T271)=0,"",IF(T271&lt;12,"Under 12 months",IF(T271&lt;36,"12-35 months",IF(T271&lt;60,"36-59 months","≥60 months"))))</f>
        <v/>
      </c>
      <c r="V271" s="27"/>
      <c r="W271" s="30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9"/>
      <c r="AT271" s="30"/>
      <c r="AU271" s="30"/>
      <c r="AV271" s="30"/>
      <c r="AW271" s="27"/>
      <c r="AX271" s="27"/>
      <c r="AY271" s="29"/>
      <c r="AZ271" s="27"/>
      <c r="BA271" s="27"/>
      <c r="BB271" s="29"/>
      <c r="BC271" s="30"/>
      <c r="BD271" s="30"/>
      <c r="BE271" s="30"/>
      <c r="BF271" s="27"/>
      <c r="BG271" s="27"/>
      <c r="BH271" s="28" t="str">
        <f aca="false">IF(COUNT(BC271:BE271)=0,"",IF(MIN(BC271:BE271)&lt;=-2.5,"Yes","No"))</f>
        <v/>
      </c>
      <c r="BI271" s="27"/>
      <c r="BJ271" s="29"/>
      <c r="BK271" s="27"/>
      <c r="BL271" s="27"/>
      <c r="BM271" s="27"/>
      <c r="BN271" s="28" t="str">
        <f aca="false">IF(OR(AX271="Yes",BI271="Yes"),"Yes",IF(AND(AX271="No",BI271="No"),"No",IF(AND(AX271="",BI271=""),"","Unknown")))</f>
        <v/>
      </c>
      <c r="BO271" s="31" t="str">
        <f aca="false">IF(COUNT(AY271,BJ271)=0,"",MIN(AY271,BJ271))</f>
        <v/>
      </c>
      <c r="BP271" s="29"/>
      <c r="BQ271" s="29"/>
      <c r="BR271" s="29"/>
      <c r="BS271" s="28" t="str">
        <f aca="false">IF(AND(N(BP271)&gt;0,N(BR271)&gt;0),BR271-BP271,"")</f>
        <v/>
      </c>
      <c r="BT271" s="28" t="str">
        <f aca="false">IF(BS271="","",ROUND(BS271/365.25,2))</f>
        <v/>
      </c>
      <c r="BU271" s="28" t="str">
        <f aca="false">IF(BS271="","",IF(BS271&gt;=730.5,"Yes","No"))</f>
        <v/>
      </c>
      <c r="BV271" s="27"/>
      <c r="BW271" s="29"/>
      <c r="BX271" s="27"/>
      <c r="BY271" s="27"/>
      <c r="BZ271" s="28" t="str">
        <f aca="false">IF(N(E271)=0,"",IF(E271&lt;65,"Under 65","≥65"))</f>
        <v/>
      </c>
      <c r="CA271" s="28" t="str">
        <f aca="false">IF(OR(AC271="Yes",AC271="No"),AC271,"")</f>
        <v/>
      </c>
      <c r="CB271" s="28" t="str">
        <f aca="false">IF(OR(AD271="Yes",AD271="No"),AD271,"")</f>
        <v/>
      </c>
      <c r="CC271" s="28" t="str">
        <f aca="false">IF(F271="","",F271)</f>
        <v/>
      </c>
      <c r="CD271" s="27"/>
      <c r="CE271" s="27"/>
    </row>
    <row r="272" customFormat="false" ht="15" hidden="false" customHeight="false" outlineLevel="0" collapsed="false">
      <c r="A272" s="27"/>
      <c r="B272" s="27"/>
      <c r="C272" s="27"/>
      <c r="D272" s="27"/>
      <c r="E272" s="27"/>
      <c r="F272" s="27"/>
      <c r="G272" s="27"/>
      <c r="H272" s="27"/>
      <c r="I272" s="27"/>
      <c r="J272" s="28" t="str">
        <f aca="false">IF(AND(N(H272)&gt;0,N(I272)&gt;0),ROUND(I272/(H272/100)^2,1),"")</f>
        <v/>
      </c>
      <c r="K272" s="27"/>
      <c r="L272" s="27"/>
      <c r="M272" s="27"/>
      <c r="N272" s="27"/>
      <c r="O272" s="27"/>
      <c r="P272" s="27"/>
      <c r="Q272" s="27"/>
      <c r="R272" s="29"/>
      <c r="S272" s="29"/>
      <c r="T272" s="27"/>
      <c r="U272" s="28" t="str">
        <f aca="false">IF(N(T272)=0,"",IF(T272&lt;12,"Under 12 months",IF(T272&lt;36,"12-35 months",IF(T272&lt;60,"36-59 months","≥60 months"))))</f>
        <v/>
      </c>
      <c r="V272" s="27"/>
      <c r="W272" s="30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9"/>
      <c r="AT272" s="30"/>
      <c r="AU272" s="30"/>
      <c r="AV272" s="30"/>
      <c r="AW272" s="27"/>
      <c r="AX272" s="27"/>
      <c r="AY272" s="29"/>
      <c r="AZ272" s="27"/>
      <c r="BA272" s="27"/>
      <c r="BB272" s="29"/>
      <c r="BC272" s="30"/>
      <c r="BD272" s="30"/>
      <c r="BE272" s="30"/>
      <c r="BF272" s="27"/>
      <c r="BG272" s="27"/>
      <c r="BH272" s="28" t="str">
        <f aca="false">IF(COUNT(BC272:BE272)=0,"",IF(MIN(BC272:BE272)&lt;=-2.5,"Yes","No"))</f>
        <v/>
      </c>
      <c r="BI272" s="27"/>
      <c r="BJ272" s="29"/>
      <c r="BK272" s="27"/>
      <c r="BL272" s="27"/>
      <c r="BM272" s="27"/>
      <c r="BN272" s="28" t="str">
        <f aca="false">IF(OR(AX272="Yes",BI272="Yes"),"Yes",IF(AND(AX272="No",BI272="No"),"No",IF(AND(AX272="",BI272=""),"","Unknown")))</f>
        <v/>
      </c>
      <c r="BO272" s="31" t="str">
        <f aca="false">IF(COUNT(AY272,BJ272)=0,"",MIN(AY272,BJ272))</f>
        <v/>
      </c>
      <c r="BP272" s="29"/>
      <c r="BQ272" s="29"/>
      <c r="BR272" s="29"/>
      <c r="BS272" s="28" t="str">
        <f aca="false">IF(AND(N(BP272)&gt;0,N(BR272)&gt;0),BR272-BP272,"")</f>
        <v/>
      </c>
      <c r="BT272" s="28" t="str">
        <f aca="false">IF(BS272="","",ROUND(BS272/365.25,2))</f>
        <v/>
      </c>
      <c r="BU272" s="28" t="str">
        <f aca="false">IF(BS272="","",IF(BS272&gt;=730.5,"Yes","No"))</f>
        <v/>
      </c>
      <c r="BV272" s="27"/>
      <c r="BW272" s="29"/>
      <c r="BX272" s="27"/>
      <c r="BY272" s="27"/>
      <c r="BZ272" s="28" t="str">
        <f aca="false">IF(N(E272)=0,"",IF(E272&lt;65,"Under 65","≥65"))</f>
        <v/>
      </c>
      <c r="CA272" s="28" t="str">
        <f aca="false">IF(OR(AC272="Yes",AC272="No"),AC272,"")</f>
        <v/>
      </c>
      <c r="CB272" s="28" t="str">
        <f aca="false">IF(OR(AD272="Yes",AD272="No"),AD272,"")</f>
        <v/>
      </c>
      <c r="CC272" s="28" t="str">
        <f aca="false">IF(F272="","",F272)</f>
        <v/>
      </c>
      <c r="CD272" s="27"/>
      <c r="CE272" s="27"/>
    </row>
    <row r="273" customFormat="false" ht="15" hidden="false" customHeight="false" outlineLevel="0" collapsed="false">
      <c r="A273" s="27"/>
      <c r="B273" s="27"/>
      <c r="C273" s="27"/>
      <c r="D273" s="27"/>
      <c r="E273" s="27"/>
      <c r="F273" s="27"/>
      <c r="G273" s="27"/>
      <c r="H273" s="27"/>
      <c r="I273" s="27"/>
      <c r="J273" s="28" t="str">
        <f aca="false">IF(AND(N(H273)&gt;0,N(I273)&gt;0),ROUND(I273/(H273/100)^2,1),"")</f>
        <v/>
      </c>
      <c r="K273" s="27"/>
      <c r="L273" s="27"/>
      <c r="M273" s="27"/>
      <c r="N273" s="27"/>
      <c r="O273" s="27"/>
      <c r="P273" s="27"/>
      <c r="Q273" s="27"/>
      <c r="R273" s="29"/>
      <c r="S273" s="29"/>
      <c r="T273" s="27"/>
      <c r="U273" s="28" t="str">
        <f aca="false">IF(N(T273)=0,"",IF(T273&lt;12,"Under 12 months",IF(T273&lt;36,"12-35 months",IF(T273&lt;60,"36-59 months","≥60 months"))))</f>
        <v/>
      </c>
      <c r="V273" s="27"/>
      <c r="W273" s="30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9"/>
      <c r="AT273" s="30"/>
      <c r="AU273" s="30"/>
      <c r="AV273" s="30"/>
      <c r="AW273" s="27"/>
      <c r="AX273" s="27"/>
      <c r="AY273" s="29"/>
      <c r="AZ273" s="27"/>
      <c r="BA273" s="27"/>
      <c r="BB273" s="29"/>
      <c r="BC273" s="30"/>
      <c r="BD273" s="30"/>
      <c r="BE273" s="30"/>
      <c r="BF273" s="27"/>
      <c r="BG273" s="27"/>
      <c r="BH273" s="28" t="str">
        <f aca="false">IF(COUNT(BC273:BE273)=0,"",IF(MIN(BC273:BE273)&lt;=-2.5,"Yes","No"))</f>
        <v/>
      </c>
      <c r="BI273" s="27"/>
      <c r="BJ273" s="29"/>
      <c r="BK273" s="27"/>
      <c r="BL273" s="27"/>
      <c r="BM273" s="27"/>
      <c r="BN273" s="28" t="str">
        <f aca="false">IF(OR(AX273="Yes",BI273="Yes"),"Yes",IF(AND(AX273="No",BI273="No"),"No",IF(AND(AX273="",BI273=""),"","Unknown")))</f>
        <v/>
      </c>
      <c r="BO273" s="31" t="str">
        <f aca="false">IF(COUNT(AY273,BJ273)=0,"",MIN(AY273,BJ273))</f>
        <v/>
      </c>
      <c r="BP273" s="29"/>
      <c r="BQ273" s="29"/>
      <c r="BR273" s="29"/>
      <c r="BS273" s="28" t="str">
        <f aca="false">IF(AND(N(BP273)&gt;0,N(BR273)&gt;0),BR273-BP273,"")</f>
        <v/>
      </c>
      <c r="BT273" s="28" t="str">
        <f aca="false">IF(BS273="","",ROUND(BS273/365.25,2))</f>
        <v/>
      </c>
      <c r="BU273" s="28" t="str">
        <f aca="false">IF(BS273="","",IF(BS273&gt;=730.5,"Yes","No"))</f>
        <v/>
      </c>
      <c r="BV273" s="27"/>
      <c r="BW273" s="29"/>
      <c r="BX273" s="27"/>
      <c r="BY273" s="27"/>
      <c r="BZ273" s="28" t="str">
        <f aca="false">IF(N(E273)=0,"",IF(E273&lt;65,"Under 65","≥65"))</f>
        <v/>
      </c>
      <c r="CA273" s="28" t="str">
        <f aca="false">IF(OR(AC273="Yes",AC273="No"),AC273,"")</f>
        <v/>
      </c>
      <c r="CB273" s="28" t="str">
        <f aca="false">IF(OR(AD273="Yes",AD273="No"),AD273,"")</f>
        <v/>
      </c>
      <c r="CC273" s="28" t="str">
        <f aca="false">IF(F273="","",F273)</f>
        <v/>
      </c>
      <c r="CD273" s="27"/>
      <c r="CE273" s="27"/>
    </row>
    <row r="274" customFormat="false" ht="15" hidden="false" customHeight="false" outlineLevel="0" collapsed="false">
      <c r="A274" s="27"/>
      <c r="B274" s="27"/>
      <c r="C274" s="27"/>
      <c r="D274" s="27"/>
      <c r="E274" s="27"/>
      <c r="F274" s="27"/>
      <c r="G274" s="27"/>
      <c r="H274" s="27"/>
      <c r="I274" s="27"/>
      <c r="J274" s="28" t="str">
        <f aca="false">IF(AND(N(H274)&gt;0,N(I274)&gt;0),ROUND(I274/(H274/100)^2,1),"")</f>
        <v/>
      </c>
      <c r="K274" s="27"/>
      <c r="L274" s="27"/>
      <c r="M274" s="27"/>
      <c r="N274" s="27"/>
      <c r="O274" s="27"/>
      <c r="P274" s="27"/>
      <c r="Q274" s="27"/>
      <c r="R274" s="29"/>
      <c r="S274" s="29"/>
      <c r="T274" s="27"/>
      <c r="U274" s="28" t="str">
        <f aca="false">IF(N(T274)=0,"",IF(T274&lt;12,"Under 12 months",IF(T274&lt;36,"12-35 months",IF(T274&lt;60,"36-59 months","≥60 months"))))</f>
        <v/>
      </c>
      <c r="V274" s="27"/>
      <c r="W274" s="30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9"/>
      <c r="AT274" s="30"/>
      <c r="AU274" s="30"/>
      <c r="AV274" s="30"/>
      <c r="AW274" s="27"/>
      <c r="AX274" s="27"/>
      <c r="AY274" s="29"/>
      <c r="AZ274" s="27"/>
      <c r="BA274" s="27"/>
      <c r="BB274" s="29"/>
      <c r="BC274" s="30"/>
      <c r="BD274" s="30"/>
      <c r="BE274" s="30"/>
      <c r="BF274" s="27"/>
      <c r="BG274" s="27"/>
      <c r="BH274" s="28" t="str">
        <f aca="false">IF(COUNT(BC274:BE274)=0,"",IF(MIN(BC274:BE274)&lt;=-2.5,"Yes","No"))</f>
        <v/>
      </c>
      <c r="BI274" s="27"/>
      <c r="BJ274" s="29"/>
      <c r="BK274" s="27"/>
      <c r="BL274" s="27"/>
      <c r="BM274" s="27"/>
      <c r="BN274" s="28" t="str">
        <f aca="false">IF(OR(AX274="Yes",BI274="Yes"),"Yes",IF(AND(AX274="No",BI274="No"),"No",IF(AND(AX274="",BI274=""),"","Unknown")))</f>
        <v/>
      </c>
      <c r="BO274" s="31" t="str">
        <f aca="false">IF(COUNT(AY274,BJ274)=0,"",MIN(AY274,BJ274))</f>
        <v/>
      </c>
      <c r="BP274" s="29"/>
      <c r="BQ274" s="29"/>
      <c r="BR274" s="29"/>
      <c r="BS274" s="28" t="str">
        <f aca="false">IF(AND(N(BP274)&gt;0,N(BR274)&gt;0),BR274-BP274,"")</f>
        <v/>
      </c>
      <c r="BT274" s="28" t="str">
        <f aca="false">IF(BS274="","",ROUND(BS274/365.25,2))</f>
        <v/>
      </c>
      <c r="BU274" s="28" t="str">
        <f aca="false">IF(BS274="","",IF(BS274&gt;=730.5,"Yes","No"))</f>
        <v/>
      </c>
      <c r="BV274" s="27"/>
      <c r="BW274" s="29"/>
      <c r="BX274" s="27"/>
      <c r="BY274" s="27"/>
      <c r="BZ274" s="28" t="str">
        <f aca="false">IF(N(E274)=0,"",IF(E274&lt;65,"Under 65","≥65"))</f>
        <v/>
      </c>
      <c r="CA274" s="28" t="str">
        <f aca="false">IF(OR(AC274="Yes",AC274="No"),AC274,"")</f>
        <v/>
      </c>
      <c r="CB274" s="28" t="str">
        <f aca="false">IF(OR(AD274="Yes",AD274="No"),AD274,"")</f>
        <v/>
      </c>
      <c r="CC274" s="28" t="str">
        <f aca="false">IF(F274="","",F274)</f>
        <v/>
      </c>
      <c r="CD274" s="27"/>
      <c r="CE274" s="27"/>
    </row>
    <row r="275" customFormat="false" ht="15" hidden="false" customHeight="false" outlineLevel="0" collapsed="false">
      <c r="A275" s="27"/>
      <c r="B275" s="27"/>
      <c r="C275" s="27"/>
      <c r="D275" s="27"/>
      <c r="E275" s="27"/>
      <c r="F275" s="27"/>
      <c r="G275" s="27"/>
      <c r="H275" s="27"/>
      <c r="I275" s="27"/>
      <c r="J275" s="28" t="str">
        <f aca="false">IF(AND(N(H275)&gt;0,N(I275)&gt;0),ROUND(I275/(H275/100)^2,1),"")</f>
        <v/>
      </c>
      <c r="K275" s="27"/>
      <c r="L275" s="27"/>
      <c r="M275" s="27"/>
      <c r="N275" s="27"/>
      <c r="O275" s="27"/>
      <c r="P275" s="27"/>
      <c r="Q275" s="27"/>
      <c r="R275" s="29"/>
      <c r="S275" s="29"/>
      <c r="T275" s="27"/>
      <c r="U275" s="28" t="str">
        <f aca="false">IF(N(T275)=0,"",IF(T275&lt;12,"Under 12 months",IF(T275&lt;36,"12-35 months",IF(T275&lt;60,"36-59 months","≥60 months"))))</f>
        <v/>
      </c>
      <c r="V275" s="27"/>
      <c r="W275" s="30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9"/>
      <c r="AT275" s="30"/>
      <c r="AU275" s="30"/>
      <c r="AV275" s="30"/>
      <c r="AW275" s="27"/>
      <c r="AX275" s="27"/>
      <c r="AY275" s="29"/>
      <c r="AZ275" s="27"/>
      <c r="BA275" s="27"/>
      <c r="BB275" s="29"/>
      <c r="BC275" s="30"/>
      <c r="BD275" s="30"/>
      <c r="BE275" s="30"/>
      <c r="BF275" s="27"/>
      <c r="BG275" s="27"/>
      <c r="BH275" s="28" t="str">
        <f aca="false">IF(COUNT(BC275:BE275)=0,"",IF(MIN(BC275:BE275)&lt;=-2.5,"Yes","No"))</f>
        <v/>
      </c>
      <c r="BI275" s="27"/>
      <c r="BJ275" s="29"/>
      <c r="BK275" s="27"/>
      <c r="BL275" s="27"/>
      <c r="BM275" s="27"/>
      <c r="BN275" s="28" t="str">
        <f aca="false">IF(OR(AX275="Yes",BI275="Yes"),"Yes",IF(AND(AX275="No",BI275="No"),"No",IF(AND(AX275="",BI275=""),"","Unknown")))</f>
        <v/>
      </c>
      <c r="BO275" s="31" t="str">
        <f aca="false">IF(COUNT(AY275,BJ275)=0,"",MIN(AY275,BJ275))</f>
        <v/>
      </c>
      <c r="BP275" s="29"/>
      <c r="BQ275" s="29"/>
      <c r="BR275" s="29"/>
      <c r="BS275" s="28" t="str">
        <f aca="false">IF(AND(N(BP275)&gt;0,N(BR275)&gt;0),BR275-BP275,"")</f>
        <v/>
      </c>
      <c r="BT275" s="28" t="str">
        <f aca="false">IF(BS275="","",ROUND(BS275/365.25,2))</f>
        <v/>
      </c>
      <c r="BU275" s="28" t="str">
        <f aca="false">IF(BS275="","",IF(BS275&gt;=730.5,"Yes","No"))</f>
        <v/>
      </c>
      <c r="BV275" s="27"/>
      <c r="BW275" s="29"/>
      <c r="BX275" s="27"/>
      <c r="BY275" s="27"/>
      <c r="BZ275" s="28" t="str">
        <f aca="false">IF(N(E275)=0,"",IF(E275&lt;65,"Under 65","≥65"))</f>
        <v/>
      </c>
      <c r="CA275" s="28" t="str">
        <f aca="false">IF(OR(AC275="Yes",AC275="No"),AC275,"")</f>
        <v/>
      </c>
      <c r="CB275" s="28" t="str">
        <f aca="false">IF(OR(AD275="Yes",AD275="No"),AD275,"")</f>
        <v/>
      </c>
      <c r="CC275" s="28" t="str">
        <f aca="false">IF(F275="","",F275)</f>
        <v/>
      </c>
      <c r="CD275" s="27"/>
      <c r="CE275" s="27"/>
    </row>
    <row r="276" customFormat="false" ht="15" hidden="false" customHeight="false" outlineLevel="0" collapsed="false">
      <c r="A276" s="27"/>
      <c r="B276" s="27"/>
      <c r="C276" s="27"/>
      <c r="D276" s="27"/>
      <c r="E276" s="27"/>
      <c r="F276" s="27"/>
      <c r="G276" s="27"/>
      <c r="H276" s="27"/>
      <c r="I276" s="27"/>
      <c r="J276" s="28" t="str">
        <f aca="false">IF(AND(N(H276)&gt;0,N(I276)&gt;0),ROUND(I276/(H276/100)^2,1),"")</f>
        <v/>
      </c>
      <c r="K276" s="27"/>
      <c r="L276" s="27"/>
      <c r="M276" s="27"/>
      <c r="N276" s="27"/>
      <c r="O276" s="27"/>
      <c r="P276" s="27"/>
      <c r="Q276" s="27"/>
      <c r="R276" s="29"/>
      <c r="S276" s="29"/>
      <c r="T276" s="27"/>
      <c r="U276" s="28" t="str">
        <f aca="false">IF(N(T276)=0,"",IF(T276&lt;12,"Under 12 months",IF(T276&lt;36,"12-35 months",IF(T276&lt;60,"36-59 months","≥60 months"))))</f>
        <v/>
      </c>
      <c r="V276" s="27"/>
      <c r="W276" s="30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9"/>
      <c r="AT276" s="30"/>
      <c r="AU276" s="30"/>
      <c r="AV276" s="30"/>
      <c r="AW276" s="27"/>
      <c r="AX276" s="27"/>
      <c r="AY276" s="29"/>
      <c r="AZ276" s="27"/>
      <c r="BA276" s="27"/>
      <c r="BB276" s="29"/>
      <c r="BC276" s="30"/>
      <c r="BD276" s="30"/>
      <c r="BE276" s="30"/>
      <c r="BF276" s="27"/>
      <c r="BG276" s="27"/>
      <c r="BH276" s="28" t="str">
        <f aca="false">IF(COUNT(BC276:BE276)=0,"",IF(MIN(BC276:BE276)&lt;=-2.5,"Yes","No"))</f>
        <v/>
      </c>
      <c r="BI276" s="27"/>
      <c r="BJ276" s="29"/>
      <c r="BK276" s="27"/>
      <c r="BL276" s="27"/>
      <c r="BM276" s="27"/>
      <c r="BN276" s="28" t="str">
        <f aca="false">IF(OR(AX276="Yes",BI276="Yes"),"Yes",IF(AND(AX276="No",BI276="No"),"No",IF(AND(AX276="",BI276=""),"","Unknown")))</f>
        <v/>
      </c>
      <c r="BO276" s="31" t="str">
        <f aca="false">IF(COUNT(AY276,BJ276)=0,"",MIN(AY276,BJ276))</f>
        <v/>
      </c>
      <c r="BP276" s="29"/>
      <c r="BQ276" s="29"/>
      <c r="BR276" s="29"/>
      <c r="BS276" s="28" t="str">
        <f aca="false">IF(AND(N(BP276)&gt;0,N(BR276)&gt;0),BR276-BP276,"")</f>
        <v/>
      </c>
      <c r="BT276" s="28" t="str">
        <f aca="false">IF(BS276="","",ROUND(BS276/365.25,2))</f>
        <v/>
      </c>
      <c r="BU276" s="28" t="str">
        <f aca="false">IF(BS276="","",IF(BS276&gt;=730.5,"Yes","No"))</f>
        <v/>
      </c>
      <c r="BV276" s="27"/>
      <c r="BW276" s="29"/>
      <c r="BX276" s="27"/>
      <c r="BY276" s="27"/>
      <c r="BZ276" s="28" t="str">
        <f aca="false">IF(N(E276)=0,"",IF(E276&lt;65,"Under 65","≥65"))</f>
        <v/>
      </c>
      <c r="CA276" s="28" t="str">
        <f aca="false">IF(OR(AC276="Yes",AC276="No"),AC276,"")</f>
        <v/>
      </c>
      <c r="CB276" s="28" t="str">
        <f aca="false">IF(OR(AD276="Yes",AD276="No"),AD276,"")</f>
        <v/>
      </c>
      <c r="CC276" s="28" t="str">
        <f aca="false">IF(F276="","",F276)</f>
        <v/>
      </c>
      <c r="CD276" s="27"/>
      <c r="CE276" s="27"/>
    </row>
    <row r="277" customFormat="false" ht="15" hidden="false" customHeight="false" outlineLevel="0" collapsed="false">
      <c r="A277" s="27"/>
      <c r="B277" s="27"/>
      <c r="C277" s="27"/>
      <c r="D277" s="27"/>
      <c r="E277" s="27"/>
      <c r="F277" s="27"/>
      <c r="G277" s="27"/>
      <c r="H277" s="27"/>
      <c r="I277" s="27"/>
      <c r="J277" s="28" t="str">
        <f aca="false">IF(AND(N(H277)&gt;0,N(I277)&gt;0),ROUND(I277/(H277/100)^2,1),"")</f>
        <v/>
      </c>
      <c r="K277" s="27"/>
      <c r="L277" s="27"/>
      <c r="M277" s="27"/>
      <c r="N277" s="27"/>
      <c r="O277" s="27"/>
      <c r="P277" s="27"/>
      <c r="Q277" s="27"/>
      <c r="R277" s="29"/>
      <c r="S277" s="29"/>
      <c r="T277" s="27"/>
      <c r="U277" s="28" t="str">
        <f aca="false">IF(N(T277)=0,"",IF(T277&lt;12,"Under 12 months",IF(T277&lt;36,"12-35 months",IF(T277&lt;60,"36-59 months","≥60 months"))))</f>
        <v/>
      </c>
      <c r="V277" s="27"/>
      <c r="W277" s="30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9"/>
      <c r="AT277" s="30"/>
      <c r="AU277" s="30"/>
      <c r="AV277" s="30"/>
      <c r="AW277" s="27"/>
      <c r="AX277" s="27"/>
      <c r="AY277" s="29"/>
      <c r="AZ277" s="27"/>
      <c r="BA277" s="27"/>
      <c r="BB277" s="29"/>
      <c r="BC277" s="30"/>
      <c r="BD277" s="30"/>
      <c r="BE277" s="30"/>
      <c r="BF277" s="27"/>
      <c r="BG277" s="27"/>
      <c r="BH277" s="28" t="str">
        <f aca="false">IF(COUNT(BC277:BE277)=0,"",IF(MIN(BC277:BE277)&lt;=-2.5,"Yes","No"))</f>
        <v/>
      </c>
      <c r="BI277" s="27"/>
      <c r="BJ277" s="29"/>
      <c r="BK277" s="27"/>
      <c r="BL277" s="27"/>
      <c r="BM277" s="27"/>
      <c r="BN277" s="28" t="str">
        <f aca="false">IF(OR(AX277="Yes",BI277="Yes"),"Yes",IF(AND(AX277="No",BI277="No"),"No",IF(AND(AX277="",BI277=""),"","Unknown")))</f>
        <v/>
      </c>
      <c r="BO277" s="31" t="str">
        <f aca="false">IF(COUNT(AY277,BJ277)=0,"",MIN(AY277,BJ277))</f>
        <v/>
      </c>
      <c r="BP277" s="29"/>
      <c r="BQ277" s="29"/>
      <c r="BR277" s="29"/>
      <c r="BS277" s="28" t="str">
        <f aca="false">IF(AND(N(BP277)&gt;0,N(BR277)&gt;0),BR277-BP277,"")</f>
        <v/>
      </c>
      <c r="BT277" s="28" t="str">
        <f aca="false">IF(BS277="","",ROUND(BS277/365.25,2))</f>
        <v/>
      </c>
      <c r="BU277" s="28" t="str">
        <f aca="false">IF(BS277="","",IF(BS277&gt;=730.5,"Yes","No"))</f>
        <v/>
      </c>
      <c r="BV277" s="27"/>
      <c r="BW277" s="29"/>
      <c r="BX277" s="27"/>
      <c r="BY277" s="27"/>
      <c r="BZ277" s="28" t="str">
        <f aca="false">IF(N(E277)=0,"",IF(E277&lt;65,"Under 65","≥65"))</f>
        <v/>
      </c>
      <c r="CA277" s="28" t="str">
        <f aca="false">IF(OR(AC277="Yes",AC277="No"),AC277,"")</f>
        <v/>
      </c>
      <c r="CB277" s="28" t="str">
        <f aca="false">IF(OR(AD277="Yes",AD277="No"),AD277,"")</f>
        <v/>
      </c>
      <c r="CC277" s="28" t="str">
        <f aca="false">IF(F277="","",F277)</f>
        <v/>
      </c>
      <c r="CD277" s="27"/>
      <c r="CE277" s="27"/>
    </row>
    <row r="278" customFormat="false" ht="15" hidden="false" customHeight="false" outlineLevel="0" collapsed="false">
      <c r="A278" s="27"/>
      <c r="B278" s="27"/>
      <c r="C278" s="27"/>
      <c r="D278" s="27"/>
      <c r="E278" s="27"/>
      <c r="F278" s="27"/>
      <c r="G278" s="27"/>
      <c r="H278" s="27"/>
      <c r="I278" s="27"/>
      <c r="J278" s="28" t="str">
        <f aca="false">IF(AND(N(H278)&gt;0,N(I278)&gt;0),ROUND(I278/(H278/100)^2,1),"")</f>
        <v/>
      </c>
      <c r="K278" s="27"/>
      <c r="L278" s="27"/>
      <c r="M278" s="27"/>
      <c r="N278" s="27"/>
      <c r="O278" s="27"/>
      <c r="P278" s="27"/>
      <c r="Q278" s="27"/>
      <c r="R278" s="29"/>
      <c r="S278" s="29"/>
      <c r="T278" s="27"/>
      <c r="U278" s="28" t="str">
        <f aca="false">IF(N(T278)=0,"",IF(T278&lt;12,"Under 12 months",IF(T278&lt;36,"12-35 months",IF(T278&lt;60,"36-59 months","≥60 months"))))</f>
        <v/>
      </c>
      <c r="V278" s="27"/>
      <c r="W278" s="30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9"/>
      <c r="AT278" s="30"/>
      <c r="AU278" s="30"/>
      <c r="AV278" s="30"/>
      <c r="AW278" s="27"/>
      <c r="AX278" s="27"/>
      <c r="AY278" s="29"/>
      <c r="AZ278" s="27"/>
      <c r="BA278" s="27"/>
      <c r="BB278" s="29"/>
      <c r="BC278" s="30"/>
      <c r="BD278" s="30"/>
      <c r="BE278" s="30"/>
      <c r="BF278" s="27"/>
      <c r="BG278" s="27"/>
      <c r="BH278" s="28" t="str">
        <f aca="false">IF(COUNT(BC278:BE278)=0,"",IF(MIN(BC278:BE278)&lt;=-2.5,"Yes","No"))</f>
        <v/>
      </c>
      <c r="BI278" s="27"/>
      <c r="BJ278" s="29"/>
      <c r="BK278" s="27"/>
      <c r="BL278" s="27"/>
      <c r="BM278" s="27"/>
      <c r="BN278" s="28" t="str">
        <f aca="false">IF(OR(AX278="Yes",BI278="Yes"),"Yes",IF(AND(AX278="No",BI278="No"),"No",IF(AND(AX278="",BI278=""),"","Unknown")))</f>
        <v/>
      </c>
      <c r="BO278" s="31" t="str">
        <f aca="false">IF(COUNT(AY278,BJ278)=0,"",MIN(AY278,BJ278))</f>
        <v/>
      </c>
      <c r="BP278" s="29"/>
      <c r="BQ278" s="29"/>
      <c r="BR278" s="29"/>
      <c r="BS278" s="28" t="str">
        <f aca="false">IF(AND(N(BP278)&gt;0,N(BR278)&gt;0),BR278-BP278,"")</f>
        <v/>
      </c>
      <c r="BT278" s="28" t="str">
        <f aca="false">IF(BS278="","",ROUND(BS278/365.25,2))</f>
        <v/>
      </c>
      <c r="BU278" s="28" t="str">
        <f aca="false">IF(BS278="","",IF(BS278&gt;=730.5,"Yes","No"))</f>
        <v/>
      </c>
      <c r="BV278" s="27"/>
      <c r="BW278" s="29"/>
      <c r="BX278" s="27"/>
      <c r="BY278" s="27"/>
      <c r="BZ278" s="28" t="str">
        <f aca="false">IF(N(E278)=0,"",IF(E278&lt;65,"Under 65","≥65"))</f>
        <v/>
      </c>
      <c r="CA278" s="28" t="str">
        <f aca="false">IF(OR(AC278="Yes",AC278="No"),AC278,"")</f>
        <v/>
      </c>
      <c r="CB278" s="28" t="str">
        <f aca="false">IF(OR(AD278="Yes",AD278="No"),AD278,"")</f>
        <v/>
      </c>
      <c r="CC278" s="28" t="str">
        <f aca="false">IF(F278="","",F278)</f>
        <v/>
      </c>
      <c r="CD278" s="27"/>
      <c r="CE278" s="27"/>
    </row>
    <row r="279" customFormat="false" ht="15" hidden="false" customHeight="false" outlineLevel="0" collapsed="false">
      <c r="A279" s="27"/>
      <c r="B279" s="27"/>
      <c r="C279" s="27"/>
      <c r="D279" s="27"/>
      <c r="E279" s="27"/>
      <c r="F279" s="27"/>
      <c r="G279" s="27"/>
      <c r="H279" s="27"/>
      <c r="I279" s="27"/>
      <c r="J279" s="28" t="str">
        <f aca="false">IF(AND(N(H279)&gt;0,N(I279)&gt;0),ROUND(I279/(H279/100)^2,1),"")</f>
        <v/>
      </c>
      <c r="K279" s="27"/>
      <c r="L279" s="27"/>
      <c r="M279" s="27"/>
      <c r="N279" s="27"/>
      <c r="O279" s="27"/>
      <c r="P279" s="27"/>
      <c r="Q279" s="27"/>
      <c r="R279" s="29"/>
      <c r="S279" s="29"/>
      <c r="T279" s="27"/>
      <c r="U279" s="28" t="str">
        <f aca="false">IF(N(T279)=0,"",IF(T279&lt;12,"Under 12 months",IF(T279&lt;36,"12-35 months",IF(T279&lt;60,"36-59 months","≥60 months"))))</f>
        <v/>
      </c>
      <c r="V279" s="27"/>
      <c r="W279" s="30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9"/>
      <c r="AT279" s="30"/>
      <c r="AU279" s="30"/>
      <c r="AV279" s="30"/>
      <c r="AW279" s="27"/>
      <c r="AX279" s="27"/>
      <c r="AY279" s="29"/>
      <c r="AZ279" s="27"/>
      <c r="BA279" s="27"/>
      <c r="BB279" s="29"/>
      <c r="BC279" s="30"/>
      <c r="BD279" s="30"/>
      <c r="BE279" s="30"/>
      <c r="BF279" s="27"/>
      <c r="BG279" s="27"/>
      <c r="BH279" s="28" t="str">
        <f aca="false">IF(COUNT(BC279:BE279)=0,"",IF(MIN(BC279:BE279)&lt;=-2.5,"Yes","No"))</f>
        <v/>
      </c>
      <c r="BI279" s="27"/>
      <c r="BJ279" s="29"/>
      <c r="BK279" s="27"/>
      <c r="BL279" s="27"/>
      <c r="BM279" s="27"/>
      <c r="BN279" s="28" t="str">
        <f aca="false">IF(OR(AX279="Yes",BI279="Yes"),"Yes",IF(AND(AX279="No",BI279="No"),"No",IF(AND(AX279="",BI279=""),"","Unknown")))</f>
        <v/>
      </c>
      <c r="BO279" s="31" t="str">
        <f aca="false">IF(COUNT(AY279,BJ279)=0,"",MIN(AY279,BJ279))</f>
        <v/>
      </c>
      <c r="BP279" s="29"/>
      <c r="BQ279" s="29"/>
      <c r="BR279" s="29"/>
      <c r="BS279" s="28" t="str">
        <f aca="false">IF(AND(N(BP279)&gt;0,N(BR279)&gt;0),BR279-BP279,"")</f>
        <v/>
      </c>
      <c r="BT279" s="28" t="str">
        <f aca="false">IF(BS279="","",ROUND(BS279/365.25,2))</f>
        <v/>
      </c>
      <c r="BU279" s="28" t="str">
        <f aca="false">IF(BS279="","",IF(BS279&gt;=730.5,"Yes","No"))</f>
        <v/>
      </c>
      <c r="BV279" s="27"/>
      <c r="BW279" s="29"/>
      <c r="BX279" s="27"/>
      <c r="BY279" s="27"/>
      <c r="BZ279" s="28" t="str">
        <f aca="false">IF(N(E279)=0,"",IF(E279&lt;65,"Under 65","≥65"))</f>
        <v/>
      </c>
      <c r="CA279" s="28" t="str">
        <f aca="false">IF(OR(AC279="Yes",AC279="No"),AC279,"")</f>
        <v/>
      </c>
      <c r="CB279" s="28" t="str">
        <f aca="false">IF(OR(AD279="Yes",AD279="No"),AD279,"")</f>
        <v/>
      </c>
      <c r="CC279" s="28" t="str">
        <f aca="false">IF(F279="","",F279)</f>
        <v/>
      </c>
      <c r="CD279" s="27"/>
      <c r="CE279" s="27"/>
    </row>
    <row r="280" customFormat="false" ht="15" hidden="false" customHeight="false" outlineLevel="0" collapsed="false">
      <c r="A280" s="27"/>
      <c r="B280" s="27"/>
      <c r="C280" s="27"/>
      <c r="D280" s="27"/>
      <c r="E280" s="27"/>
      <c r="F280" s="27"/>
      <c r="G280" s="27"/>
      <c r="H280" s="27"/>
      <c r="I280" s="27"/>
      <c r="J280" s="28" t="str">
        <f aca="false">IF(AND(N(H280)&gt;0,N(I280)&gt;0),ROUND(I280/(H280/100)^2,1),"")</f>
        <v/>
      </c>
      <c r="K280" s="27"/>
      <c r="L280" s="27"/>
      <c r="M280" s="27"/>
      <c r="N280" s="27"/>
      <c r="O280" s="27"/>
      <c r="P280" s="27"/>
      <c r="Q280" s="27"/>
      <c r="R280" s="29"/>
      <c r="S280" s="29"/>
      <c r="T280" s="27"/>
      <c r="U280" s="28" t="str">
        <f aca="false">IF(N(T280)=0,"",IF(T280&lt;12,"Under 12 months",IF(T280&lt;36,"12-35 months",IF(T280&lt;60,"36-59 months","≥60 months"))))</f>
        <v/>
      </c>
      <c r="V280" s="27"/>
      <c r="W280" s="30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9"/>
      <c r="AT280" s="30"/>
      <c r="AU280" s="30"/>
      <c r="AV280" s="30"/>
      <c r="AW280" s="27"/>
      <c r="AX280" s="27"/>
      <c r="AY280" s="29"/>
      <c r="AZ280" s="27"/>
      <c r="BA280" s="27"/>
      <c r="BB280" s="29"/>
      <c r="BC280" s="30"/>
      <c r="BD280" s="30"/>
      <c r="BE280" s="30"/>
      <c r="BF280" s="27"/>
      <c r="BG280" s="27"/>
      <c r="BH280" s="28" t="str">
        <f aca="false">IF(COUNT(BC280:BE280)=0,"",IF(MIN(BC280:BE280)&lt;=-2.5,"Yes","No"))</f>
        <v/>
      </c>
      <c r="BI280" s="27"/>
      <c r="BJ280" s="29"/>
      <c r="BK280" s="27"/>
      <c r="BL280" s="27"/>
      <c r="BM280" s="27"/>
      <c r="BN280" s="28" t="str">
        <f aca="false">IF(OR(AX280="Yes",BI280="Yes"),"Yes",IF(AND(AX280="No",BI280="No"),"No",IF(AND(AX280="",BI280=""),"","Unknown")))</f>
        <v/>
      </c>
      <c r="BO280" s="31" t="str">
        <f aca="false">IF(COUNT(AY280,BJ280)=0,"",MIN(AY280,BJ280))</f>
        <v/>
      </c>
      <c r="BP280" s="29"/>
      <c r="BQ280" s="29"/>
      <c r="BR280" s="29"/>
      <c r="BS280" s="28" t="str">
        <f aca="false">IF(AND(N(BP280)&gt;0,N(BR280)&gt;0),BR280-BP280,"")</f>
        <v/>
      </c>
      <c r="BT280" s="28" t="str">
        <f aca="false">IF(BS280="","",ROUND(BS280/365.25,2))</f>
        <v/>
      </c>
      <c r="BU280" s="28" t="str">
        <f aca="false">IF(BS280="","",IF(BS280&gt;=730.5,"Yes","No"))</f>
        <v/>
      </c>
      <c r="BV280" s="27"/>
      <c r="BW280" s="29"/>
      <c r="BX280" s="27"/>
      <c r="BY280" s="27"/>
      <c r="BZ280" s="28" t="str">
        <f aca="false">IF(N(E280)=0,"",IF(E280&lt;65,"Under 65","≥65"))</f>
        <v/>
      </c>
      <c r="CA280" s="28" t="str">
        <f aca="false">IF(OR(AC280="Yes",AC280="No"),AC280,"")</f>
        <v/>
      </c>
      <c r="CB280" s="28" t="str">
        <f aca="false">IF(OR(AD280="Yes",AD280="No"),AD280,"")</f>
        <v/>
      </c>
      <c r="CC280" s="28" t="str">
        <f aca="false">IF(F280="","",F280)</f>
        <v/>
      </c>
      <c r="CD280" s="27"/>
      <c r="CE280" s="27"/>
    </row>
    <row r="281" customFormat="false" ht="15" hidden="false" customHeight="false" outlineLevel="0" collapsed="false">
      <c r="A281" s="27"/>
      <c r="B281" s="27"/>
      <c r="C281" s="27"/>
      <c r="D281" s="27"/>
      <c r="E281" s="27"/>
      <c r="F281" s="27"/>
      <c r="G281" s="27"/>
      <c r="H281" s="27"/>
      <c r="I281" s="27"/>
      <c r="J281" s="28" t="str">
        <f aca="false">IF(AND(N(H281)&gt;0,N(I281)&gt;0),ROUND(I281/(H281/100)^2,1),"")</f>
        <v/>
      </c>
      <c r="K281" s="27"/>
      <c r="L281" s="27"/>
      <c r="M281" s="27"/>
      <c r="N281" s="27"/>
      <c r="O281" s="27"/>
      <c r="P281" s="27"/>
      <c r="Q281" s="27"/>
      <c r="R281" s="29"/>
      <c r="S281" s="29"/>
      <c r="T281" s="27"/>
      <c r="U281" s="28" t="str">
        <f aca="false">IF(N(T281)=0,"",IF(T281&lt;12,"Under 12 months",IF(T281&lt;36,"12-35 months",IF(T281&lt;60,"36-59 months","≥60 months"))))</f>
        <v/>
      </c>
      <c r="V281" s="27"/>
      <c r="W281" s="30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9"/>
      <c r="AT281" s="30"/>
      <c r="AU281" s="30"/>
      <c r="AV281" s="30"/>
      <c r="AW281" s="27"/>
      <c r="AX281" s="27"/>
      <c r="AY281" s="29"/>
      <c r="AZ281" s="27"/>
      <c r="BA281" s="27"/>
      <c r="BB281" s="29"/>
      <c r="BC281" s="30"/>
      <c r="BD281" s="30"/>
      <c r="BE281" s="30"/>
      <c r="BF281" s="27"/>
      <c r="BG281" s="27"/>
      <c r="BH281" s="28" t="str">
        <f aca="false">IF(COUNT(BC281:BE281)=0,"",IF(MIN(BC281:BE281)&lt;=-2.5,"Yes","No"))</f>
        <v/>
      </c>
      <c r="BI281" s="27"/>
      <c r="BJ281" s="29"/>
      <c r="BK281" s="27"/>
      <c r="BL281" s="27"/>
      <c r="BM281" s="27"/>
      <c r="BN281" s="28" t="str">
        <f aca="false">IF(OR(AX281="Yes",BI281="Yes"),"Yes",IF(AND(AX281="No",BI281="No"),"No",IF(AND(AX281="",BI281=""),"","Unknown")))</f>
        <v/>
      </c>
      <c r="BO281" s="31" t="str">
        <f aca="false">IF(COUNT(AY281,BJ281)=0,"",MIN(AY281,BJ281))</f>
        <v/>
      </c>
      <c r="BP281" s="29"/>
      <c r="BQ281" s="29"/>
      <c r="BR281" s="29"/>
      <c r="BS281" s="28" t="str">
        <f aca="false">IF(AND(N(BP281)&gt;0,N(BR281)&gt;0),BR281-BP281,"")</f>
        <v/>
      </c>
      <c r="BT281" s="28" t="str">
        <f aca="false">IF(BS281="","",ROUND(BS281/365.25,2))</f>
        <v/>
      </c>
      <c r="BU281" s="28" t="str">
        <f aca="false">IF(BS281="","",IF(BS281&gt;=730.5,"Yes","No"))</f>
        <v/>
      </c>
      <c r="BV281" s="27"/>
      <c r="BW281" s="29"/>
      <c r="BX281" s="27"/>
      <c r="BY281" s="27"/>
      <c r="BZ281" s="28" t="str">
        <f aca="false">IF(N(E281)=0,"",IF(E281&lt;65,"Under 65","≥65"))</f>
        <v/>
      </c>
      <c r="CA281" s="28" t="str">
        <f aca="false">IF(OR(AC281="Yes",AC281="No"),AC281,"")</f>
        <v/>
      </c>
      <c r="CB281" s="28" t="str">
        <f aca="false">IF(OR(AD281="Yes",AD281="No"),AD281,"")</f>
        <v/>
      </c>
      <c r="CC281" s="28" t="str">
        <f aca="false">IF(F281="","",F281)</f>
        <v/>
      </c>
      <c r="CD281" s="27"/>
      <c r="CE281" s="27"/>
    </row>
    <row r="282" customFormat="false" ht="15" hidden="false" customHeight="false" outlineLevel="0" collapsed="false">
      <c r="A282" s="27"/>
      <c r="B282" s="27"/>
      <c r="C282" s="27"/>
      <c r="D282" s="27"/>
      <c r="E282" s="27"/>
      <c r="F282" s="27"/>
      <c r="G282" s="27"/>
      <c r="H282" s="27"/>
      <c r="I282" s="27"/>
      <c r="J282" s="28" t="str">
        <f aca="false">IF(AND(N(H282)&gt;0,N(I282)&gt;0),ROUND(I282/(H282/100)^2,1),"")</f>
        <v/>
      </c>
      <c r="K282" s="27"/>
      <c r="L282" s="27"/>
      <c r="M282" s="27"/>
      <c r="N282" s="27"/>
      <c r="O282" s="27"/>
      <c r="P282" s="27"/>
      <c r="Q282" s="27"/>
      <c r="R282" s="29"/>
      <c r="S282" s="29"/>
      <c r="T282" s="27"/>
      <c r="U282" s="28" t="str">
        <f aca="false">IF(N(T282)=0,"",IF(T282&lt;12,"Under 12 months",IF(T282&lt;36,"12-35 months",IF(T282&lt;60,"36-59 months","≥60 months"))))</f>
        <v/>
      </c>
      <c r="V282" s="27"/>
      <c r="W282" s="30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9"/>
      <c r="AT282" s="30"/>
      <c r="AU282" s="30"/>
      <c r="AV282" s="30"/>
      <c r="AW282" s="27"/>
      <c r="AX282" s="27"/>
      <c r="AY282" s="29"/>
      <c r="AZ282" s="27"/>
      <c r="BA282" s="27"/>
      <c r="BB282" s="29"/>
      <c r="BC282" s="30"/>
      <c r="BD282" s="30"/>
      <c r="BE282" s="30"/>
      <c r="BF282" s="27"/>
      <c r="BG282" s="27"/>
      <c r="BH282" s="28" t="str">
        <f aca="false">IF(COUNT(BC282:BE282)=0,"",IF(MIN(BC282:BE282)&lt;=-2.5,"Yes","No"))</f>
        <v/>
      </c>
      <c r="BI282" s="27"/>
      <c r="BJ282" s="29"/>
      <c r="BK282" s="27"/>
      <c r="BL282" s="27"/>
      <c r="BM282" s="27"/>
      <c r="BN282" s="28" t="str">
        <f aca="false">IF(OR(AX282="Yes",BI282="Yes"),"Yes",IF(AND(AX282="No",BI282="No"),"No",IF(AND(AX282="",BI282=""),"","Unknown")))</f>
        <v/>
      </c>
      <c r="BO282" s="31" t="str">
        <f aca="false">IF(COUNT(AY282,BJ282)=0,"",MIN(AY282,BJ282))</f>
        <v/>
      </c>
      <c r="BP282" s="29"/>
      <c r="BQ282" s="29"/>
      <c r="BR282" s="29"/>
      <c r="BS282" s="28" t="str">
        <f aca="false">IF(AND(N(BP282)&gt;0,N(BR282)&gt;0),BR282-BP282,"")</f>
        <v/>
      </c>
      <c r="BT282" s="28" t="str">
        <f aca="false">IF(BS282="","",ROUND(BS282/365.25,2))</f>
        <v/>
      </c>
      <c r="BU282" s="28" t="str">
        <f aca="false">IF(BS282="","",IF(BS282&gt;=730.5,"Yes","No"))</f>
        <v/>
      </c>
      <c r="BV282" s="27"/>
      <c r="BW282" s="29"/>
      <c r="BX282" s="27"/>
      <c r="BY282" s="27"/>
      <c r="BZ282" s="28" t="str">
        <f aca="false">IF(N(E282)=0,"",IF(E282&lt;65,"Under 65","≥65"))</f>
        <v/>
      </c>
      <c r="CA282" s="28" t="str">
        <f aca="false">IF(OR(AC282="Yes",AC282="No"),AC282,"")</f>
        <v/>
      </c>
      <c r="CB282" s="28" t="str">
        <f aca="false">IF(OR(AD282="Yes",AD282="No"),AD282,"")</f>
        <v/>
      </c>
      <c r="CC282" s="28" t="str">
        <f aca="false">IF(F282="","",F282)</f>
        <v/>
      </c>
      <c r="CD282" s="27"/>
      <c r="CE282" s="27"/>
    </row>
    <row r="283" customFormat="false" ht="15" hidden="false" customHeight="false" outlineLevel="0" collapsed="false">
      <c r="A283" s="27"/>
      <c r="B283" s="27"/>
      <c r="C283" s="27"/>
      <c r="D283" s="27"/>
      <c r="E283" s="27"/>
      <c r="F283" s="27"/>
      <c r="G283" s="27"/>
      <c r="H283" s="27"/>
      <c r="I283" s="27"/>
      <c r="J283" s="28" t="str">
        <f aca="false">IF(AND(N(H283)&gt;0,N(I283)&gt;0),ROUND(I283/(H283/100)^2,1),"")</f>
        <v/>
      </c>
      <c r="K283" s="27"/>
      <c r="L283" s="27"/>
      <c r="M283" s="27"/>
      <c r="N283" s="27"/>
      <c r="O283" s="27"/>
      <c r="P283" s="27"/>
      <c r="Q283" s="27"/>
      <c r="R283" s="29"/>
      <c r="S283" s="29"/>
      <c r="T283" s="27"/>
      <c r="U283" s="28" t="str">
        <f aca="false">IF(N(T283)=0,"",IF(T283&lt;12,"Under 12 months",IF(T283&lt;36,"12-35 months",IF(T283&lt;60,"36-59 months","≥60 months"))))</f>
        <v/>
      </c>
      <c r="V283" s="27"/>
      <c r="W283" s="30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9"/>
      <c r="AT283" s="30"/>
      <c r="AU283" s="30"/>
      <c r="AV283" s="30"/>
      <c r="AW283" s="27"/>
      <c r="AX283" s="27"/>
      <c r="AY283" s="29"/>
      <c r="AZ283" s="27"/>
      <c r="BA283" s="27"/>
      <c r="BB283" s="29"/>
      <c r="BC283" s="30"/>
      <c r="BD283" s="30"/>
      <c r="BE283" s="30"/>
      <c r="BF283" s="27"/>
      <c r="BG283" s="27"/>
      <c r="BH283" s="28" t="str">
        <f aca="false">IF(COUNT(BC283:BE283)=0,"",IF(MIN(BC283:BE283)&lt;=-2.5,"Yes","No"))</f>
        <v/>
      </c>
      <c r="BI283" s="27"/>
      <c r="BJ283" s="29"/>
      <c r="BK283" s="27"/>
      <c r="BL283" s="27"/>
      <c r="BM283" s="27"/>
      <c r="BN283" s="28" t="str">
        <f aca="false">IF(OR(AX283="Yes",BI283="Yes"),"Yes",IF(AND(AX283="No",BI283="No"),"No",IF(AND(AX283="",BI283=""),"","Unknown")))</f>
        <v/>
      </c>
      <c r="BO283" s="31" t="str">
        <f aca="false">IF(COUNT(AY283,BJ283)=0,"",MIN(AY283,BJ283))</f>
        <v/>
      </c>
      <c r="BP283" s="29"/>
      <c r="BQ283" s="29"/>
      <c r="BR283" s="29"/>
      <c r="BS283" s="28" t="str">
        <f aca="false">IF(AND(N(BP283)&gt;0,N(BR283)&gt;0),BR283-BP283,"")</f>
        <v/>
      </c>
      <c r="BT283" s="28" t="str">
        <f aca="false">IF(BS283="","",ROUND(BS283/365.25,2))</f>
        <v/>
      </c>
      <c r="BU283" s="28" t="str">
        <f aca="false">IF(BS283="","",IF(BS283&gt;=730.5,"Yes","No"))</f>
        <v/>
      </c>
      <c r="BV283" s="27"/>
      <c r="BW283" s="29"/>
      <c r="BX283" s="27"/>
      <c r="BY283" s="27"/>
      <c r="BZ283" s="28" t="str">
        <f aca="false">IF(N(E283)=0,"",IF(E283&lt;65,"Under 65","≥65"))</f>
        <v/>
      </c>
      <c r="CA283" s="28" t="str">
        <f aca="false">IF(OR(AC283="Yes",AC283="No"),AC283,"")</f>
        <v/>
      </c>
      <c r="CB283" s="28" t="str">
        <f aca="false">IF(OR(AD283="Yes",AD283="No"),AD283,"")</f>
        <v/>
      </c>
      <c r="CC283" s="28" t="str">
        <f aca="false">IF(F283="","",F283)</f>
        <v/>
      </c>
      <c r="CD283" s="27"/>
      <c r="CE283" s="27"/>
    </row>
    <row r="284" customFormat="false" ht="15" hidden="false" customHeight="false" outlineLevel="0" collapsed="false">
      <c r="A284" s="27"/>
      <c r="B284" s="27"/>
      <c r="C284" s="27"/>
      <c r="D284" s="27"/>
      <c r="E284" s="27"/>
      <c r="F284" s="27"/>
      <c r="G284" s="27"/>
      <c r="H284" s="27"/>
      <c r="I284" s="27"/>
      <c r="J284" s="28" t="str">
        <f aca="false">IF(AND(N(H284)&gt;0,N(I284)&gt;0),ROUND(I284/(H284/100)^2,1),"")</f>
        <v/>
      </c>
      <c r="K284" s="27"/>
      <c r="L284" s="27"/>
      <c r="M284" s="27"/>
      <c r="N284" s="27"/>
      <c r="O284" s="27"/>
      <c r="P284" s="27"/>
      <c r="Q284" s="27"/>
      <c r="R284" s="29"/>
      <c r="S284" s="29"/>
      <c r="T284" s="27"/>
      <c r="U284" s="28" t="str">
        <f aca="false">IF(N(T284)=0,"",IF(T284&lt;12,"Under 12 months",IF(T284&lt;36,"12-35 months",IF(T284&lt;60,"36-59 months","≥60 months"))))</f>
        <v/>
      </c>
      <c r="V284" s="27"/>
      <c r="W284" s="30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9"/>
      <c r="AT284" s="30"/>
      <c r="AU284" s="30"/>
      <c r="AV284" s="30"/>
      <c r="AW284" s="27"/>
      <c r="AX284" s="27"/>
      <c r="AY284" s="29"/>
      <c r="AZ284" s="27"/>
      <c r="BA284" s="27"/>
      <c r="BB284" s="29"/>
      <c r="BC284" s="30"/>
      <c r="BD284" s="30"/>
      <c r="BE284" s="30"/>
      <c r="BF284" s="27"/>
      <c r="BG284" s="27"/>
      <c r="BH284" s="28" t="str">
        <f aca="false">IF(COUNT(BC284:BE284)=0,"",IF(MIN(BC284:BE284)&lt;=-2.5,"Yes","No"))</f>
        <v/>
      </c>
      <c r="BI284" s="27"/>
      <c r="BJ284" s="29"/>
      <c r="BK284" s="27"/>
      <c r="BL284" s="27"/>
      <c r="BM284" s="27"/>
      <c r="BN284" s="28" t="str">
        <f aca="false">IF(OR(AX284="Yes",BI284="Yes"),"Yes",IF(AND(AX284="No",BI284="No"),"No",IF(AND(AX284="",BI284=""),"","Unknown")))</f>
        <v/>
      </c>
      <c r="BO284" s="31" t="str">
        <f aca="false">IF(COUNT(AY284,BJ284)=0,"",MIN(AY284,BJ284))</f>
        <v/>
      </c>
      <c r="BP284" s="29"/>
      <c r="BQ284" s="29"/>
      <c r="BR284" s="29"/>
      <c r="BS284" s="28" t="str">
        <f aca="false">IF(AND(N(BP284)&gt;0,N(BR284)&gt;0),BR284-BP284,"")</f>
        <v/>
      </c>
      <c r="BT284" s="28" t="str">
        <f aca="false">IF(BS284="","",ROUND(BS284/365.25,2))</f>
        <v/>
      </c>
      <c r="BU284" s="28" t="str">
        <f aca="false">IF(BS284="","",IF(BS284&gt;=730.5,"Yes","No"))</f>
        <v/>
      </c>
      <c r="BV284" s="27"/>
      <c r="BW284" s="29"/>
      <c r="BX284" s="27"/>
      <c r="BY284" s="27"/>
      <c r="BZ284" s="28" t="str">
        <f aca="false">IF(N(E284)=0,"",IF(E284&lt;65,"Under 65","≥65"))</f>
        <v/>
      </c>
      <c r="CA284" s="28" t="str">
        <f aca="false">IF(OR(AC284="Yes",AC284="No"),AC284,"")</f>
        <v/>
      </c>
      <c r="CB284" s="28" t="str">
        <f aca="false">IF(OR(AD284="Yes",AD284="No"),AD284,"")</f>
        <v/>
      </c>
      <c r="CC284" s="28" t="str">
        <f aca="false">IF(F284="","",F284)</f>
        <v/>
      </c>
      <c r="CD284" s="27"/>
      <c r="CE284" s="27"/>
    </row>
    <row r="285" customFormat="false" ht="15" hidden="false" customHeight="false" outlineLevel="0" collapsed="false">
      <c r="A285" s="27"/>
      <c r="B285" s="27"/>
      <c r="C285" s="27"/>
      <c r="D285" s="27"/>
      <c r="E285" s="27"/>
      <c r="F285" s="27"/>
      <c r="G285" s="27"/>
      <c r="H285" s="27"/>
      <c r="I285" s="27"/>
      <c r="J285" s="28" t="str">
        <f aca="false">IF(AND(N(H285)&gt;0,N(I285)&gt;0),ROUND(I285/(H285/100)^2,1),"")</f>
        <v/>
      </c>
      <c r="K285" s="27"/>
      <c r="L285" s="27"/>
      <c r="M285" s="27"/>
      <c r="N285" s="27"/>
      <c r="O285" s="27"/>
      <c r="P285" s="27"/>
      <c r="Q285" s="27"/>
      <c r="R285" s="29"/>
      <c r="S285" s="29"/>
      <c r="T285" s="27"/>
      <c r="U285" s="28" t="str">
        <f aca="false">IF(N(T285)=0,"",IF(T285&lt;12,"Under 12 months",IF(T285&lt;36,"12-35 months",IF(T285&lt;60,"36-59 months","≥60 months"))))</f>
        <v/>
      </c>
      <c r="V285" s="27"/>
      <c r="W285" s="30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9"/>
      <c r="AT285" s="30"/>
      <c r="AU285" s="30"/>
      <c r="AV285" s="30"/>
      <c r="AW285" s="27"/>
      <c r="AX285" s="27"/>
      <c r="AY285" s="29"/>
      <c r="AZ285" s="27"/>
      <c r="BA285" s="27"/>
      <c r="BB285" s="29"/>
      <c r="BC285" s="30"/>
      <c r="BD285" s="30"/>
      <c r="BE285" s="30"/>
      <c r="BF285" s="27"/>
      <c r="BG285" s="27"/>
      <c r="BH285" s="28" t="str">
        <f aca="false">IF(COUNT(BC285:BE285)=0,"",IF(MIN(BC285:BE285)&lt;=-2.5,"Yes","No"))</f>
        <v/>
      </c>
      <c r="BI285" s="27"/>
      <c r="BJ285" s="29"/>
      <c r="BK285" s="27"/>
      <c r="BL285" s="27"/>
      <c r="BM285" s="27"/>
      <c r="BN285" s="28" t="str">
        <f aca="false">IF(OR(AX285="Yes",BI285="Yes"),"Yes",IF(AND(AX285="No",BI285="No"),"No",IF(AND(AX285="",BI285=""),"","Unknown")))</f>
        <v/>
      </c>
      <c r="BO285" s="31" t="str">
        <f aca="false">IF(COUNT(AY285,BJ285)=0,"",MIN(AY285,BJ285))</f>
        <v/>
      </c>
      <c r="BP285" s="29"/>
      <c r="BQ285" s="29"/>
      <c r="BR285" s="29"/>
      <c r="BS285" s="28" t="str">
        <f aca="false">IF(AND(N(BP285)&gt;0,N(BR285)&gt;0),BR285-BP285,"")</f>
        <v/>
      </c>
      <c r="BT285" s="28" t="str">
        <f aca="false">IF(BS285="","",ROUND(BS285/365.25,2))</f>
        <v/>
      </c>
      <c r="BU285" s="28" t="str">
        <f aca="false">IF(BS285="","",IF(BS285&gt;=730.5,"Yes","No"))</f>
        <v/>
      </c>
      <c r="BV285" s="27"/>
      <c r="BW285" s="29"/>
      <c r="BX285" s="27"/>
      <c r="BY285" s="27"/>
      <c r="BZ285" s="28" t="str">
        <f aca="false">IF(N(E285)=0,"",IF(E285&lt;65,"Under 65","≥65"))</f>
        <v/>
      </c>
      <c r="CA285" s="28" t="str">
        <f aca="false">IF(OR(AC285="Yes",AC285="No"),AC285,"")</f>
        <v/>
      </c>
      <c r="CB285" s="28" t="str">
        <f aca="false">IF(OR(AD285="Yes",AD285="No"),AD285,"")</f>
        <v/>
      </c>
      <c r="CC285" s="28" t="str">
        <f aca="false">IF(F285="","",F285)</f>
        <v/>
      </c>
      <c r="CD285" s="27"/>
      <c r="CE285" s="27"/>
    </row>
    <row r="286" customFormat="false" ht="15" hidden="false" customHeight="false" outlineLevel="0" collapsed="false">
      <c r="A286" s="27"/>
      <c r="B286" s="27"/>
      <c r="C286" s="27"/>
      <c r="D286" s="27"/>
      <c r="E286" s="27"/>
      <c r="F286" s="27"/>
      <c r="G286" s="27"/>
      <c r="H286" s="27"/>
      <c r="I286" s="27"/>
      <c r="J286" s="28" t="str">
        <f aca="false">IF(AND(N(H286)&gt;0,N(I286)&gt;0),ROUND(I286/(H286/100)^2,1),"")</f>
        <v/>
      </c>
      <c r="K286" s="27"/>
      <c r="L286" s="27"/>
      <c r="M286" s="27"/>
      <c r="N286" s="27"/>
      <c r="O286" s="27"/>
      <c r="P286" s="27"/>
      <c r="Q286" s="27"/>
      <c r="R286" s="29"/>
      <c r="S286" s="29"/>
      <c r="T286" s="27"/>
      <c r="U286" s="28" t="str">
        <f aca="false">IF(N(T286)=0,"",IF(T286&lt;12,"Under 12 months",IF(T286&lt;36,"12-35 months",IF(T286&lt;60,"36-59 months","≥60 months"))))</f>
        <v/>
      </c>
      <c r="V286" s="27"/>
      <c r="W286" s="30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9"/>
      <c r="AT286" s="30"/>
      <c r="AU286" s="30"/>
      <c r="AV286" s="30"/>
      <c r="AW286" s="27"/>
      <c r="AX286" s="27"/>
      <c r="AY286" s="29"/>
      <c r="AZ286" s="27"/>
      <c r="BA286" s="27"/>
      <c r="BB286" s="29"/>
      <c r="BC286" s="30"/>
      <c r="BD286" s="30"/>
      <c r="BE286" s="30"/>
      <c r="BF286" s="27"/>
      <c r="BG286" s="27"/>
      <c r="BH286" s="28" t="str">
        <f aca="false">IF(COUNT(BC286:BE286)=0,"",IF(MIN(BC286:BE286)&lt;=-2.5,"Yes","No"))</f>
        <v/>
      </c>
      <c r="BI286" s="27"/>
      <c r="BJ286" s="29"/>
      <c r="BK286" s="27"/>
      <c r="BL286" s="27"/>
      <c r="BM286" s="27"/>
      <c r="BN286" s="28" t="str">
        <f aca="false">IF(OR(AX286="Yes",BI286="Yes"),"Yes",IF(AND(AX286="No",BI286="No"),"No",IF(AND(AX286="",BI286=""),"","Unknown")))</f>
        <v/>
      </c>
      <c r="BO286" s="31" t="str">
        <f aca="false">IF(COUNT(AY286,BJ286)=0,"",MIN(AY286,BJ286))</f>
        <v/>
      </c>
      <c r="BP286" s="29"/>
      <c r="BQ286" s="29"/>
      <c r="BR286" s="29"/>
      <c r="BS286" s="28" t="str">
        <f aca="false">IF(AND(N(BP286)&gt;0,N(BR286)&gt;0),BR286-BP286,"")</f>
        <v/>
      </c>
      <c r="BT286" s="28" t="str">
        <f aca="false">IF(BS286="","",ROUND(BS286/365.25,2))</f>
        <v/>
      </c>
      <c r="BU286" s="28" t="str">
        <f aca="false">IF(BS286="","",IF(BS286&gt;=730.5,"Yes","No"))</f>
        <v/>
      </c>
      <c r="BV286" s="27"/>
      <c r="BW286" s="29"/>
      <c r="BX286" s="27"/>
      <c r="BY286" s="27"/>
      <c r="BZ286" s="28" t="str">
        <f aca="false">IF(N(E286)=0,"",IF(E286&lt;65,"Under 65","≥65"))</f>
        <v/>
      </c>
      <c r="CA286" s="28" t="str">
        <f aca="false">IF(OR(AC286="Yes",AC286="No"),AC286,"")</f>
        <v/>
      </c>
      <c r="CB286" s="28" t="str">
        <f aca="false">IF(OR(AD286="Yes",AD286="No"),AD286,"")</f>
        <v/>
      </c>
      <c r="CC286" s="28" t="str">
        <f aca="false">IF(F286="","",F286)</f>
        <v/>
      </c>
      <c r="CD286" s="27"/>
      <c r="CE286" s="27"/>
    </row>
    <row r="287" customFormat="false" ht="15" hidden="false" customHeight="false" outlineLevel="0" collapsed="false">
      <c r="A287" s="27"/>
      <c r="B287" s="27"/>
      <c r="C287" s="27"/>
      <c r="D287" s="27"/>
      <c r="E287" s="27"/>
      <c r="F287" s="27"/>
      <c r="G287" s="27"/>
      <c r="H287" s="27"/>
      <c r="I287" s="27"/>
      <c r="J287" s="28" t="str">
        <f aca="false">IF(AND(N(H287)&gt;0,N(I287)&gt;0),ROUND(I287/(H287/100)^2,1),"")</f>
        <v/>
      </c>
      <c r="K287" s="27"/>
      <c r="L287" s="27"/>
      <c r="M287" s="27"/>
      <c r="N287" s="27"/>
      <c r="O287" s="27"/>
      <c r="P287" s="27"/>
      <c r="Q287" s="27"/>
      <c r="R287" s="29"/>
      <c r="S287" s="29"/>
      <c r="T287" s="27"/>
      <c r="U287" s="28" t="str">
        <f aca="false">IF(N(T287)=0,"",IF(T287&lt;12,"Under 12 months",IF(T287&lt;36,"12-35 months",IF(T287&lt;60,"36-59 months","≥60 months"))))</f>
        <v/>
      </c>
      <c r="V287" s="27"/>
      <c r="W287" s="30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9"/>
      <c r="AT287" s="30"/>
      <c r="AU287" s="30"/>
      <c r="AV287" s="30"/>
      <c r="AW287" s="27"/>
      <c r="AX287" s="27"/>
      <c r="AY287" s="29"/>
      <c r="AZ287" s="27"/>
      <c r="BA287" s="27"/>
      <c r="BB287" s="29"/>
      <c r="BC287" s="30"/>
      <c r="BD287" s="30"/>
      <c r="BE287" s="30"/>
      <c r="BF287" s="27"/>
      <c r="BG287" s="27"/>
      <c r="BH287" s="28" t="str">
        <f aca="false">IF(COUNT(BC287:BE287)=0,"",IF(MIN(BC287:BE287)&lt;=-2.5,"Yes","No"))</f>
        <v/>
      </c>
      <c r="BI287" s="27"/>
      <c r="BJ287" s="29"/>
      <c r="BK287" s="27"/>
      <c r="BL287" s="27"/>
      <c r="BM287" s="27"/>
      <c r="BN287" s="28" t="str">
        <f aca="false">IF(OR(AX287="Yes",BI287="Yes"),"Yes",IF(AND(AX287="No",BI287="No"),"No",IF(AND(AX287="",BI287=""),"","Unknown")))</f>
        <v/>
      </c>
      <c r="BO287" s="31" t="str">
        <f aca="false">IF(COUNT(AY287,BJ287)=0,"",MIN(AY287,BJ287))</f>
        <v/>
      </c>
      <c r="BP287" s="29"/>
      <c r="BQ287" s="29"/>
      <c r="BR287" s="29"/>
      <c r="BS287" s="28" t="str">
        <f aca="false">IF(AND(N(BP287)&gt;0,N(BR287)&gt;0),BR287-BP287,"")</f>
        <v/>
      </c>
      <c r="BT287" s="28" t="str">
        <f aca="false">IF(BS287="","",ROUND(BS287/365.25,2))</f>
        <v/>
      </c>
      <c r="BU287" s="28" t="str">
        <f aca="false">IF(BS287="","",IF(BS287&gt;=730.5,"Yes","No"))</f>
        <v/>
      </c>
      <c r="BV287" s="27"/>
      <c r="BW287" s="29"/>
      <c r="BX287" s="27"/>
      <c r="BY287" s="27"/>
      <c r="BZ287" s="28" t="str">
        <f aca="false">IF(N(E287)=0,"",IF(E287&lt;65,"Under 65","≥65"))</f>
        <v/>
      </c>
      <c r="CA287" s="28" t="str">
        <f aca="false">IF(OR(AC287="Yes",AC287="No"),AC287,"")</f>
        <v/>
      </c>
      <c r="CB287" s="28" t="str">
        <f aca="false">IF(OR(AD287="Yes",AD287="No"),AD287,"")</f>
        <v/>
      </c>
      <c r="CC287" s="28" t="str">
        <f aca="false">IF(F287="","",F287)</f>
        <v/>
      </c>
      <c r="CD287" s="27"/>
      <c r="CE287" s="27"/>
    </row>
    <row r="288" customFormat="false" ht="15" hidden="false" customHeight="false" outlineLevel="0" collapsed="false">
      <c r="A288" s="27"/>
      <c r="B288" s="27"/>
      <c r="C288" s="27"/>
      <c r="D288" s="27"/>
      <c r="E288" s="27"/>
      <c r="F288" s="27"/>
      <c r="G288" s="27"/>
      <c r="H288" s="27"/>
      <c r="I288" s="27"/>
      <c r="J288" s="28" t="str">
        <f aca="false">IF(AND(N(H288)&gt;0,N(I288)&gt;0),ROUND(I288/(H288/100)^2,1),"")</f>
        <v/>
      </c>
      <c r="K288" s="27"/>
      <c r="L288" s="27"/>
      <c r="M288" s="27"/>
      <c r="N288" s="27"/>
      <c r="O288" s="27"/>
      <c r="P288" s="27"/>
      <c r="Q288" s="27"/>
      <c r="R288" s="29"/>
      <c r="S288" s="29"/>
      <c r="T288" s="27"/>
      <c r="U288" s="28" t="str">
        <f aca="false">IF(N(T288)=0,"",IF(T288&lt;12,"Under 12 months",IF(T288&lt;36,"12-35 months",IF(T288&lt;60,"36-59 months","≥60 months"))))</f>
        <v/>
      </c>
      <c r="V288" s="27"/>
      <c r="W288" s="30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9"/>
      <c r="AT288" s="30"/>
      <c r="AU288" s="30"/>
      <c r="AV288" s="30"/>
      <c r="AW288" s="27"/>
      <c r="AX288" s="27"/>
      <c r="AY288" s="29"/>
      <c r="AZ288" s="27"/>
      <c r="BA288" s="27"/>
      <c r="BB288" s="29"/>
      <c r="BC288" s="30"/>
      <c r="BD288" s="30"/>
      <c r="BE288" s="30"/>
      <c r="BF288" s="27"/>
      <c r="BG288" s="27"/>
      <c r="BH288" s="28" t="str">
        <f aca="false">IF(COUNT(BC288:BE288)=0,"",IF(MIN(BC288:BE288)&lt;=-2.5,"Yes","No"))</f>
        <v/>
      </c>
      <c r="BI288" s="27"/>
      <c r="BJ288" s="29"/>
      <c r="BK288" s="27"/>
      <c r="BL288" s="27"/>
      <c r="BM288" s="27"/>
      <c r="BN288" s="28" t="str">
        <f aca="false">IF(OR(AX288="Yes",BI288="Yes"),"Yes",IF(AND(AX288="No",BI288="No"),"No",IF(AND(AX288="",BI288=""),"","Unknown")))</f>
        <v/>
      </c>
      <c r="BO288" s="31" t="str">
        <f aca="false">IF(COUNT(AY288,BJ288)=0,"",MIN(AY288,BJ288))</f>
        <v/>
      </c>
      <c r="BP288" s="29"/>
      <c r="BQ288" s="29"/>
      <c r="BR288" s="29"/>
      <c r="BS288" s="28" t="str">
        <f aca="false">IF(AND(N(BP288)&gt;0,N(BR288)&gt;0),BR288-BP288,"")</f>
        <v/>
      </c>
      <c r="BT288" s="28" t="str">
        <f aca="false">IF(BS288="","",ROUND(BS288/365.25,2))</f>
        <v/>
      </c>
      <c r="BU288" s="28" t="str">
        <f aca="false">IF(BS288="","",IF(BS288&gt;=730.5,"Yes","No"))</f>
        <v/>
      </c>
      <c r="BV288" s="27"/>
      <c r="BW288" s="29"/>
      <c r="BX288" s="27"/>
      <c r="BY288" s="27"/>
      <c r="BZ288" s="28" t="str">
        <f aca="false">IF(N(E288)=0,"",IF(E288&lt;65,"Under 65","≥65"))</f>
        <v/>
      </c>
      <c r="CA288" s="28" t="str">
        <f aca="false">IF(OR(AC288="Yes",AC288="No"),AC288,"")</f>
        <v/>
      </c>
      <c r="CB288" s="28" t="str">
        <f aca="false">IF(OR(AD288="Yes",AD288="No"),AD288,"")</f>
        <v/>
      </c>
      <c r="CC288" s="28" t="str">
        <f aca="false">IF(F288="","",F288)</f>
        <v/>
      </c>
      <c r="CD288" s="27"/>
      <c r="CE288" s="27"/>
    </row>
    <row r="289" customFormat="false" ht="15" hidden="false" customHeight="false" outlineLevel="0" collapsed="false">
      <c r="A289" s="27"/>
      <c r="B289" s="27"/>
      <c r="C289" s="27"/>
      <c r="D289" s="27"/>
      <c r="E289" s="27"/>
      <c r="F289" s="27"/>
      <c r="G289" s="27"/>
      <c r="H289" s="27"/>
      <c r="I289" s="27"/>
      <c r="J289" s="28" t="str">
        <f aca="false">IF(AND(N(H289)&gt;0,N(I289)&gt;0),ROUND(I289/(H289/100)^2,1),"")</f>
        <v/>
      </c>
      <c r="K289" s="27"/>
      <c r="L289" s="27"/>
      <c r="M289" s="27"/>
      <c r="N289" s="27"/>
      <c r="O289" s="27"/>
      <c r="P289" s="27"/>
      <c r="Q289" s="27"/>
      <c r="R289" s="29"/>
      <c r="S289" s="29"/>
      <c r="T289" s="27"/>
      <c r="U289" s="28" t="str">
        <f aca="false">IF(N(T289)=0,"",IF(T289&lt;12,"Under 12 months",IF(T289&lt;36,"12-35 months",IF(T289&lt;60,"36-59 months","≥60 months"))))</f>
        <v/>
      </c>
      <c r="V289" s="27"/>
      <c r="W289" s="30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9"/>
      <c r="AT289" s="30"/>
      <c r="AU289" s="30"/>
      <c r="AV289" s="30"/>
      <c r="AW289" s="27"/>
      <c r="AX289" s="27"/>
      <c r="AY289" s="29"/>
      <c r="AZ289" s="27"/>
      <c r="BA289" s="27"/>
      <c r="BB289" s="29"/>
      <c r="BC289" s="30"/>
      <c r="BD289" s="30"/>
      <c r="BE289" s="30"/>
      <c r="BF289" s="27"/>
      <c r="BG289" s="27"/>
      <c r="BH289" s="28" t="str">
        <f aca="false">IF(COUNT(BC289:BE289)=0,"",IF(MIN(BC289:BE289)&lt;=-2.5,"Yes","No"))</f>
        <v/>
      </c>
      <c r="BI289" s="27"/>
      <c r="BJ289" s="29"/>
      <c r="BK289" s="27"/>
      <c r="BL289" s="27"/>
      <c r="BM289" s="27"/>
      <c r="BN289" s="28" t="str">
        <f aca="false">IF(OR(AX289="Yes",BI289="Yes"),"Yes",IF(AND(AX289="No",BI289="No"),"No",IF(AND(AX289="",BI289=""),"","Unknown")))</f>
        <v/>
      </c>
      <c r="BO289" s="31" t="str">
        <f aca="false">IF(COUNT(AY289,BJ289)=0,"",MIN(AY289,BJ289))</f>
        <v/>
      </c>
      <c r="BP289" s="29"/>
      <c r="BQ289" s="29"/>
      <c r="BR289" s="29"/>
      <c r="BS289" s="28" t="str">
        <f aca="false">IF(AND(N(BP289)&gt;0,N(BR289)&gt;0),BR289-BP289,"")</f>
        <v/>
      </c>
      <c r="BT289" s="28" t="str">
        <f aca="false">IF(BS289="","",ROUND(BS289/365.25,2))</f>
        <v/>
      </c>
      <c r="BU289" s="28" t="str">
        <f aca="false">IF(BS289="","",IF(BS289&gt;=730.5,"Yes","No"))</f>
        <v/>
      </c>
      <c r="BV289" s="27"/>
      <c r="BW289" s="29"/>
      <c r="BX289" s="27"/>
      <c r="BY289" s="27"/>
      <c r="BZ289" s="28" t="str">
        <f aca="false">IF(N(E289)=0,"",IF(E289&lt;65,"Under 65","≥65"))</f>
        <v/>
      </c>
      <c r="CA289" s="28" t="str">
        <f aca="false">IF(OR(AC289="Yes",AC289="No"),AC289,"")</f>
        <v/>
      </c>
      <c r="CB289" s="28" t="str">
        <f aca="false">IF(OR(AD289="Yes",AD289="No"),AD289,"")</f>
        <v/>
      </c>
      <c r="CC289" s="28" t="str">
        <f aca="false">IF(F289="","",F289)</f>
        <v/>
      </c>
      <c r="CD289" s="27"/>
      <c r="CE289" s="27"/>
    </row>
    <row r="290" customFormat="false" ht="15" hidden="false" customHeight="false" outlineLevel="0" collapsed="false">
      <c r="A290" s="27"/>
      <c r="B290" s="27"/>
      <c r="C290" s="27"/>
      <c r="D290" s="27"/>
      <c r="E290" s="27"/>
      <c r="F290" s="27"/>
      <c r="G290" s="27"/>
      <c r="H290" s="27"/>
      <c r="I290" s="27"/>
      <c r="J290" s="28" t="str">
        <f aca="false">IF(AND(N(H290)&gt;0,N(I290)&gt;0),ROUND(I290/(H290/100)^2,1),"")</f>
        <v/>
      </c>
      <c r="K290" s="27"/>
      <c r="L290" s="27"/>
      <c r="M290" s="27"/>
      <c r="N290" s="27"/>
      <c r="O290" s="27"/>
      <c r="P290" s="27"/>
      <c r="Q290" s="27"/>
      <c r="R290" s="29"/>
      <c r="S290" s="29"/>
      <c r="T290" s="27"/>
      <c r="U290" s="28" t="str">
        <f aca="false">IF(N(T290)=0,"",IF(T290&lt;12,"Under 12 months",IF(T290&lt;36,"12-35 months",IF(T290&lt;60,"36-59 months","≥60 months"))))</f>
        <v/>
      </c>
      <c r="V290" s="27"/>
      <c r="W290" s="30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9"/>
      <c r="AT290" s="30"/>
      <c r="AU290" s="30"/>
      <c r="AV290" s="30"/>
      <c r="AW290" s="27"/>
      <c r="AX290" s="27"/>
      <c r="AY290" s="29"/>
      <c r="AZ290" s="27"/>
      <c r="BA290" s="27"/>
      <c r="BB290" s="29"/>
      <c r="BC290" s="30"/>
      <c r="BD290" s="30"/>
      <c r="BE290" s="30"/>
      <c r="BF290" s="27"/>
      <c r="BG290" s="27"/>
      <c r="BH290" s="28" t="str">
        <f aca="false">IF(COUNT(BC290:BE290)=0,"",IF(MIN(BC290:BE290)&lt;=-2.5,"Yes","No"))</f>
        <v/>
      </c>
      <c r="BI290" s="27"/>
      <c r="BJ290" s="29"/>
      <c r="BK290" s="27"/>
      <c r="BL290" s="27"/>
      <c r="BM290" s="27"/>
      <c r="BN290" s="28" t="str">
        <f aca="false">IF(OR(AX290="Yes",BI290="Yes"),"Yes",IF(AND(AX290="No",BI290="No"),"No",IF(AND(AX290="",BI290=""),"","Unknown")))</f>
        <v/>
      </c>
      <c r="BO290" s="31" t="str">
        <f aca="false">IF(COUNT(AY290,BJ290)=0,"",MIN(AY290,BJ290))</f>
        <v/>
      </c>
      <c r="BP290" s="29"/>
      <c r="BQ290" s="29"/>
      <c r="BR290" s="29"/>
      <c r="BS290" s="28" t="str">
        <f aca="false">IF(AND(N(BP290)&gt;0,N(BR290)&gt;0),BR290-BP290,"")</f>
        <v/>
      </c>
      <c r="BT290" s="28" t="str">
        <f aca="false">IF(BS290="","",ROUND(BS290/365.25,2))</f>
        <v/>
      </c>
      <c r="BU290" s="28" t="str">
        <f aca="false">IF(BS290="","",IF(BS290&gt;=730.5,"Yes","No"))</f>
        <v/>
      </c>
      <c r="BV290" s="27"/>
      <c r="BW290" s="29"/>
      <c r="BX290" s="27"/>
      <c r="BY290" s="27"/>
      <c r="BZ290" s="28" t="str">
        <f aca="false">IF(N(E290)=0,"",IF(E290&lt;65,"Under 65","≥65"))</f>
        <v/>
      </c>
      <c r="CA290" s="28" t="str">
        <f aca="false">IF(OR(AC290="Yes",AC290="No"),AC290,"")</f>
        <v/>
      </c>
      <c r="CB290" s="28" t="str">
        <f aca="false">IF(OR(AD290="Yes",AD290="No"),AD290,"")</f>
        <v/>
      </c>
      <c r="CC290" s="28" t="str">
        <f aca="false">IF(F290="","",F290)</f>
        <v/>
      </c>
      <c r="CD290" s="27"/>
      <c r="CE290" s="27"/>
    </row>
    <row r="291" customFormat="false" ht="15" hidden="false" customHeight="false" outlineLevel="0" collapsed="false">
      <c r="A291" s="27"/>
      <c r="B291" s="27"/>
      <c r="C291" s="27"/>
      <c r="D291" s="27"/>
      <c r="E291" s="27"/>
      <c r="F291" s="27"/>
      <c r="G291" s="27"/>
      <c r="H291" s="27"/>
      <c r="I291" s="27"/>
      <c r="J291" s="28" t="str">
        <f aca="false">IF(AND(N(H291)&gt;0,N(I291)&gt;0),ROUND(I291/(H291/100)^2,1),"")</f>
        <v/>
      </c>
      <c r="K291" s="27"/>
      <c r="L291" s="27"/>
      <c r="M291" s="27"/>
      <c r="N291" s="27"/>
      <c r="O291" s="27"/>
      <c r="P291" s="27"/>
      <c r="Q291" s="27"/>
      <c r="R291" s="29"/>
      <c r="S291" s="29"/>
      <c r="T291" s="27"/>
      <c r="U291" s="28" t="str">
        <f aca="false">IF(N(T291)=0,"",IF(T291&lt;12,"Under 12 months",IF(T291&lt;36,"12-35 months",IF(T291&lt;60,"36-59 months","≥60 months"))))</f>
        <v/>
      </c>
      <c r="V291" s="27"/>
      <c r="W291" s="30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9"/>
      <c r="AT291" s="30"/>
      <c r="AU291" s="30"/>
      <c r="AV291" s="30"/>
      <c r="AW291" s="27"/>
      <c r="AX291" s="27"/>
      <c r="AY291" s="29"/>
      <c r="AZ291" s="27"/>
      <c r="BA291" s="27"/>
      <c r="BB291" s="29"/>
      <c r="BC291" s="30"/>
      <c r="BD291" s="30"/>
      <c r="BE291" s="30"/>
      <c r="BF291" s="27"/>
      <c r="BG291" s="27"/>
      <c r="BH291" s="28" t="str">
        <f aca="false">IF(COUNT(BC291:BE291)=0,"",IF(MIN(BC291:BE291)&lt;=-2.5,"Yes","No"))</f>
        <v/>
      </c>
      <c r="BI291" s="27"/>
      <c r="BJ291" s="29"/>
      <c r="BK291" s="27"/>
      <c r="BL291" s="27"/>
      <c r="BM291" s="27"/>
      <c r="BN291" s="28" t="str">
        <f aca="false">IF(OR(AX291="Yes",BI291="Yes"),"Yes",IF(AND(AX291="No",BI291="No"),"No",IF(AND(AX291="",BI291=""),"","Unknown")))</f>
        <v/>
      </c>
      <c r="BO291" s="31" t="str">
        <f aca="false">IF(COUNT(AY291,BJ291)=0,"",MIN(AY291,BJ291))</f>
        <v/>
      </c>
      <c r="BP291" s="29"/>
      <c r="BQ291" s="29"/>
      <c r="BR291" s="29"/>
      <c r="BS291" s="28" t="str">
        <f aca="false">IF(AND(N(BP291)&gt;0,N(BR291)&gt;0),BR291-BP291,"")</f>
        <v/>
      </c>
      <c r="BT291" s="28" t="str">
        <f aca="false">IF(BS291="","",ROUND(BS291/365.25,2))</f>
        <v/>
      </c>
      <c r="BU291" s="28" t="str">
        <f aca="false">IF(BS291="","",IF(BS291&gt;=730.5,"Yes","No"))</f>
        <v/>
      </c>
      <c r="BV291" s="27"/>
      <c r="BW291" s="29"/>
      <c r="BX291" s="27"/>
      <c r="BY291" s="27"/>
      <c r="BZ291" s="28" t="str">
        <f aca="false">IF(N(E291)=0,"",IF(E291&lt;65,"Under 65","≥65"))</f>
        <v/>
      </c>
      <c r="CA291" s="28" t="str">
        <f aca="false">IF(OR(AC291="Yes",AC291="No"),AC291,"")</f>
        <v/>
      </c>
      <c r="CB291" s="28" t="str">
        <f aca="false">IF(OR(AD291="Yes",AD291="No"),AD291,"")</f>
        <v/>
      </c>
      <c r="CC291" s="28" t="str">
        <f aca="false">IF(F291="","",F291)</f>
        <v/>
      </c>
      <c r="CD291" s="27"/>
      <c r="CE291" s="27"/>
    </row>
    <row r="292" customFormat="false" ht="15" hidden="false" customHeight="false" outlineLevel="0" collapsed="false">
      <c r="A292" s="27"/>
      <c r="B292" s="27"/>
      <c r="C292" s="27"/>
      <c r="D292" s="27"/>
      <c r="E292" s="27"/>
      <c r="F292" s="27"/>
      <c r="G292" s="27"/>
      <c r="H292" s="27"/>
      <c r="I292" s="27"/>
      <c r="J292" s="28" t="str">
        <f aca="false">IF(AND(N(H292)&gt;0,N(I292)&gt;0),ROUND(I292/(H292/100)^2,1),"")</f>
        <v/>
      </c>
      <c r="K292" s="27"/>
      <c r="L292" s="27"/>
      <c r="M292" s="27"/>
      <c r="N292" s="27"/>
      <c r="O292" s="27"/>
      <c r="P292" s="27"/>
      <c r="Q292" s="27"/>
      <c r="R292" s="29"/>
      <c r="S292" s="29"/>
      <c r="T292" s="27"/>
      <c r="U292" s="28" t="str">
        <f aca="false">IF(N(T292)=0,"",IF(T292&lt;12,"Under 12 months",IF(T292&lt;36,"12-35 months",IF(T292&lt;60,"36-59 months","≥60 months"))))</f>
        <v/>
      </c>
      <c r="V292" s="27"/>
      <c r="W292" s="30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9"/>
      <c r="AT292" s="30"/>
      <c r="AU292" s="30"/>
      <c r="AV292" s="30"/>
      <c r="AW292" s="27"/>
      <c r="AX292" s="27"/>
      <c r="AY292" s="29"/>
      <c r="AZ292" s="27"/>
      <c r="BA292" s="27"/>
      <c r="BB292" s="29"/>
      <c r="BC292" s="30"/>
      <c r="BD292" s="30"/>
      <c r="BE292" s="30"/>
      <c r="BF292" s="27"/>
      <c r="BG292" s="27"/>
      <c r="BH292" s="28" t="str">
        <f aca="false">IF(COUNT(BC292:BE292)=0,"",IF(MIN(BC292:BE292)&lt;=-2.5,"Yes","No"))</f>
        <v/>
      </c>
      <c r="BI292" s="27"/>
      <c r="BJ292" s="29"/>
      <c r="BK292" s="27"/>
      <c r="BL292" s="27"/>
      <c r="BM292" s="27"/>
      <c r="BN292" s="28" t="str">
        <f aca="false">IF(OR(AX292="Yes",BI292="Yes"),"Yes",IF(AND(AX292="No",BI292="No"),"No",IF(AND(AX292="",BI292=""),"","Unknown")))</f>
        <v/>
      </c>
      <c r="BO292" s="31" t="str">
        <f aca="false">IF(COUNT(AY292,BJ292)=0,"",MIN(AY292,BJ292))</f>
        <v/>
      </c>
      <c r="BP292" s="29"/>
      <c r="BQ292" s="29"/>
      <c r="BR292" s="29"/>
      <c r="BS292" s="28" t="str">
        <f aca="false">IF(AND(N(BP292)&gt;0,N(BR292)&gt;0),BR292-BP292,"")</f>
        <v/>
      </c>
      <c r="BT292" s="28" t="str">
        <f aca="false">IF(BS292="","",ROUND(BS292/365.25,2))</f>
        <v/>
      </c>
      <c r="BU292" s="28" t="str">
        <f aca="false">IF(BS292="","",IF(BS292&gt;=730.5,"Yes","No"))</f>
        <v/>
      </c>
      <c r="BV292" s="27"/>
      <c r="BW292" s="29"/>
      <c r="BX292" s="27"/>
      <c r="BY292" s="27"/>
      <c r="BZ292" s="28" t="str">
        <f aca="false">IF(N(E292)=0,"",IF(E292&lt;65,"Under 65","≥65"))</f>
        <v/>
      </c>
      <c r="CA292" s="28" t="str">
        <f aca="false">IF(OR(AC292="Yes",AC292="No"),AC292,"")</f>
        <v/>
      </c>
      <c r="CB292" s="28" t="str">
        <f aca="false">IF(OR(AD292="Yes",AD292="No"),AD292,"")</f>
        <v/>
      </c>
      <c r="CC292" s="28" t="str">
        <f aca="false">IF(F292="","",F292)</f>
        <v/>
      </c>
      <c r="CD292" s="27"/>
      <c r="CE292" s="27"/>
    </row>
    <row r="293" customFormat="false" ht="15" hidden="false" customHeight="false" outlineLevel="0" collapsed="false">
      <c r="A293" s="27"/>
      <c r="B293" s="27"/>
      <c r="C293" s="27"/>
      <c r="D293" s="27"/>
      <c r="E293" s="27"/>
      <c r="F293" s="27"/>
      <c r="G293" s="27"/>
      <c r="H293" s="27"/>
      <c r="I293" s="27"/>
      <c r="J293" s="28" t="str">
        <f aca="false">IF(AND(N(H293)&gt;0,N(I293)&gt;0),ROUND(I293/(H293/100)^2,1),"")</f>
        <v/>
      </c>
      <c r="K293" s="27"/>
      <c r="L293" s="27"/>
      <c r="M293" s="27"/>
      <c r="N293" s="27"/>
      <c r="O293" s="27"/>
      <c r="P293" s="27"/>
      <c r="Q293" s="27"/>
      <c r="R293" s="29"/>
      <c r="S293" s="29"/>
      <c r="T293" s="27"/>
      <c r="U293" s="28" t="str">
        <f aca="false">IF(N(T293)=0,"",IF(T293&lt;12,"Under 12 months",IF(T293&lt;36,"12-35 months",IF(T293&lt;60,"36-59 months","≥60 months"))))</f>
        <v/>
      </c>
      <c r="V293" s="27"/>
      <c r="W293" s="30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9"/>
      <c r="AT293" s="30"/>
      <c r="AU293" s="30"/>
      <c r="AV293" s="30"/>
      <c r="AW293" s="27"/>
      <c r="AX293" s="27"/>
      <c r="AY293" s="29"/>
      <c r="AZ293" s="27"/>
      <c r="BA293" s="27"/>
      <c r="BB293" s="29"/>
      <c r="BC293" s="30"/>
      <c r="BD293" s="30"/>
      <c r="BE293" s="30"/>
      <c r="BF293" s="27"/>
      <c r="BG293" s="27"/>
      <c r="BH293" s="28" t="str">
        <f aca="false">IF(COUNT(BC293:BE293)=0,"",IF(MIN(BC293:BE293)&lt;=-2.5,"Yes","No"))</f>
        <v/>
      </c>
      <c r="BI293" s="27"/>
      <c r="BJ293" s="29"/>
      <c r="BK293" s="27"/>
      <c r="BL293" s="27"/>
      <c r="BM293" s="27"/>
      <c r="BN293" s="28" t="str">
        <f aca="false">IF(OR(AX293="Yes",BI293="Yes"),"Yes",IF(AND(AX293="No",BI293="No"),"No",IF(AND(AX293="",BI293=""),"","Unknown")))</f>
        <v/>
      </c>
      <c r="BO293" s="31" t="str">
        <f aca="false">IF(COUNT(AY293,BJ293)=0,"",MIN(AY293,BJ293))</f>
        <v/>
      </c>
      <c r="BP293" s="29"/>
      <c r="BQ293" s="29"/>
      <c r="BR293" s="29"/>
      <c r="BS293" s="28" t="str">
        <f aca="false">IF(AND(N(BP293)&gt;0,N(BR293)&gt;0),BR293-BP293,"")</f>
        <v/>
      </c>
      <c r="BT293" s="28" t="str">
        <f aca="false">IF(BS293="","",ROUND(BS293/365.25,2))</f>
        <v/>
      </c>
      <c r="BU293" s="28" t="str">
        <f aca="false">IF(BS293="","",IF(BS293&gt;=730.5,"Yes","No"))</f>
        <v/>
      </c>
      <c r="BV293" s="27"/>
      <c r="BW293" s="29"/>
      <c r="BX293" s="27"/>
      <c r="BY293" s="27"/>
      <c r="BZ293" s="28" t="str">
        <f aca="false">IF(N(E293)=0,"",IF(E293&lt;65,"Under 65","≥65"))</f>
        <v/>
      </c>
      <c r="CA293" s="28" t="str">
        <f aca="false">IF(OR(AC293="Yes",AC293="No"),AC293,"")</f>
        <v/>
      </c>
      <c r="CB293" s="28" t="str">
        <f aca="false">IF(OR(AD293="Yes",AD293="No"),AD293,"")</f>
        <v/>
      </c>
      <c r="CC293" s="28" t="str">
        <f aca="false">IF(F293="","",F293)</f>
        <v/>
      </c>
      <c r="CD293" s="27"/>
      <c r="CE293" s="27"/>
    </row>
    <row r="294" customFormat="false" ht="15" hidden="false" customHeight="false" outlineLevel="0" collapsed="false">
      <c r="A294" s="27"/>
      <c r="B294" s="27"/>
      <c r="C294" s="27"/>
      <c r="D294" s="27"/>
      <c r="E294" s="27"/>
      <c r="F294" s="27"/>
      <c r="G294" s="27"/>
      <c r="H294" s="27"/>
      <c r="I294" s="27"/>
      <c r="J294" s="28" t="str">
        <f aca="false">IF(AND(N(H294)&gt;0,N(I294)&gt;0),ROUND(I294/(H294/100)^2,1),"")</f>
        <v/>
      </c>
      <c r="K294" s="27"/>
      <c r="L294" s="27"/>
      <c r="M294" s="27"/>
      <c r="N294" s="27"/>
      <c r="O294" s="27"/>
      <c r="P294" s="27"/>
      <c r="Q294" s="27"/>
      <c r="R294" s="29"/>
      <c r="S294" s="29"/>
      <c r="T294" s="27"/>
      <c r="U294" s="28" t="str">
        <f aca="false">IF(N(T294)=0,"",IF(T294&lt;12,"Under 12 months",IF(T294&lt;36,"12-35 months",IF(T294&lt;60,"36-59 months","≥60 months"))))</f>
        <v/>
      </c>
      <c r="V294" s="27"/>
      <c r="W294" s="30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9"/>
      <c r="AT294" s="30"/>
      <c r="AU294" s="30"/>
      <c r="AV294" s="30"/>
      <c r="AW294" s="27"/>
      <c r="AX294" s="27"/>
      <c r="AY294" s="29"/>
      <c r="AZ294" s="27"/>
      <c r="BA294" s="27"/>
      <c r="BB294" s="29"/>
      <c r="BC294" s="30"/>
      <c r="BD294" s="30"/>
      <c r="BE294" s="30"/>
      <c r="BF294" s="27"/>
      <c r="BG294" s="27"/>
      <c r="BH294" s="28" t="str">
        <f aca="false">IF(COUNT(BC294:BE294)=0,"",IF(MIN(BC294:BE294)&lt;=-2.5,"Yes","No"))</f>
        <v/>
      </c>
      <c r="BI294" s="27"/>
      <c r="BJ294" s="29"/>
      <c r="BK294" s="27"/>
      <c r="BL294" s="27"/>
      <c r="BM294" s="27"/>
      <c r="BN294" s="28" t="str">
        <f aca="false">IF(OR(AX294="Yes",BI294="Yes"),"Yes",IF(AND(AX294="No",BI294="No"),"No",IF(AND(AX294="",BI294=""),"","Unknown")))</f>
        <v/>
      </c>
      <c r="BO294" s="31" t="str">
        <f aca="false">IF(COUNT(AY294,BJ294)=0,"",MIN(AY294,BJ294))</f>
        <v/>
      </c>
      <c r="BP294" s="29"/>
      <c r="BQ294" s="29"/>
      <c r="BR294" s="29"/>
      <c r="BS294" s="28" t="str">
        <f aca="false">IF(AND(N(BP294)&gt;0,N(BR294)&gt;0),BR294-BP294,"")</f>
        <v/>
      </c>
      <c r="BT294" s="28" t="str">
        <f aca="false">IF(BS294="","",ROUND(BS294/365.25,2))</f>
        <v/>
      </c>
      <c r="BU294" s="28" t="str">
        <f aca="false">IF(BS294="","",IF(BS294&gt;=730.5,"Yes","No"))</f>
        <v/>
      </c>
      <c r="BV294" s="27"/>
      <c r="BW294" s="29"/>
      <c r="BX294" s="27"/>
      <c r="BY294" s="27"/>
      <c r="BZ294" s="28" t="str">
        <f aca="false">IF(N(E294)=0,"",IF(E294&lt;65,"Under 65","≥65"))</f>
        <v/>
      </c>
      <c r="CA294" s="28" t="str">
        <f aca="false">IF(OR(AC294="Yes",AC294="No"),AC294,"")</f>
        <v/>
      </c>
      <c r="CB294" s="28" t="str">
        <f aca="false">IF(OR(AD294="Yes",AD294="No"),AD294,"")</f>
        <v/>
      </c>
      <c r="CC294" s="28" t="str">
        <f aca="false">IF(F294="","",F294)</f>
        <v/>
      </c>
      <c r="CD294" s="27"/>
      <c r="CE294" s="27"/>
    </row>
    <row r="295" customFormat="false" ht="15" hidden="false" customHeight="false" outlineLevel="0" collapsed="false">
      <c r="A295" s="27"/>
      <c r="B295" s="27"/>
      <c r="C295" s="27"/>
      <c r="D295" s="27"/>
      <c r="E295" s="27"/>
      <c r="F295" s="27"/>
      <c r="G295" s="27"/>
      <c r="H295" s="27"/>
      <c r="I295" s="27"/>
      <c r="J295" s="28" t="str">
        <f aca="false">IF(AND(N(H295)&gt;0,N(I295)&gt;0),ROUND(I295/(H295/100)^2,1),"")</f>
        <v/>
      </c>
      <c r="K295" s="27"/>
      <c r="L295" s="27"/>
      <c r="M295" s="27"/>
      <c r="N295" s="27"/>
      <c r="O295" s="27"/>
      <c r="P295" s="27"/>
      <c r="Q295" s="27"/>
      <c r="R295" s="29"/>
      <c r="S295" s="29"/>
      <c r="T295" s="27"/>
      <c r="U295" s="28" t="str">
        <f aca="false">IF(N(T295)=0,"",IF(T295&lt;12,"Under 12 months",IF(T295&lt;36,"12-35 months",IF(T295&lt;60,"36-59 months","≥60 months"))))</f>
        <v/>
      </c>
      <c r="V295" s="27"/>
      <c r="W295" s="30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9"/>
      <c r="AT295" s="30"/>
      <c r="AU295" s="30"/>
      <c r="AV295" s="30"/>
      <c r="AW295" s="27"/>
      <c r="AX295" s="27"/>
      <c r="AY295" s="29"/>
      <c r="AZ295" s="27"/>
      <c r="BA295" s="27"/>
      <c r="BB295" s="29"/>
      <c r="BC295" s="30"/>
      <c r="BD295" s="30"/>
      <c r="BE295" s="30"/>
      <c r="BF295" s="27"/>
      <c r="BG295" s="27"/>
      <c r="BH295" s="28" t="str">
        <f aca="false">IF(COUNT(BC295:BE295)=0,"",IF(MIN(BC295:BE295)&lt;=-2.5,"Yes","No"))</f>
        <v/>
      </c>
      <c r="BI295" s="27"/>
      <c r="BJ295" s="29"/>
      <c r="BK295" s="27"/>
      <c r="BL295" s="27"/>
      <c r="BM295" s="27"/>
      <c r="BN295" s="28" t="str">
        <f aca="false">IF(OR(AX295="Yes",BI295="Yes"),"Yes",IF(AND(AX295="No",BI295="No"),"No",IF(AND(AX295="",BI295=""),"","Unknown")))</f>
        <v/>
      </c>
      <c r="BO295" s="31" t="str">
        <f aca="false">IF(COUNT(AY295,BJ295)=0,"",MIN(AY295,BJ295))</f>
        <v/>
      </c>
      <c r="BP295" s="29"/>
      <c r="BQ295" s="29"/>
      <c r="BR295" s="29"/>
      <c r="BS295" s="28" t="str">
        <f aca="false">IF(AND(N(BP295)&gt;0,N(BR295)&gt;0),BR295-BP295,"")</f>
        <v/>
      </c>
      <c r="BT295" s="28" t="str">
        <f aca="false">IF(BS295="","",ROUND(BS295/365.25,2))</f>
        <v/>
      </c>
      <c r="BU295" s="28" t="str">
        <f aca="false">IF(BS295="","",IF(BS295&gt;=730.5,"Yes","No"))</f>
        <v/>
      </c>
      <c r="BV295" s="27"/>
      <c r="BW295" s="29"/>
      <c r="BX295" s="27"/>
      <c r="BY295" s="27"/>
      <c r="BZ295" s="28" t="str">
        <f aca="false">IF(N(E295)=0,"",IF(E295&lt;65,"Under 65","≥65"))</f>
        <v/>
      </c>
      <c r="CA295" s="28" t="str">
        <f aca="false">IF(OR(AC295="Yes",AC295="No"),AC295,"")</f>
        <v/>
      </c>
      <c r="CB295" s="28" t="str">
        <f aca="false">IF(OR(AD295="Yes",AD295="No"),AD295,"")</f>
        <v/>
      </c>
      <c r="CC295" s="28" t="str">
        <f aca="false">IF(F295="","",F295)</f>
        <v/>
      </c>
      <c r="CD295" s="27"/>
      <c r="CE295" s="27"/>
    </row>
    <row r="296" customFormat="false" ht="15" hidden="false" customHeight="false" outlineLevel="0" collapsed="false">
      <c r="A296" s="27"/>
      <c r="B296" s="27"/>
      <c r="C296" s="27"/>
      <c r="D296" s="27"/>
      <c r="E296" s="27"/>
      <c r="F296" s="27"/>
      <c r="G296" s="27"/>
      <c r="H296" s="27"/>
      <c r="I296" s="27"/>
      <c r="J296" s="28" t="str">
        <f aca="false">IF(AND(N(H296)&gt;0,N(I296)&gt;0),ROUND(I296/(H296/100)^2,1),"")</f>
        <v/>
      </c>
      <c r="K296" s="27"/>
      <c r="L296" s="27"/>
      <c r="M296" s="27"/>
      <c r="N296" s="27"/>
      <c r="O296" s="27"/>
      <c r="P296" s="27"/>
      <c r="Q296" s="27"/>
      <c r="R296" s="29"/>
      <c r="S296" s="29"/>
      <c r="T296" s="27"/>
      <c r="U296" s="28" t="str">
        <f aca="false">IF(N(T296)=0,"",IF(T296&lt;12,"Under 12 months",IF(T296&lt;36,"12-35 months",IF(T296&lt;60,"36-59 months","≥60 months"))))</f>
        <v/>
      </c>
      <c r="V296" s="27"/>
      <c r="W296" s="30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9"/>
      <c r="AT296" s="30"/>
      <c r="AU296" s="30"/>
      <c r="AV296" s="30"/>
      <c r="AW296" s="27"/>
      <c r="AX296" s="27"/>
      <c r="AY296" s="29"/>
      <c r="AZ296" s="27"/>
      <c r="BA296" s="27"/>
      <c r="BB296" s="29"/>
      <c r="BC296" s="30"/>
      <c r="BD296" s="30"/>
      <c r="BE296" s="30"/>
      <c r="BF296" s="27"/>
      <c r="BG296" s="27"/>
      <c r="BH296" s="28" t="str">
        <f aca="false">IF(COUNT(BC296:BE296)=0,"",IF(MIN(BC296:BE296)&lt;=-2.5,"Yes","No"))</f>
        <v/>
      </c>
      <c r="BI296" s="27"/>
      <c r="BJ296" s="29"/>
      <c r="BK296" s="27"/>
      <c r="BL296" s="27"/>
      <c r="BM296" s="27"/>
      <c r="BN296" s="28" t="str">
        <f aca="false">IF(OR(AX296="Yes",BI296="Yes"),"Yes",IF(AND(AX296="No",BI296="No"),"No",IF(AND(AX296="",BI296=""),"","Unknown")))</f>
        <v/>
      </c>
      <c r="BO296" s="31" t="str">
        <f aca="false">IF(COUNT(AY296,BJ296)=0,"",MIN(AY296,BJ296))</f>
        <v/>
      </c>
      <c r="BP296" s="29"/>
      <c r="BQ296" s="29"/>
      <c r="BR296" s="29"/>
      <c r="BS296" s="28" t="str">
        <f aca="false">IF(AND(N(BP296)&gt;0,N(BR296)&gt;0),BR296-BP296,"")</f>
        <v/>
      </c>
      <c r="BT296" s="28" t="str">
        <f aca="false">IF(BS296="","",ROUND(BS296/365.25,2))</f>
        <v/>
      </c>
      <c r="BU296" s="28" t="str">
        <f aca="false">IF(BS296="","",IF(BS296&gt;=730.5,"Yes","No"))</f>
        <v/>
      </c>
      <c r="BV296" s="27"/>
      <c r="BW296" s="29"/>
      <c r="BX296" s="27"/>
      <c r="BY296" s="27"/>
      <c r="BZ296" s="28" t="str">
        <f aca="false">IF(N(E296)=0,"",IF(E296&lt;65,"Under 65","≥65"))</f>
        <v/>
      </c>
      <c r="CA296" s="28" t="str">
        <f aca="false">IF(OR(AC296="Yes",AC296="No"),AC296,"")</f>
        <v/>
      </c>
      <c r="CB296" s="28" t="str">
        <f aca="false">IF(OR(AD296="Yes",AD296="No"),AD296,"")</f>
        <v/>
      </c>
      <c r="CC296" s="28" t="str">
        <f aca="false">IF(F296="","",F296)</f>
        <v/>
      </c>
      <c r="CD296" s="27"/>
      <c r="CE296" s="27"/>
    </row>
    <row r="297" customFormat="false" ht="15" hidden="false" customHeight="false" outlineLevel="0" collapsed="false">
      <c r="A297" s="27"/>
      <c r="B297" s="27"/>
      <c r="C297" s="27"/>
      <c r="D297" s="27"/>
      <c r="E297" s="27"/>
      <c r="F297" s="27"/>
      <c r="G297" s="27"/>
      <c r="H297" s="27"/>
      <c r="I297" s="27"/>
      <c r="J297" s="28" t="str">
        <f aca="false">IF(AND(N(H297)&gt;0,N(I297)&gt;0),ROUND(I297/(H297/100)^2,1),"")</f>
        <v/>
      </c>
      <c r="K297" s="27"/>
      <c r="L297" s="27"/>
      <c r="M297" s="27"/>
      <c r="N297" s="27"/>
      <c r="O297" s="27"/>
      <c r="P297" s="27"/>
      <c r="Q297" s="27"/>
      <c r="R297" s="29"/>
      <c r="S297" s="29"/>
      <c r="T297" s="27"/>
      <c r="U297" s="28" t="str">
        <f aca="false">IF(N(T297)=0,"",IF(T297&lt;12,"Under 12 months",IF(T297&lt;36,"12-35 months",IF(T297&lt;60,"36-59 months","≥60 months"))))</f>
        <v/>
      </c>
      <c r="V297" s="27"/>
      <c r="W297" s="30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9"/>
      <c r="AT297" s="30"/>
      <c r="AU297" s="30"/>
      <c r="AV297" s="30"/>
      <c r="AW297" s="27"/>
      <c r="AX297" s="27"/>
      <c r="AY297" s="29"/>
      <c r="AZ297" s="27"/>
      <c r="BA297" s="27"/>
      <c r="BB297" s="29"/>
      <c r="BC297" s="30"/>
      <c r="BD297" s="30"/>
      <c r="BE297" s="30"/>
      <c r="BF297" s="27"/>
      <c r="BG297" s="27"/>
      <c r="BH297" s="28" t="str">
        <f aca="false">IF(COUNT(BC297:BE297)=0,"",IF(MIN(BC297:BE297)&lt;=-2.5,"Yes","No"))</f>
        <v/>
      </c>
      <c r="BI297" s="27"/>
      <c r="BJ297" s="29"/>
      <c r="BK297" s="27"/>
      <c r="BL297" s="27"/>
      <c r="BM297" s="27"/>
      <c r="BN297" s="28" t="str">
        <f aca="false">IF(OR(AX297="Yes",BI297="Yes"),"Yes",IF(AND(AX297="No",BI297="No"),"No",IF(AND(AX297="",BI297=""),"","Unknown")))</f>
        <v/>
      </c>
      <c r="BO297" s="31" t="str">
        <f aca="false">IF(COUNT(AY297,BJ297)=0,"",MIN(AY297,BJ297))</f>
        <v/>
      </c>
      <c r="BP297" s="29"/>
      <c r="BQ297" s="29"/>
      <c r="BR297" s="29"/>
      <c r="BS297" s="28" t="str">
        <f aca="false">IF(AND(N(BP297)&gt;0,N(BR297)&gt;0),BR297-BP297,"")</f>
        <v/>
      </c>
      <c r="BT297" s="28" t="str">
        <f aca="false">IF(BS297="","",ROUND(BS297/365.25,2))</f>
        <v/>
      </c>
      <c r="BU297" s="28" t="str">
        <f aca="false">IF(BS297="","",IF(BS297&gt;=730.5,"Yes","No"))</f>
        <v/>
      </c>
      <c r="BV297" s="27"/>
      <c r="BW297" s="29"/>
      <c r="BX297" s="27"/>
      <c r="BY297" s="27"/>
      <c r="BZ297" s="28" t="str">
        <f aca="false">IF(N(E297)=0,"",IF(E297&lt;65,"Under 65","≥65"))</f>
        <v/>
      </c>
      <c r="CA297" s="28" t="str">
        <f aca="false">IF(OR(AC297="Yes",AC297="No"),AC297,"")</f>
        <v/>
      </c>
      <c r="CB297" s="28" t="str">
        <f aca="false">IF(OR(AD297="Yes",AD297="No"),AD297,"")</f>
        <v/>
      </c>
      <c r="CC297" s="28" t="str">
        <f aca="false">IF(F297="","",F297)</f>
        <v/>
      </c>
      <c r="CD297" s="27"/>
      <c r="CE297" s="27"/>
    </row>
    <row r="298" customFormat="false" ht="15" hidden="false" customHeight="false" outlineLevel="0" collapsed="false">
      <c r="A298" s="27"/>
      <c r="B298" s="27"/>
      <c r="C298" s="27"/>
      <c r="D298" s="27"/>
      <c r="E298" s="27"/>
      <c r="F298" s="27"/>
      <c r="G298" s="27"/>
      <c r="H298" s="27"/>
      <c r="I298" s="27"/>
      <c r="J298" s="28" t="str">
        <f aca="false">IF(AND(N(H298)&gt;0,N(I298)&gt;0),ROUND(I298/(H298/100)^2,1),"")</f>
        <v/>
      </c>
      <c r="K298" s="27"/>
      <c r="L298" s="27"/>
      <c r="M298" s="27"/>
      <c r="N298" s="27"/>
      <c r="O298" s="27"/>
      <c r="P298" s="27"/>
      <c r="Q298" s="27"/>
      <c r="R298" s="29"/>
      <c r="S298" s="29"/>
      <c r="T298" s="27"/>
      <c r="U298" s="28" t="str">
        <f aca="false">IF(N(T298)=0,"",IF(T298&lt;12,"Under 12 months",IF(T298&lt;36,"12-35 months",IF(T298&lt;60,"36-59 months","≥60 months"))))</f>
        <v/>
      </c>
      <c r="V298" s="27"/>
      <c r="W298" s="30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9"/>
      <c r="AT298" s="30"/>
      <c r="AU298" s="30"/>
      <c r="AV298" s="30"/>
      <c r="AW298" s="27"/>
      <c r="AX298" s="27"/>
      <c r="AY298" s="29"/>
      <c r="AZ298" s="27"/>
      <c r="BA298" s="27"/>
      <c r="BB298" s="29"/>
      <c r="BC298" s="30"/>
      <c r="BD298" s="30"/>
      <c r="BE298" s="30"/>
      <c r="BF298" s="27"/>
      <c r="BG298" s="27"/>
      <c r="BH298" s="28" t="str">
        <f aca="false">IF(COUNT(BC298:BE298)=0,"",IF(MIN(BC298:BE298)&lt;=-2.5,"Yes","No"))</f>
        <v/>
      </c>
      <c r="BI298" s="27"/>
      <c r="BJ298" s="29"/>
      <c r="BK298" s="27"/>
      <c r="BL298" s="27"/>
      <c r="BM298" s="27"/>
      <c r="BN298" s="28" t="str">
        <f aca="false">IF(OR(AX298="Yes",BI298="Yes"),"Yes",IF(AND(AX298="No",BI298="No"),"No",IF(AND(AX298="",BI298=""),"","Unknown")))</f>
        <v/>
      </c>
      <c r="BO298" s="31" t="str">
        <f aca="false">IF(COUNT(AY298,BJ298)=0,"",MIN(AY298,BJ298))</f>
        <v/>
      </c>
      <c r="BP298" s="29"/>
      <c r="BQ298" s="29"/>
      <c r="BR298" s="29"/>
      <c r="BS298" s="28" t="str">
        <f aca="false">IF(AND(N(BP298)&gt;0,N(BR298)&gt;0),BR298-BP298,"")</f>
        <v/>
      </c>
      <c r="BT298" s="28" t="str">
        <f aca="false">IF(BS298="","",ROUND(BS298/365.25,2))</f>
        <v/>
      </c>
      <c r="BU298" s="28" t="str">
        <f aca="false">IF(BS298="","",IF(BS298&gt;=730.5,"Yes","No"))</f>
        <v/>
      </c>
      <c r="BV298" s="27"/>
      <c r="BW298" s="29"/>
      <c r="BX298" s="27"/>
      <c r="BY298" s="27"/>
      <c r="BZ298" s="28" t="str">
        <f aca="false">IF(N(E298)=0,"",IF(E298&lt;65,"Under 65","≥65"))</f>
        <v/>
      </c>
      <c r="CA298" s="28" t="str">
        <f aca="false">IF(OR(AC298="Yes",AC298="No"),AC298,"")</f>
        <v/>
      </c>
      <c r="CB298" s="28" t="str">
        <f aca="false">IF(OR(AD298="Yes",AD298="No"),AD298,"")</f>
        <v/>
      </c>
      <c r="CC298" s="28" t="str">
        <f aca="false">IF(F298="","",F298)</f>
        <v/>
      </c>
      <c r="CD298" s="27"/>
      <c r="CE298" s="27"/>
    </row>
    <row r="299" customFormat="false" ht="15" hidden="false" customHeight="false" outlineLevel="0" collapsed="false">
      <c r="A299" s="27"/>
      <c r="B299" s="27"/>
      <c r="C299" s="27"/>
      <c r="D299" s="27"/>
      <c r="E299" s="27"/>
      <c r="F299" s="27"/>
      <c r="G299" s="27"/>
      <c r="H299" s="27"/>
      <c r="I299" s="27"/>
      <c r="J299" s="28" t="str">
        <f aca="false">IF(AND(N(H299)&gt;0,N(I299)&gt;0),ROUND(I299/(H299/100)^2,1),"")</f>
        <v/>
      </c>
      <c r="K299" s="27"/>
      <c r="L299" s="27"/>
      <c r="M299" s="27"/>
      <c r="N299" s="27"/>
      <c r="O299" s="27"/>
      <c r="P299" s="27"/>
      <c r="Q299" s="27"/>
      <c r="R299" s="29"/>
      <c r="S299" s="29"/>
      <c r="T299" s="27"/>
      <c r="U299" s="28" t="str">
        <f aca="false">IF(N(T299)=0,"",IF(T299&lt;12,"Under 12 months",IF(T299&lt;36,"12-35 months",IF(T299&lt;60,"36-59 months","≥60 months"))))</f>
        <v/>
      </c>
      <c r="V299" s="27"/>
      <c r="W299" s="30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9"/>
      <c r="AT299" s="30"/>
      <c r="AU299" s="30"/>
      <c r="AV299" s="30"/>
      <c r="AW299" s="27"/>
      <c r="AX299" s="27"/>
      <c r="AY299" s="29"/>
      <c r="AZ299" s="27"/>
      <c r="BA299" s="27"/>
      <c r="BB299" s="29"/>
      <c r="BC299" s="30"/>
      <c r="BD299" s="30"/>
      <c r="BE299" s="30"/>
      <c r="BF299" s="27"/>
      <c r="BG299" s="27"/>
      <c r="BH299" s="28" t="str">
        <f aca="false">IF(COUNT(BC299:BE299)=0,"",IF(MIN(BC299:BE299)&lt;=-2.5,"Yes","No"))</f>
        <v/>
      </c>
      <c r="BI299" s="27"/>
      <c r="BJ299" s="29"/>
      <c r="BK299" s="27"/>
      <c r="BL299" s="27"/>
      <c r="BM299" s="27"/>
      <c r="BN299" s="28" t="str">
        <f aca="false">IF(OR(AX299="Yes",BI299="Yes"),"Yes",IF(AND(AX299="No",BI299="No"),"No",IF(AND(AX299="",BI299=""),"","Unknown")))</f>
        <v/>
      </c>
      <c r="BO299" s="31" t="str">
        <f aca="false">IF(COUNT(AY299,BJ299)=0,"",MIN(AY299,BJ299))</f>
        <v/>
      </c>
      <c r="BP299" s="29"/>
      <c r="BQ299" s="29"/>
      <c r="BR299" s="29"/>
      <c r="BS299" s="28" t="str">
        <f aca="false">IF(AND(N(BP299)&gt;0,N(BR299)&gt;0),BR299-BP299,"")</f>
        <v/>
      </c>
      <c r="BT299" s="28" t="str">
        <f aca="false">IF(BS299="","",ROUND(BS299/365.25,2))</f>
        <v/>
      </c>
      <c r="BU299" s="28" t="str">
        <f aca="false">IF(BS299="","",IF(BS299&gt;=730.5,"Yes","No"))</f>
        <v/>
      </c>
      <c r="BV299" s="27"/>
      <c r="BW299" s="29"/>
      <c r="BX299" s="27"/>
      <c r="BY299" s="27"/>
      <c r="BZ299" s="28" t="str">
        <f aca="false">IF(N(E299)=0,"",IF(E299&lt;65,"Under 65","≥65"))</f>
        <v/>
      </c>
      <c r="CA299" s="28" t="str">
        <f aca="false">IF(OR(AC299="Yes",AC299="No"),AC299,"")</f>
        <v/>
      </c>
      <c r="CB299" s="28" t="str">
        <f aca="false">IF(OR(AD299="Yes",AD299="No"),AD299,"")</f>
        <v/>
      </c>
      <c r="CC299" s="28" t="str">
        <f aca="false">IF(F299="","",F299)</f>
        <v/>
      </c>
      <c r="CD299" s="27"/>
      <c r="CE299" s="27"/>
    </row>
    <row r="300" customFormat="false" ht="15" hidden="false" customHeight="false" outlineLevel="0" collapsed="false">
      <c r="A300" s="27"/>
      <c r="B300" s="27"/>
      <c r="C300" s="27"/>
      <c r="D300" s="27"/>
      <c r="E300" s="27"/>
      <c r="F300" s="27"/>
      <c r="G300" s="27"/>
      <c r="H300" s="27"/>
      <c r="I300" s="27"/>
      <c r="J300" s="28" t="str">
        <f aca="false">IF(AND(N(H300)&gt;0,N(I300)&gt;0),ROUND(I300/(H300/100)^2,1),"")</f>
        <v/>
      </c>
      <c r="K300" s="27"/>
      <c r="L300" s="27"/>
      <c r="M300" s="27"/>
      <c r="N300" s="27"/>
      <c r="O300" s="27"/>
      <c r="P300" s="27"/>
      <c r="Q300" s="27"/>
      <c r="R300" s="29"/>
      <c r="S300" s="29"/>
      <c r="T300" s="27"/>
      <c r="U300" s="28" t="str">
        <f aca="false">IF(N(T300)=0,"",IF(T300&lt;12,"Under 12 months",IF(T300&lt;36,"12-35 months",IF(T300&lt;60,"36-59 months","≥60 months"))))</f>
        <v/>
      </c>
      <c r="V300" s="27"/>
      <c r="W300" s="30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9"/>
      <c r="AT300" s="30"/>
      <c r="AU300" s="30"/>
      <c r="AV300" s="30"/>
      <c r="AW300" s="27"/>
      <c r="AX300" s="27"/>
      <c r="AY300" s="29"/>
      <c r="AZ300" s="27"/>
      <c r="BA300" s="27"/>
      <c r="BB300" s="29"/>
      <c r="BC300" s="30"/>
      <c r="BD300" s="30"/>
      <c r="BE300" s="30"/>
      <c r="BF300" s="27"/>
      <c r="BG300" s="27"/>
      <c r="BH300" s="28" t="str">
        <f aca="false">IF(COUNT(BC300:BE300)=0,"",IF(MIN(BC300:BE300)&lt;=-2.5,"Yes","No"))</f>
        <v/>
      </c>
      <c r="BI300" s="27"/>
      <c r="BJ300" s="29"/>
      <c r="BK300" s="27"/>
      <c r="BL300" s="27"/>
      <c r="BM300" s="27"/>
      <c r="BN300" s="28" t="str">
        <f aca="false">IF(OR(AX300="Yes",BI300="Yes"),"Yes",IF(AND(AX300="No",BI300="No"),"No",IF(AND(AX300="",BI300=""),"","Unknown")))</f>
        <v/>
      </c>
      <c r="BO300" s="31" t="str">
        <f aca="false">IF(COUNT(AY300,BJ300)=0,"",MIN(AY300,BJ300))</f>
        <v/>
      </c>
      <c r="BP300" s="29"/>
      <c r="BQ300" s="29"/>
      <c r="BR300" s="29"/>
      <c r="BS300" s="28" t="str">
        <f aca="false">IF(AND(N(BP300)&gt;0,N(BR300)&gt;0),BR300-BP300,"")</f>
        <v/>
      </c>
      <c r="BT300" s="28" t="str">
        <f aca="false">IF(BS300="","",ROUND(BS300/365.25,2))</f>
        <v/>
      </c>
      <c r="BU300" s="28" t="str">
        <f aca="false">IF(BS300="","",IF(BS300&gt;=730.5,"Yes","No"))</f>
        <v/>
      </c>
      <c r="BV300" s="27"/>
      <c r="BW300" s="29"/>
      <c r="BX300" s="27"/>
      <c r="BY300" s="27"/>
      <c r="BZ300" s="28" t="str">
        <f aca="false">IF(N(E300)=0,"",IF(E300&lt;65,"Under 65","≥65"))</f>
        <v/>
      </c>
      <c r="CA300" s="28" t="str">
        <f aca="false">IF(OR(AC300="Yes",AC300="No"),AC300,"")</f>
        <v/>
      </c>
      <c r="CB300" s="28" t="str">
        <f aca="false">IF(OR(AD300="Yes",AD300="No"),AD300,"")</f>
        <v/>
      </c>
      <c r="CC300" s="28" t="str">
        <f aca="false">IF(F300="","",F300)</f>
        <v/>
      </c>
      <c r="CD300" s="27"/>
      <c r="CE300" s="27"/>
    </row>
    <row r="301" customFormat="false" ht="15" hidden="false" customHeight="false" outlineLevel="0" collapsed="false">
      <c r="A301" s="27"/>
      <c r="B301" s="27"/>
      <c r="C301" s="27"/>
      <c r="D301" s="27"/>
      <c r="E301" s="27"/>
      <c r="F301" s="27"/>
      <c r="G301" s="27"/>
      <c r="H301" s="27"/>
      <c r="I301" s="27"/>
      <c r="J301" s="28" t="str">
        <f aca="false">IF(AND(N(H301)&gt;0,N(I301)&gt;0),ROUND(I301/(H301/100)^2,1),"")</f>
        <v/>
      </c>
      <c r="K301" s="27"/>
      <c r="L301" s="27"/>
      <c r="M301" s="27"/>
      <c r="N301" s="27"/>
      <c r="O301" s="27"/>
      <c r="P301" s="27"/>
      <c r="Q301" s="27"/>
      <c r="R301" s="29"/>
      <c r="S301" s="29"/>
      <c r="T301" s="27"/>
      <c r="U301" s="28" t="str">
        <f aca="false">IF(N(T301)=0,"",IF(T301&lt;12,"Under 12 months",IF(T301&lt;36,"12-35 months",IF(T301&lt;60,"36-59 months","≥60 months"))))</f>
        <v/>
      </c>
      <c r="V301" s="27"/>
      <c r="W301" s="30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9"/>
      <c r="AT301" s="30"/>
      <c r="AU301" s="30"/>
      <c r="AV301" s="30"/>
      <c r="AW301" s="27"/>
      <c r="AX301" s="27"/>
      <c r="AY301" s="29"/>
      <c r="AZ301" s="27"/>
      <c r="BA301" s="27"/>
      <c r="BB301" s="29"/>
      <c r="BC301" s="30"/>
      <c r="BD301" s="30"/>
      <c r="BE301" s="30"/>
      <c r="BF301" s="27"/>
      <c r="BG301" s="27"/>
      <c r="BH301" s="28" t="str">
        <f aca="false">IF(COUNT(BC301:BE301)=0,"",IF(MIN(BC301:BE301)&lt;=-2.5,"Yes","No"))</f>
        <v/>
      </c>
      <c r="BI301" s="27"/>
      <c r="BJ301" s="29"/>
      <c r="BK301" s="27"/>
      <c r="BL301" s="27"/>
      <c r="BM301" s="27"/>
      <c r="BN301" s="28" t="str">
        <f aca="false">IF(OR(AX301="Yes",BI301="Yes"),"Yes",IF(AND(AX301="No",BI301="No"),"No",IF(AND(AX301="",BI301=""),"","Unknown")))</f>
        <v/>
      </c>
      <c r="BO301" s="31" t="str">
        <f aca="false">IF(COUNT(AY301,BJ301)=0,"",MIN(AY301,BJ301))</f>
        <v/>
      </c>
      <c r="BP301" s="29"/>
      <c r="BQ301" s="29"/>
      <c r="BR301" s="29"/>
      <c r="BS301" s="28" t="str">
        <f aca="false">IF(AND(N(BP301)&gt;0,N(BR301)&gt;0),BR301-BP301,"")</f>
        <v/>
      </c>
      <c r="BT301" s="28" t="str">
        <f aca="false">IF(BS301="","",ROUND(BS301/365.25,2))</f>
        <v/>
      </c>
      <c r="BU301" s="28" t="str">
        <f aca="false">IF(BS301="","",IF(BS301&gt;=730.5,"Yes","No"))</f>
        <v/>
      </c>
      <c r="BV301" s="27"/>
      <c r="BW301" s="29"/>
      <c r="BX301" s="27"/>
      <c r="BY301" s="27"/>
      <c r="BZ301" s="28" t="str">
        <f aca="false">IF(N(E301)=0,"",IF(E301&lt;65,"Under 65","≥65"))</f>
        <v/>
      </c>
      <c r="CA301" s="28" t="str">
        <f aca="false">IF(OR(AC301="Yes",AC301="No"),AC301,"")</f>
        <v/>
      </c>
      <c r="CB301" s="28" t="str">
        <f aca="false">IF(OR(AD301="Yes",AD301="No"),AD301,"")</f>
        <v/>
      </c>
      <c r="CC301" s="28" t="str">
        <f aca="false">IF(F301="","",F301)</f>
        <v/>
      </c>
      <c r="CD301" s="27"/>
      <c r="CE301" s="27"/>
    </row>
    <row r="302" customFormat="false" ht="15" hidden="false" customHeight="false" outlineLevel="0" collapsed="false">
      <c r="A302" s="27"/>
      <c r="B302" s="27"/>
      <c r="C302" s="27"/>
      <c r="D302" s="27"/>
      <c r="E302" s="27"/>
      <c r="F302" s="27"/>
      <c r="G302" s="27"/>
      <c r="H302" s="27"/>
      <c r="I302" s="27"/>
      <c r="J302" s="28" t="str">
        <f aca="false">IF(AND(N(H302)&gt;0,N(I302)&gt;0),ROUND(I302/(H302/100)^2,1),"")</f>
        <v/>
      </c>
      <c r="K302" s="27"/>
      <c r="L302" s="27"/>
      <c r="M302" s="27"/>
      <c r="N302" s="27"/>
      <c r="O302" s="27"/>
      <c r="P302" s="27"/>
      <c r="Q302" s="27"/>
      <c r="R302" s="29"/>
      <c r="S302" s="29"/>
      <c r="T302" s="27"/>
      <c r="U302" s="28" t="str">
        <f aca="false">IF(N(T302)=0,"",IF(T302&lt;12,"Under 12 months",IF(T302&lt;36,"12-35 months",IF(T302&lt;60,"36-59 months","≥60 months"))))</f>
        <v/>
      </c>
      <c r="V302" s="27"/>
      <c r="W302" s="30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9"/>
      <c r="AT302" s="30"/>
      <c r="AU302" s="30"/>
      <c r="AV302" s="30"/>
      <c r="AW302" s="27"/>
      <c r="AX302" s="27"/>
      <c r="AY302" s="29"/>
      <c r="AZ302" s="27"/>
      <c r="BA302" s="27"/>
      <c r="BB302" s="29"/>
      <c r="BC302" s="30"/>
      <c r="BD302" s="30"/>
      <c r="BE302" s="30"/>
      <c r="BF302" s="27"/>
      <c r="BG302" s="27"/>
      <c r="BH302" s="28" t="str">
        <f aca="false">IF(COUNT(BC302:BE302)=0,"",IF(MIN(BC302:BE302)&lt;=-2.5,"Yes","No"))</f>
        <v/>
      </c>
      <c r="BI302" s="27"/>
      <c r="BJ302" s="29"/>
      <c r="BK302" s="27"/>
      <c r="BL302" s="27"/>
      <c r="BM302" s="27"/>
      <c r="BN302" s="28" t="str">
        <f aca="false">IF(OR(AX302="Yes",BI302="Yes"),"Yes",IF(AND(AX302="No",BI302="No"),"No",IF(AND(AX302="",BI302=""),"","Unknown")))</f>
        <v/>
      </c>
      <c r="BO302" s="31" t="str">
        <f aca="false">IF(COUNT(AY302,BJ302)=0,"",MIN(AY302,BJ302))</f>
        <v/>
      </c>
      <c r="BP302" s="29"/>
      <c r="BQ302" s="29"/>
      <c r="BR302" s="29"/>
      <c r="BS302" s="28" t="str">
        <f aca="false">IF(AND(N(BP302)&gt;0,N(BR302)&gt;0),BR302-BP302,"")</f>
        <v/>
      </c>
      <c r="BT302" s="28" t="str">
        <f aca="false">IF(BS302="","",ROUND(BS302/365.25,2))</f>
        <v/>
      </c>
      <c r="BU302" s="28" t="str">
        <f aca="false">IF(BS302="","",IF(BS302&gt;=730.5,"Yes","No"))</f>
        <v/>
      </c>
      <c r="BV302" s="27"/>
      <c r="BW302" s="29"/>
      <c r="BX302" s="27"/>
      <c r="BY302" s="27"/>
      <c r="BZ302" s="28" t="str">
        <f aca="false">IF(N(E302)=0,"",IF(E302&lt;65,"Under 65","≥65"))</f>
        <v/>
      </c>
      <c r="CA302" s="28" t="str">
        <f aca="false">IF(OR(AC302="Yes",AC302="No"),AC302,"")</f>
        <v/>
      </c>
      <c r="CB302" s="28" t="str">
        <f aca="false">IF(OR(AD302="Yes",AD302="No"),AD302,"")</f>
        <v/>
      </c>
      <c r="CC302" s="28" t="str">
        <f aca="false">IF(F302="","",F302)</f>
        <v/>
      </c>
      <c r="CD302" s="27"/>
      <c r="CE302" s="27"/>
    </row>
    <row r="303" customFormat="false" ht="15" hidden="false" customHeight="false" outlineLevel="0" collapsed="false">
      <c r="A303" s="27"/>
      <c r="B303" s="27"/>
      <c r="C303" s="27"/>
      <c r="D303" s="27"/>
      <c r="E303" s="27"/>
      <c r="F303" s="27"/>
      <c r="G303" s="27"/>
      <c r="H303" s="27"/>
      <c r="I303" s="27"/>
      <c r="J303" s="28" t="str">
        <f aca="false">IF(AND(N(H303)&gt;0,N(I303)&gt;0),ROUND(I303/(H303/100)^2,1),"")</f>
        <v/>
      </c>
      <c r="K303" s="27"/>
      <c r="L303" s="27"/>
      <c r="M303" s="27"/>
      <c r="N303" s="27"/>
      <c r="O303" s="27"/>
      <c r="P303" s="27"/>
      <c r="Q303" s="27"/>
      <c r="R303" s="29"/>
      <c r="S303" s="29"/>
      <c r="T303" s="27"/>
      <c r="U303" s="28" t="str">
        <f aca="false">IF(N(T303)=0,"",IF(T303&lt;12,"Under 12 months",IF(T303&lt;36,"12-35 months",IF(T303&lt;60,"36-59 months","≥60 months"))))</f>
        <v/>
      </c>
      <c r="V303" s="27"/>
      <c r="W303" s="30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9"/>
      <c r="AT303" s="30"/>
      <c r="AU303" s="30"/>
      <c r="AV303" s="30"/>
      <c r="AW303" s="27"/>
      <c r="AX303" s="27"/>
      <c r="AY303" s="29"/>
      <c r="AZ303" s="27"/>
      <c r="BA303" s="27"/>
      <c r="BB303" s="29"/>
      <c r="BC303" s="30"/>
      <c r="BD303" s="30"/>
      <c r="BE303" s="30"/>
      <c r="BF303" s="27"/>
      <c r="BG303" s="27"/>
      <c r="BH303" s="28" t="str">
        <f aca="false">IF(COUNT(BC303:BE303)=0,"",IF(MIN(BC303:BE303)&lt;=-2.5,"Yes","No"))</f>
        <v/>
      </c>
      <c r="BI303" s="27"/>
      <c r="BJ303" s="29"/>
      <c r="BK303" s="27"/>
      <c r="BL303" s="27"/>
      <c r="BM303" s="27"/>
      <c r="BN303" s="28" t="str">
        <f aca="false">IF(OR(AX303="Yes",BI303="Yes"),"Yes",IF(AND(AX303="No",BI303="No"),"No",IF(AND(AX303="",BI303=""),"","Unknown")))</f>
        <v/>
      </c>
      <c r="BO303" s="31" t="str">
        <f aca="false">IF(COUNT(AY303,BJ303)=0,"",MIN(AY303,BJ303))</f>
        <v/>
      </c>
      <c r="BP303" s="29"/>
      <c r="BQ303" s="29"/>
      <c r="BR303" s="29"/>
      <c r="BS303" s="28" t="str">
        <f aca="false">IF(AND(N(BP303)&gt;0,N(BR303)&gt;0),BR303-BP303,"")</f>
        <v/>
      </c>
      <c r="BT303" s="28" t="str">
        <f aca="false">IF(BS303="","",ROUND(BS303/365.25,2))</f>
        <v/>
      </c>
      <c r="BU303" s="28" t="str">
        <f aca="false">IF(BS303="","",IF(BS303&gt;=730.5,"Yes","No"))</f>
        <v/>
      </c>
      <c r="BV303" s="27"/>
      <c r="BW303" s="29"/>
      <c r="BX303" s="27"/>
      <c r="BY303" s="27"/>
      <c r="BZ303" s="28" t="str">
        <f aca="false">IF(N(E303)=0,"",IF(E303&lt;65,"Under 65","≥65"))</f>
        <v/>
      </c>
      <c r="CA303" s="28" t="str">
        <f aca="false">IF(OR(AC303="Yes",AC303="No"),AC303,"")</f>
        <v/>
      </c>
      <c r="CB303" s="28" t="str">
        <f aca="false">IF(OR(AD303="Yes",AD303="No"),AD303,"")</f>
        <v/>
      </c>
      <c r="CC303" s="28" t="str">
        <f aca="false">IF(F303="","",F303)</f>
        <v/>
      </c>
      <c r="CD303" s="27"/>
      <c r="CE303" s="27"/>
    </row>
    <row r="304" customFormat="false" ht="15" hidden="false" customHeight="false" outlineLevel="0" collapsed="false">
      <c r="A304" s="27"/>
      <c r="B304" s="27"/>
      <c r="C304" s="27"/>
      <c r="D304" s="27"/>
      <c r="E304" s="27"/>
      <c r="F304" s="27"/>
      <c r="G304" s="27"/>
      <c r="H304" s="27"/>
      <c r="I304" s="27"/>
      <c r="J304" s="28" t="str">
        <f aca="false">IF(AND(N(H304)&gt;0,N(I304)&gt;0),ROUND(I304/(H304/100)^2,1),"")</f>
        <v/>
      </c>
      <c r="K304" s="27"/>
      <c r="L304" s="27"/>
      <c r="M304" s="27"/>
      <c r="N304" s="27"/>
      <c r="O304" s="27"/>
      <c r="P304" s="27"/>
      <c r="Q304" s="27"/>
      <c r="R304" s="29"/>
      <c r="S304" s="29"/>
      <c r="T304" s="27"/>
      <c r="U304" s="28" t="str">
        <f aca="false">IF(N(T304)=0,"",IF(T304&lt;12,"Under 12 months",IF(T304&lt;36,"12-35 months",IF(T304&lt;60,"36-59 months","≥60 months"))))</f>
        <v/>
      </c>
      <c r="V304" s="27"/>
      <c r="W304" s="30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9"/>
      <c r="AT304" s="30"/>
      <c r="AU304" s="30"/>
      <c r="AV304" s="30"/>
      <c r="AW304" s="27"/>
      <c r="AX304" s="27"/>
      <c r="AY304" s="29"/>
      <c r="AZ304" s="27"/>
      <c r="BA304" s="27"/>
      <c r="BB304" s="29"/>
      <c r="BC304" s="30"/>
      <c r="BD304" s="30"/>
      <c r="BE304" s="30"/>
      <c r="BF304" s="27"/>
      <c r="BG304" s="27"/>
      <c r="BH304" s="28" t="str">
        <f aca="false">IF(COUNT(BC304:BE304)=0,"",IF(MIN(BC304:BE304)&lt;=-2.5,"Yes","No"))</f>
        <v/>
      </c>
      <c r="BI304" s="27"/>
      <c r="BJ304" s="29"/>
      <c r="BK304" s="27"/>
      <c r="BL304" s="27"/>
      <c r="BM304" s="27"/>
      <c r="BN304" s="28" t="str">
        <f aca="false">IF(OR(AX304="Yes",BI304="Yes"),"Yes",IF(AND(AX304="No",BI304="No"),"No",IF(AND(AX304="",BI304=""),"","Unknown")))</f>
        <v/>
      </c>
      <c r="BO304" s="31" t="str">
        <f aca="false">IF(COUNT(AY304,BJ304)=0,"",MIN(AY304,BJ304))</f>
        <v/>
      </c>
      <c r="BP304" s="29"/>
      <c r="BQ304" s="29"/>
      <c r="BR304" s="29"/>
      <c r="BS304" s="28" t="str">
        <f aca="false">IF(AND(N(BP304)&gt;0,N(BR304)&gt;0),BR304-BP304,"")</f>
        <v/>
      </c>
      <c r="BT304" s="28" t="str">
        <f aca="false">IF(BS304="","",ROUND(BS304/365.25,2))</f>
        <v/>
      </c>
      <c r="BU304" s="28" t="str">
        <f aca="false">IF(BS304="","",IF(BS304&gt;=730.5,"Yes","No"))</f>
        <v/>
      </c>
      <c r="BV304" s="27"/>
      <c r="BW304" s="29"/>
      <c r="BX304" s="27"/>
      <c r="BY304" s="27"/>
      <c r="BZ304" s="28" t="str">
        <f aca="false">IF(N(E304)=0,"",IF(E304&lt;65,"Under 65","≥65"))</f>
        <v/>
      </c>
      <c r="CA304" s="28" t="str">
        <f aca="false">IF(OR(AC304="Yes",AC304="No"),AC304,"")</f>
        <v/>
      </c>
      <c r="CB304" s="28" t="str">
        <f aca="false">IF(OR(AD304="Yes",AD304="No"),AD304,"")</f>
        <v/>
      </c>
      <c r="CC304" s="28" t="str">
        <f aca="false">IF(F304="","",F304)</f>
        <v/>
      </c>
      <c r="CD304" s="27"/>
      <c r="CE304" s="27"/>
    </row>
    <row r="305" customFormat="false" ht="15" hidden="false" customHeight="false" outlineLevel="0" collapsed="false">
      <c r="A305" s="27"/>
      <c r="B305" s="27"/>
      <c r="C305" s="27"/>
      <c r="D305" s="27"/>
      <c r="E305" s="27"/>
      <c r="F305" s="27"/>
      <c r="G305" s="27"/>
      <c r="H305" s="27"/>
      <c r="I305" s="27"/>
      <c r="J305" s="28" t="str">
        <f aca="false">IF(AND(N(H305)&gt;0,N(I305)&gt;0),ROUND(I305/(H305/100)^2,1),"")</f>
        <v/>
      </c>
      <c r="K305" s="27"/>
      <c r="L305" s="27"/>
      <c r="M305" s="27"/>
      <c r="N305" s="27"/>
      <c r="O305" s="27"/>
      <c r="P305" s="27"/>
      <c r="Q305" s="27"/>
      <c r="R305" s="29"/>
      <c r="S305" s="29"/>
      <c r="T305" s="27"/>
      <c r="U305" s="28" t="str">
        <f aca="false">IF(N(T305)=0,"",IF(T305&lt;12,"Under 12 months",IF(T305&lt;36,"12-35 months",IF(T305&lt;60,"36-59 months","≥60 months"))))</f>
        <v/>
      </c>
      <c r="V305" s="27"/>
      <c r="W305" s="30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9"/>
      <c r="AT305" s="30"/>
      <c r="AU305" s="30"/>
      <c r="AV305" s="30"/>
      <c r="AW305" s="27"/>
      <c r="AX305" s="27"/>
      <c r="AY305" s="29"/>
      <c r="AZ305" s="27"/>
      <c r="BA305" s="27"/>
      <c r="BB305" s="29"/>
      <c r="BC305" s="30"/>
      <c r="BD305" s="30"/>
      <c r="BE305" s="30"/>
      <c r="BF305" s="27"/>
      <c r="BG305" s="27"/>
      <c r="BH305" s="28" t="str">
        <f aca="false">IF(COUNT(BC305:BE305)=0,"",IF(MIN(BC305:BE305)&lt;=-2.5,"Yes","No"))</f>
        <v/>
      </c>
      <c r="BI305" s="27"/>
      <c r="BJ305" s="29"/>
      <c r="BK305" s="27"/>
      <c r="BL305" s="27"/>
      <c r="BM305" s="27"/>
      <c r="BN305" s="28" t="str">
        <f aca="false">IF(OR(AX305="Yes",BI305="Yes"),"Yes",IF(AND(AX305="No",BI305="No"),"No",IF(AND(AX305="",BI305=""),"","Unknown")))</f>
        <v/>
      </c>
      <c r="BO305" s="31" t="str">
        <f aca="false">IF(COUNT(AY305,BJ305)=0,"",MIN(AY305,BJ305))</f>
        <v/>
      </c>
      <c r="BP305" s="29"/>
      <c r="BQ305" s="29"/>
      <c r="BR305" s="29"/>
      <c r="BS305" s="28" t="str">
        <f aca="false">IF(AND(N(BP305)&gt;0,N(BR305)&gt;0),BR305-BP305,"")</f>
        <v/>
      </c>
      <c r="BT305" s="28" t="str">
        <f aca="false">IF(BS305="","",ROUND(BS305/365.25,2))</f>
        <v/>
      </c>
      <c r="BU305" s="28" t="str">
        <f aca="false">IF(BS305="","",IF(BS305&gt;=730.5,"Yes","No"))</f>
        <v/>
      </c>
      <c r="BV305" s="27"/>
      <c r="BW305" s="29"/>
      <c r="BX305" s="27"/>
      <c r="BY305" s="27"/>
      <c r="BZ305" s="28" t="str">
        <f aca="false">IF(N(E305)=0,"",IF(E305&lt;65,"Under 65","≥65"))</f>
        <v/>
      </c>
      <c r="CA305" s="28" t="str">
        <f aca="false">IF(OR(AC305="Yes",AC305="No"),AC305,"")</f>
        <v/>
      </c>
      <c r="CB305" s="28" t="str">
        <f aca="false">IF(OR(AD305="Yes",AD305="No"),AD305,"")</f>
        <v/>
      </c>
      <c r="CC305" s="28" t="str">
        <f aca="false">IF(F305="","",F305)</f>
        <v/>
      </c>
      <c r="CD305" s="27"/>
      <c r="CE305" s="27"/>
    </row>
    <row r="306" customFormat="false" ht="15" hidden="false" customHeight="false" outlineLevel="0" collapsed="false">
      <c r="A306" s="27"/>
      <c r="B306" s="27"/>
      <c r="C306" s="27"/>
      <c r="D306" s="27"/>
      <c r="E306" s="27"/>
      <c r="F306" s="27"/>
      <c r="G306" s="27"/>
      <c r="H306" s="27"/>
      <c r="I306" s="27"/>
      <c r="J306" s="28" t="str">
        <f aca="false">IF(AND(N(H306)&gt;0,N(I306)&gt;0),ROUND(I306/(H306/100)^2,1),"")</f>
        <v/>
      </c>
      <c r="K306" s="27"/>
      <c r="L306" s="27"/>
      <c r="M306" s="27"/>
      <c r="N306" s="27"/>
      <c r="O306" s="27"/>
      <c r="P306" s="27"/>
      <c r="Q306" s="27"/>
      <c r="R306" s="29"/>
      <c r="S306" s="29"/>
      <c r="T306" s="27"/>
      <c r="U306" s="28" t="str">
        <f aca="false">IF(N(T306)=0,"",IF(T306&lt;12,"Under 12 months",IF(T306&lt;36,"12-35 months",IF(T306&lt;60,"36-59 months","≥60 months"))))</f>
        <v/>
      </c>
      <c r="V306" s="27"/>
      <c r="W306" s="30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9"/>
      <c r="AT306" s="30"/>
      <c r="AU306" s="30"/>
      <c r="AV306" s="30"/>
      <c r="AW306" s="27"/>
      <c r="AX306" s="27"/>
      <c r="AY306" s="29"/>
      <c r="AZ306" s="27"/>
      <c r="BA306" s="27"/>
      <c r="BB306" s="29"/>
      <c r="BC306" s="30"/>
      <c r="BD306" s="30"/>
      <c r="BE306" s="30"/>
      <c r="BF306" s="27"/>
      <c r="BG306" s="27"/>
      <c r="BH306" s="28" t="str">
        <f aca="false">IF(COUNT(BC306:BE306)=0,"",IF(MIN(BC306:BE306)&lt;=-2.5,"Yes","No"))</f>
        <v/>
      </c>
      <c r="BI306" s="27"/>
      <c r="BJ306" s="29"/>
      <c r="BK306" s="27"/>
      <c r="BL306" s="27"/>
      <c r="BM306" s="27"/>
      <c r="BN306" s="28" t="str">
        <f aca="false">IF(OR(AX306="Yes",BI306="Yes"),"Yes",IF(AND(AX306="No",BI306="No"),"No",IF(AND(AX306="",BI306=""),"","Unknown")))</f>
        <v/>
      </c>
      <c r="BO306" s="31" t="str">
        <f aca="false">IF(COUNT(AY306,BJ306)=0,"",MIN(AY306,BJ306))</f>
        <v/>
      </c>
      <c r="BP306" s="29"/>
      <c r="BQ306" s="29"/>
      <c r="BR306" s="29"/>
      <c r="BS306" s="28" t="str">
        <f aca="false">IF(AND(N(BP306)&gt;0,N(BR306)&gt;0),BR306-BP306,"")</f>
        <v/>
      </c>
      <c r="BT306" s="28" t="str">
        <f aca="false">IF(BS306="","",ROUND(BS306/365.25,2))</f>
        <v/>
      </c>
      <c r="BU306" s="28" t="str">
        <f aca="false">IF(BS306="","",IF(BS306&gt;=730.5,"Yes","No"))</f>
        <v/>
      </c>
      <c r="BV306" s="27"/>
      <c r="BW306" s="29"/>
      <c r="BX306" s="27"/>
      <c r="BY306" s="27"/>
      <c r="BZ306" s="28" t="str">
        <f aca="false">IF(N(E306)=0,"",IF(E306&lt;65,"Under 65","≥65"))</f>
        <v/>
      </c>
      <c r="CA306" s="28" t="str">
        <f aca="false">IF(OR(AC306="Yes",AC306="No"),AC306,"")</f>
        <v/>
      </c>
      <c r="CB306" s="28" t="str">
        <f aca="false">IF(OR(AD306="Yes",AD306="No"),AD306,"")</f>
        <v/>
      </c>
      <c r="CC306" s="28" t="str">
        <f aca="false">IF(F306="","",F306)</f>
        <v/>
      </c>
      <c r="CD306" s="27"/>
      <c r="CE306" s="27"/>
    </row>
    <row r="307" customFormat="false" ht="15" hidden="false" customHeight="false" outlineLevel="0" collapsed="false">
      <c r="A307" s="27"/>
      <c r="B307" s="27"/>
      <c r="C307" s="27"/>
      <c r="D307" s="27"/>
      <c r="E307" s="27"/>
      <c r="F307" s="27"/>
      <c r="G307" s="27"/>
      <c r="H307" s="27"/>
      <c r="I307" s="27"/>
      <c r="J307" s="28" t="str">
        <f aca="false">IF(AND(N(H307)&gt;0,N(I307)&gt;0),ROUND(I307/(H307/100)^2,1),"")</f>
        <v/>
      </c>
      <c r="K307" s="27"/>
      <c r="L307" s="27"/>
      <c r="M307" s="27"/>
      <c r="N307" s="27"/>
      <c r="O307" s="27"/>
      <c r="P307" s="27"/>
      <c r="Q307" s="27"/>
      <c r="R307" s="29"/>
      <c r="S307" s="29"/>
      <c r="T307" s="27"/>
      <c r="U307" s="28" t="str">
        <f aca="false">IF(N(T307)=0,"",IF(T307&lt;12,"Under 12 months",IF(T307&lt;36,"12-35 months",IF(T307&lt;60,"36-59 months","≥60 months"))))</f>
        <v/>
      </c>
      <c r="V307" s="27"/>
      <c r="W307" s="30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9"/>
      <c r="AT307" s="30"/>
      <c r="AU307" s="30"/>
      <c r="AV307" s="30"/>
      <c r="AW307" s="27"/>
      <c r="AX307" s="27"/>
      <c r="AY307" s="29"/>
      <c r="AZ307" s="27"/>
      <c r="BA307" s="27"/>
      <c r="BB307" s="29"/>
      <c r="BC307" s="30"/>
      <c r="BD307" s="30"/>
      <c r="BE307" s="30"/>
      <c r="BF307" s="27"/>
      <c r="BG307" s="27"/>
      <c r="BH307" s="28" t="str">
        <f aca="false">IF(COUNT(BC307:BE307)=0,"",IF(MIN(BC307:BE307)&lt;=-2.5,"Yes","No"))</f>
        <v/>
      </c>
      <c r="BI307" s="27"/>
      <c r="BJ307" s="29"/>
      <c r="BK307" s="27"/>
      <c r="BL307" s="27"/>
      <c r="BM307" s="27"/>
      <c r="BN307" s="28" t="str">
        <f aca="false">IF(OR(AX307="Yes",BI307="Yes"),"Yes",IF(AND(AX307="No",BI307="No"),"No",IF(AND(AX307="",BI307=""),"","Unknown")))</f>
        <v/>
      </c>
      <c r="BO307" s="31" t="str">
        <f aca="false">IF(COUNT(AY307,BJ307)=0,"",MIN(AY307,BJ307))</f>
        <v/>
      </c>
      <c r="BP307" s="29"/>
      <c r="BQ307" s="29"/>
      <c r="BR307" s="29"/>
      <c r="BS307" s="28" t="str">
        <f aca="false">IF(AND(N(BP307)&gt;0,N(BR307)&gt;0),BR307-BP307,"")</f>
        <v/>
      </c>
      <c r="BT307" s="28" t="str">
        <f aca="false">IF(BS307="","",ROUND(BS307/365.25,2))</f>
        <v/>
      </c>
      <c r="BU307" s="28" t="str">
        <f aca="false">IF(BS307="","",IF(BS307&gt;=730.5,"Yes","No"))</f>
        <v/>
      </c>
      <c r="BV307" s="27"/>
      <c r="BW307" s="29"/>
      <c r="BX307" s="27"/>
      <c r="BY307" s="27"/>
      <c r="BZ307" s="28" t="str">
        <f aca="false">IF(N(E307)=0,"",IF(E307&lt;65,"Under 65","≥65"))</f>
        <v/>
      </c>
      <c r="CA307" s="28" t="str">
        <f aca="false">IF(OR(AC307="Yes",AC307="No"),AC307,"")</f>
        <v/>
      </c>
      <c r="CB307" s="28" t="str">
        <f aca="false">IF(OR(AD307="Yes",AD307="No"),AD307,"")</f>
        <v/>
      </c>
      <c r="CC307" s="28" t="str">
        <f aca="false">IF(F307="","",F307)</f>
        <v/>
      </c>
      <c r="CD307" s="27"/>
      <c r="CE307" s="27"/>
    </row>
    <row r="308" customFormat="false" ht="15" hidden="false" customHeight="false" outlineLevel="0" collapsed="false">
      <c r="A308" s="27"/>
      <c r="B308" s="27"/>
      <c r="C308" s="27"/>
      <c r="D308" s="27"/>
      <c r="E308" s="27"/>
      <c r="F308" s="27"/>
      <c r="G308" s="27"/>
      <c r="H308" s="27"/>
      <c r="I308" s="27"/>
      <c r="J308" s="28" t="str">
        <f aca="false">IF(AND(N(H308)&gt;0,N(I308)&gt;0),ROUND(I308/(H308/100)^2,1),"")</f>
        <v/>
      </c>
      <c r="K308" s="27"/>
      <c r="L308" s="27"/>
      <c r="M308" s="27"/>
      <c r="N308" s="27"/>
      <c r="O308" s="27"/>
      <c r="P308" s="27"/>
      <c r="Q308" s="27"/>
      <c r="R308" s="29"/>
      <c r="S308" s="29"/>
      <c r="T308" s="27"/>
      <c r="U308" s="28" t="str">
        <f aca="false">IF(N(T308)=0,"",IF(T308&lt;12,"Under 12 months",IF(T308&lt;36,"12-35 months",IF(T308&lt;60,"36-59 months","≥60 months"))))</f>
        <v/>
      </c>
      <c r="V308" s="27"/>
      <c r="W308" s="30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9"/>
      <c r="AT308" s="30"/>
      <c r="AU308" s="30"/>
      <c r="AV308" s="30"/>
      <c r="AW308" s="27"/>
      <c r="AX308" s="27"/>
      <c r="AY308" s="29"/>
      <c r="AZ308" s="27"/>
      <c r="BA308" s="27"/>
      <c r="BB308" s="29"/>
      <c r="BC308" s="30"/>
      <c r="BD308" s="30"/>
      <c r="BE308" s="30"/>
      <c r="BF308" s="27"/>
      <c r="BG308" s="27"/>
      <c r="BH308" s="28" t="str">
        <f aca="false">IF(COUNT(BC308:BE308)=0,"",IF(MIN(BC308:BE308)&lt;=-2.5,"Yes","No"))</f>
        <v/>
      </c>
      <c r="BI308" s="27"/>
      <c r="BJ308" s="29"/>
      <c r="BK308" s="27"/>
      <c r="BL308" s="27"/>
      <c r="BM308" s="27"/>
      <c r="BN308" s="28" t="str">
        <f aca="false">IF(OR(AX308="Yes",BI308="Yes"),"Yes",IF(AND(AX308="No",BI308="No"),"No",IF(AND(AX308="",BI308=""),"","Unknown")))</f>
        <v/>
      </c>
      <c r="BO308" s="31" t="str">
        <f aca="false">IF(COUNT(AY308,BJ308)=0,"",MIN(AY308,BJ308))</f>
        <v/>
      </c>
      <c r="BP308" s="29"/>
      <c r="BQ308" s="29"/>
      <c r="BR308" s="29"/>
      <c r="BS308" s="28" t="str">
        <f aca="false">IF(AND(N(BP308)&gt;0,N(BR308)&gt;0),BR308-BP308,"")</f>
        <v/>
      </c>
      <c r="BT308" s="28" t="str">
        <f aca="false">IF(BS308="","",ROUND(BS308/365.25,2))</f>
        <v/>
      </c>
      <c r="BU308" s="28" t="str">
        <f aca="false">IF(BS308="","",IF(BS308&gt;=730.5,"Yes","No"))</f>
        <v/>
      </c>
      <c r="BV308" s="27"/>
      <c r="BW308" s="29"/>
      <c r="BX308" s="27"/>
      <c r="BY308" s="27"/>
      <c r="BZ308" s="28" t="str">
        <f aca="false">IF(N(E308)=0,"",IF(E308&lt;65,"Under 65","≥65"))</f>
        <v/>
      </c>
      <c r="CA308" s="28" t="str">
        <f aca="false">IF(OR(AC308="Yes",AC308="No"),AC308,"")</f>
        <v/>
      </c>
      <c r="CB308" s="28" t="str">
        <f aca="false">IF(OR(AD308="Yes",AD308="No"),AD308,"")</f>
        <v/>
      </c>
      <c r="CC308" s="28" t="str">
        <f aca="false">IF(F308="","",F308)</f>
        <v/>
      </c>
      <c r="CD308" s="27"/>
      <c r="CE308" s="27"/>
    </row>
    <row r="309" customFormat="false" ht="15" hidden="false" customHeight="false" outlineLevel="0" collapsed="false">
      <c r="A309" s="27"/>
      <c r="B309" s="27"/>
      <c r="C309" s="27"/>
      <c r="D309" s="27"/>
      <c r="E309" s="27"/>
      <c r="F309" s="27"/>
      <c r="G309" s="27"/>
      <c r="H309" s="27"/>
      <c r="I309" s="27"/>
      <c r="J309" s="28" t="str">
        <f aca="false">IF(AND(N(H309)&gt;0,N(I309)&gt;0),ROUND(I309/(H309/100)^2,1),"")</f>
        <v/>
      </c>
      <c r="K309" s="27"/>
      <c r="L309" s="27"/>
      <c r="M309" s="27"/>
      <c r="N309" s="27"/>
      <c r="O309" s="27"/>
      <c r="P309" s="27"/>
      <c r="Q309" s="27"/>
      <c r="R309" s="29"/>
      <c r="S309" s="29"/>
      <c r="T309" s="27"/>
      <c r="U309" s="28" t="str">
        <f aca="false">IF(N(T309)=0,"",IF(T309&lt;12,"Under 12 months",IF(T309&lt;36,"12-35 months",IF(T309&lt;60,"36-59 months","≥60 months"))))</f>
        <v/>
      </c>
      <c r="V309" s="27"/>
      <c r="W309" s="30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9"/>
      <c r="AT309" s="30"/>
      <c r="AU309" s="30"/>
      <c r="AV309" s="30"/>
      <c r="AW309" s="27"/>
      <c r="AX309" s="27"/>
      <c r="AY309" s="29"/>
      <c r="AZ309" s="27"/>
      <c r="BA309" s="27"/>
      <c r="BB309" s="29"/>
      <c r="BC309" s="30"/>
      <c r="BD309" s="30"/>
      <c r="BE309" s="30"/>
      <c r="BF309" s="27"/>
      <c r="BG309" s="27"/>
      <c r="BH309" s="28" t="str">
        <f aca="false">IF(COUNT(BC309:BE309)=0,"",IF(MIN(BC309:BE309)&lt;=-2.5,"Yes","No"))</f>
        <v/>
      </c>
      <c r="BI309" s="27"/>
      <c r="BJ309" s="29"/>
      <c r="BK309" s="27"/>
      <c r="BL309" s="27"/>
      <c r="BM309" s="27"/>
      <c r="BN309" s="28" t="str">
        <f aca="false">IF(OR(AX309="Yes",BI309="Yes"),"Yes",IF(AND(AX309="No",BI309="No"),"No",IF(AND(AX309="",BI309=""),"","Unknown")))</f>
        <v/>
      </c>
      <c r="BO309" s="31" t="str">
        <f aca="false">IF(COUNT(AY309,BJ309)=0,"",MIN(AY309,BJ309))</f>
        <v/>
      </c>
      <c r="BP309" s="29"/>
      <c r="BQ309" s="29"/>
      <c r="BR309" s="29"/>
      <c r="BS309" s="28" t="str">
        <f aca="false">IF(AND(N(BP309)&gt;0,N(BR309)&gt;0),BR309-BP309,"")</f>
        <v/>
      </c>
      <c r="BT309" s="28" t="str">
        <f aca="false">IF(BS309="","",ROUND(BS309/365.25,2))</f>
        <v/>
      </c>
      <c r="BU309" s="28" t="str">
        <f aca="false">IF(BS309="","",IF(BS309&gt;=730.5,"Yes","No"))</f>
        <v/>
      </c>
      <c r="BV309" s="27"/>
      <c r="BW309" s="29"/>
      <c r="BX309" s="27"/>
      <c r="BY309" s="27"/>
      <c r="BZ309" s="28" t="str">
        <f aca="false">IF(N(E309)=0,"",IF(E309&lt;65,"Under 65","≥65"))</f>
        <v/>
      </c>
      <c r="CA309" s="28" t="str">
        <f aca="false">IF(OR(AC309="Yes",AC309="No"),AC309,"")</f>
        <v/>
      </c>
      <c r="CB309" s="28" t="str">
        <f aca="false">IF(OR(AD309="Yes",AD309="No"),AD309,"")</f>
        <v/>
      </c>
      <c r="CC309" s="28" t="str">
        <f aca="false">IF(F309="","",F309)</f>
        <v/>
      </c>
      <c r="CD309" s="27"/>
      <c r="CE309" s="27"/>
    </row>
    <row r="310" customFormat="false" ht="15" hidden="false" customHeight="false" outlineLevel="0" collapsed="false">
      <c r="A310" s="27"/>
      <c r="B310" s="27"/>
      <c r="C310" s="27"/>
      <c r="D310" s="27"/>
      <c r="E310" s="27"/>
      <c r="F310" s="27"/>
      <c r="G310" s="27"/>
      <c r="H310" s="27"/>
      <c r="I310" s="27"/>
      <c r="J310" s="28" t="str">
        <f aca="false">IF(AND(N(H310)&gt;0,N(I310)&gt;0),ROUND(I310/(H310/100)^2,1),"")</f>
        <v/>
      </c>
      <c r="K310" s="27"/>
      <c r="L310" s="27"/>
      <c r="M310" s="27"/>
      <c r="N310" s="27"/>
      <c r="O310" s="27"/>
      <c r="P310" s="27"/>
      <c r="Q310" s="27"/>
      <c r="R310" s="29"/>
      <c r="S310" s="29"/>
      <c r="T310" s="27"/>
      <c r="U310" s="28" t="str">
        <f aca="false">IF(N(T310)=0,"",IF(T310&lt;12,"Under 12 months",IF(T310&lt;36,"12-35 months",IF(T310&lt;60,"36-59 months","≥60 months"))))</f>
        <v/>
      </c>
      <c r="V310" s="27"/>
      <c r="W310" s="30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9"/>
      <c r="AT310" s="30"/>
      <c r="AU310" s="30"/>
      <c r="AV310" s="30"/>
      <c r="AW310" s="27"/>
      <c r="AX310" s="27"/>
      <c r="AY310" s="29"/>
      <c r="AZ310" s="27"/>
      <c r="BA310" s="27"/>
      <c r="BB310" s="29"/>
      <c r="BC310" s="30"/>
      <c r="BD310" s="30"/>
      <c r="BE310" s="30"/>
      <c r="BF310" s="27"/>
      <c r="BG310" s="27"/>
      <c r="BH310" s="28" t="str">
        <f aca="false">IF(COUNT(BC310:BE310)=0,"",IF(MIN(BC310:BE310)&lt;=-2.5,"Yes","No"))</f>
        <v/>
      </c>
      <c r="BI310" s="27"/>
      <c r="BJ310" s="29"/>
      <c r="BK310" s="27"/>
      <c r="BL310" s="27"/>
      <c r="BM310" s="27"/>
      <c r="BN310" s="28" t="str">
        <f aca="false">IF(OR(AX310="Yes",BI310="Yes"),"Yes",IF(AND(AX310="No",BI310="No"),"No",IF(AND(AX310="",BI310=""),"","Unknown")))</f>
        <v/>
      </c>
      <c r="BO310" s="31" t="str">
        <f aca="false">IF(COUNT(AY310,BJ310)=0,"",MIN(AY310,BJ310))</f>
        <v/>
      </c>
      <c r="BP310" s="29"/>
      <c r="BQ310" s="29"/>
      <c r="BR310" s="29"/>
      <c r="BS310" s="28" t="str">
        <f aca="false">IF(AND(N(BP310)&gt;0,N(BR310)&gt;0),BR310-BP310,"")</f>
        <v/>
      </c>
      <c r="BT310" s="28" t="str">
        <f aca="false">IF(BS310="","",ROUND(BS310/365.25,2))</f>
        <v/>
      </c>
      <c r="BU310" s="28" t="str">
        <f aca="false">IF(BS310="","",IF(BS310&gt;=730.5,"Yes","No"))</f>
        <v/>
      </c>
      <c r="BV310" s="27"/>
      <c r="BW310" s="29"/>
      <c r="BX310" s="27"/>
      <c r="BY310" s="27"/>
      <c r="BZ310" s="28" t="str">
        <f aca="false">IF(N(E310)=0,"",IF(E310&lt;65,"Under 65","≥65"))</f>
        <v/>
      </c>
      <c r="CA310" s="28" t="str">
        <f aca="false">IF(OR(AC310="Yes",AC310="No"),AC310,"")</f>
        <v/>
      </c>
      <c r="CB310" s="28" t="str">
        <f aca="false">IF(OR(AD310="Yes",AD310="No"),AD310,"")</f>
        <v/>
      </c>
      <c r="CC310" s="28" t="str">
        <f aca="false">IF(F310="","",F310)</f>
        <v/>
      </c>
      <c r="CD310" s="27"/>
      <c r="CE310" s="27"/>
    </row>
    <row r="311" customFormat="false" ht="15" hidden="false" customHeight="false" outlineLevel="0" collapsed="false">
      <c r="A311" s="27"/>
      <c r="B311" s="27"/>
      <c r="C311" s="27"/>
      <c r="D311" s="27"/>
      <c r="E311" s="27"/>
      <c r="F311" s="27"/>
      <c r="G311" s="27"/>
      <c r="H311" s="27"/>
      <c r="I311" s="27"/>
      <c r="J311" s="28" t="str">
        <f aca="false">IF(AND(N(H311)&gt;0,N(I311)&gt;0),ROUND(I311/(H311/100)^2,1),"")</f>
        <v/>
      </c>
      <c r="K311" s="27"/>
      <c r="L311" s="27"/>
      <c r="M311" s="27"/>
      <c r="N311" s="27"/>
      <c r="O311" s="27"/>
      <c r="P311" s="27"/>
      <c r="Q311" s="27"/>
      <c r="R311" s="29"/>
      <c r="S311" s="29"/>
      <c r="T311" s="27"/>
      <c r="U311" s="28" t="str">
        <f aca="false">IF(N(T311)=0,"",IF(T311&lt;12,"Under 12 months",IF(T311&lt;36,"12-35 months",IF(T311&lt;60,"36-59 months","≥60 months"))))</f>
        <v/>
      </c>
      <c r="V311" s="27"/>
      <c r="W311" s="30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9"/>
      <c r="AT311" s="30"/>
      <c r="AU311" s="30"/>
      <c r="AV311" s="30"/>
      <c r="AW311" s="27"/>
      <c r="AX311" s="27"/>
      <c r="AY311" s="29"/>
      <c r="AZ311" s="27"/>
      <c r="BA311" s="27"/>
      <c r="BB311" s="29"/>
      <c r="BC311" s="30"/>
      <c r="BD311" s="30"/>
      <c r="BE311" s="30"/>
      <c r="BF311" s="27"/>
      <c r="BG311" s="27"/>
      <c r="BH311" s="28" t="str">
        <f aca="false">IF(COUNT(BC311:BE311)=0,"",IF(MIN(BC311:BE311)&lt;=-2.5,"Yes","No"))</f>
        <v/>
      </c>
      <c r="BI311" s="27"/>
      <c r="BJ311" s="29"/>
      <c r="BK311" s="27"/>
      <c r="BL311" s="27"/>
      <c r="BM311" s="27"/>
      <c r="BN311" s="28" t="str">
        <f aca="false">IF(OR(AX311="Yes",BI311="Yes"),"Yes",IF(AND(AX311="No",BI311="No"),"No",IF(AND(AX311="",BI311=""),"","Unknown")))</f>
        <v/>
      </c>
      <c r="BO311" s="31" t="str">
        <f aca="false">IF(COUNT(AY311,BJ311)=0,"",MIN(AY311,BJ311))</f>
        <v/>
      </c>
      <c r="BP311" s="29"/>
      <c r="BQ311" s="29"/>
      <c r="BR311" s="29"/>
      <c r="BS311" s="28" t="str">
        <f aca="false">IF(AND(N(BP311)&gt;0,N(BR311)&gt;0),BR311-BP311,"")</f>
        <v/>
      </c>
      <c r="BT311" s="28" t="str">
        <f aca="false">IF(BS311="","",ROUND(BS311/365.25,2))</f>
        <v/>
      </c>
      <c r="BU311" s="28" t="str">
        <f aca="false">IF(BS311="","",IF(BS311&gt;=730.5,"Yes","No"))</f>
        <v/>
      </c>
      <c r="BV311" s="27"/>
      <c r="BW311" s="29"/>
      <c r="BX311" s="27"/>
      <c r="BY311" s="27"/>
      <c r="BZ311" s="28" t="str">
        <f aca="false">IF(N(E311)=0,"",IF(E311&lt;65,"Under 65","≥65"))</f>
        <v/>
      </c>
      <c r="CA311" s="28" t="str">
        <f aca="false">IF(OR(AC311="Yes",AC311="No"),AC311,"")</f>
        <v/>
      </c>
      <c r="CB311" s="28" t="str">
        <f aca="false">IF(OR(AD311="Yes",AD311="No"),AD311,"")</f>
        <v/>
      </c>
      <c r="CC311" s="28" t="str">
        <f aca="false">IF(F311="","",F311)</f>
        <v/>
      </c>
      <c r="CD311" s="27"/>
      <c r="CE311" s="27"/>
    </row>
    <row r="312" customFormat="false" ht="15" hidden="false" customHeight="false" outlineLevel="0" collapsed="false">
      <c r="A312" s="27"/>
      <c r="B312" s="27"/>
      <c r="C312" s="27"/>
      <c r="D312" s="27"/>
      <c r="E312" s="27"/>
      <c r="F312" s="27"/>
      <c r="G312" s="27"/>
      <c r="H312" s="27"/>
      <c r="I312" s="27"/>
      <c r="J312" s="28" t="str">
        <f aca="false">IF(AND(N(H312)&gt;0,N(I312)&gt;0),ROUND(I312/(H312/100)^2,1),"")</f>
        <v/>
      </c>
      <c r="K312" s="27"/>
      <c r="L312" s="27"/>
      <c r="M312" s="27"/>
      <c r="N312" s="27"/>
      <c r="O312" s="27"/>
      <c r="P312" s="27"/>
      <c r="Q312" s="27"/>
      <c r="R312" s="29"/>
      <c r="S312" s="29"/>
      <c r="T312" s="27"/>
      <c r="U312" s="28" t="str">
        <f aca="false">IF(N(T312)=0,"",IF(T312&lt;12,"Under 12 months",IF(T312&lt;36,"12-35 months",IF(T312&lt;60,"36-59 months","≥60 months"))))</f>
        <v/>
      </c>
      <c r="V312" s="27"/>
      <c r="W312" s="30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9"/>
      <c r="AT312" s="30"/>
      <c r="AU312" s="30"/>
      <c r="AV312" s="30"/>
      <c r="AW312" s="27"/>
      <c r="AX312" s="27"/>
      <c r="AY312" s="29"/>
      <c r="AZ312" s="27"/>
      <c r="BA312" s="27"/>
      <c r="BB312" s="29"/>
      <c r="BC312" s="30"/>
      <c r="BD312" s="30"/>
      <c r="BE312" s="30"/>
      <c r="BF312" s="27"/>
      <c r="BG312" s="27"/>
      <c r="BH312" s="28" t="str">
        <f aca="false">IF(COUNT(BC312:BE312)=0,"",IF(MIN(BC312:BE312)&lt;=-2.5,"Yes","No"))</f>
        <v/>
      </c>
      <c r="BI312" s="27"/>
      <c r="BJ312" s="29"/>
      <c r="BK312" s="27"/>
      <c r="BL312" s="27"/>
      <c r="BM312" s="27"/>
      <c r="BN312" s="28" t="str">
        <f aca="false">IF(OR(AX312="Yes",BI312="Yes"),"Yes",IF(AND(AX312="No",BI312="No"),"No",IF(AND(AX312="",BI312=""),"","Unknown")))</f>
        <v/>
      </c>
      <c r="BO312" s="31" t="str">
        <f aca="false">IF(COUNT(AY312,BJ312)=0,"",MIN(AY312,BJ312))</f>
        <v/>
      </c>
      <c r="BP312" s="29"/>
      <c r="BQ312" s="29"/>
      <c r="BR312" s="29"/>
      <c r="BS312" s="28" t="str">
        <f aca="false">IF(AND(N(BP312)&gt;0,N(BR312)&gt;0),BR312-BP312,"")</f>
        <v/>
      </c>
      <c r="BT312" s="28" t="str">
        <f aca="false">IF(BS312="","",ROUND(BS312/365.25,2))</f>
        <v/>
      </c>
      <c r="BU312" s="28" t="str">
        <f aca="false">IF(BS312="","",IF(BS312&gt;=730.5,"Yes","No"))</f>
        <v/>
      </c>
      <c r="BV312" s="27"/>
      <c r="BW312" s="29"/>
      <c r="BX312" s="27"/>
      <c r="BY312" s="27"/>
      <c r="BZ312" s="28" t="str">
        <f aca="false">IF(N(E312)=0,"",IF(E312&lt;65,"Under 65","≥65"))</f>
        <v/>
      </c>
      <c r="CA312" s="28" t="str">
        <f aca="false">IF(OR(AC312="Yes",AC312="No"),AC312,"")</f>
        <v/>
      </c>
      <c r="CB312" s="28" t="str">
        <f aca="false">IF(OR(AD312="Yes",AD312="No"),AD312,"")</f>
        <v/>
      </c>
      <c r="CC312" s="28" t="str">
        <f aca="false">IF(F312="","",F312)</f>
        <v/>
      </c>
      <c r="CD312" s="27"/>
      <c r="CE312" s="27"/>
    </row>
    <row r="313" customFormat="false" ht="15" hidden="false" customHeight="false" outlineLevel="0" collapsed="false">
      <c r="A313" s="27"/>
      <c r="B313" s="27"/>
      <c r="C313" s="27"/>
      <c r="D313" s="27"/>
      <c r="E313" s="27"/>
      <c r="F313" s="27"/>
      <c r="G313" s="27"/>
      <c r="H313" s="27"/>
      <c r="I313" s="27"/>
      <c r="J313" s="28" t="str">
        <f aca="false">IF(AND(N(H313)&gt;0,N(I313)&gt;0),ROUND(I313/(H313/100)^2,1),"")</f>
        <v/>
      </c>
      <c r="K313" s="27"/>
      <c r="L313" s="27"/>
      <c r="M313" s="27"/>
      <c r="N313" s="27"/>
      <c r="O313" s="27"/>
      <c r="P313" s="27"/>
      <c r="Q313" s="27"/>
      <c r="R313" s="29"/>
      <c r="S313" s="29"/>
      <c r="T313" s="27"/>
      <c r="U313" s="28" t="str">
        <f aca="false">IF(N(T313)=0,"",IF(T313&lt;12,"Under 12 months",IF(T313&lt;36,"12-35 months",IF(T313&lt;60,"36-59 months","≥60 months"))))</f>
        <v/>
      </c>
      <c r="V313" s="27"/>
      <c r="W313" s="30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9"/>
      <c r="AT313" s="30"/>
      <c r="AU313" s="30"/>
      <c r="AV313" s="30"/>
      <c r="AW313" s="27"/>
      <c r="AX313" s="27"/>
      <c r="AY313" s="29"/>
      <c r="AZ313" s="27"/>
      <c r="BA313" s="27"/>
      <c r="BB313" s="29"/>
      <c r="BC313" s="30"/>
      <c r="BD313" s="30"/>
      <c r="BE313" s="30"/>
      <c r="BF313" s="27"/>
      <c r="BG313" s="27"/>
      <c r="BH313" s="28" t="str">
        <f aca="false">IF(COUNT(BC313:BE313)=0,"",IF(MIN(BC313:BE313)&lt;=-2.5,"Yes","No"))</f>
        <v/>
      </c>
      <c r="BI313" s="27"/>
      <c r="BJ313" s="29"/>
      <c r="BK313" s="27"/>
      <c r="BL313" s="27"/>
      <c r="BM313" s="27"/>
      <c r="BN313" s="28" t="str">
        <f aca="false">IF(OR(AX313="Yes",BI313="Yes"),"Yes",IF(AND(AX313="No",BI313="No"),"No",IF(AND(AX313="",BI313=""),"","Unknown")))</f>
        <v/>
      </c>
      <c r="BO313" s="31" t="str">
        <f aca="false">IF(COUNT(AY313,BJ313)=0,"",MIN(AY313,BJ313))</f>
        <v/>
      </c>
      <c r="BP313" s="29"/>
      <c r="BQ313" s="29"/>
      <c r="BR313" s="29"/>
      <c r="BS313" s="28" t="str">
        <f aca="false">IF(AND(N(BP313)&gt;0,N(BR313)&gt;0),BR313-BP313,"")</f>
        <v/>
      </c>
      <c r="BT313" s="28" t="str">
        <f aca="false">IF(BS313="","",ROUND(BS313/365.25,2))</f>
        <v/>
      </c>
      <c r="BU313" s="28" t="str">
        <f aca="false">IF(BS313="","",IF(BS313&gt;=730.5,"Yes","No"))</f>
        <v/>
      </c>
      <c r="BV313" s="27"/>
      <c r="BW313" s="29"/>
      <c r="BX313" s="27"/>
      <c r="BY313" s="27"/>
      <c r="BZ313" s="28" t="str">
        <f aca="false">IF(N(E313)=0,"",IF(E313&lt;65,"Under 65","≥65"))</f>
        <v/>
      </c>
      <c r="CA313" s="28" t="str">
        <f aca="false">IF(OR(AC313="Yes",AC313="No"),AC313,"")</f>
        <v/>
      </c>
      <c r="CB313" s="28" t="str">
        <f aca="false">IF(OR(AD313="Yes",AD313="No"),AD313,"")</f>
        <v/>
      </c>
      <c r="CC313" s="28" t="str">
        <f aca="false">IF(F313="","",F313)</f>
        <v/>
      </c>
      <c r="CD313" s="27"/>
      <c r="CE313" s="27"/>
    </row>
    <row r="314" customFormat="false" ht="15" hidden="false" customHeight="false" outlineLevel="0" collapsed="false">
      <c r="A314" s="27"/>
      <c r="B314" s="27"/>
      <c r="C314" s="27"/>
      <c r="D314" s="27"/>
      <c r="E314" s="27"/>
      <c r="F314" s="27"/>
      <c r="G314" s="27"/>
      <c r="H314" s="27"/>
      <c r="I314" s="27"/>
      <c r="J314" s="28" t="str">
        <f aca="false">IF(AND(N(H314)&gt;0,N(I314)&gt;0),ROUND(I314/(H314/100)^2,1),"")</f>
        <v/>
      </c>
      <c r="K314" s="27"/>
      <c r="L314" s="27"/>
      <c r="M314" s="27"/>
      <c r="N314" s="27"/>
      <c r="O314" s="27"/>
      <c r="P314" s="27"/>
      <c r="Q314" s="27"/>
      <c r="R314" s="29"/>
      <c r="S314" s="29"/>
      <c r="T314" s="27"/>
      <c r="U314" s="28" t="str">
        <f aca="false">IF(N(T314)=0,"",IF(T314&lt;12,"Under 12 months",IF(T314&lt;36,"12-35 months",IF(T314&lt;60,"36-59 months","≥60 months"))))</f>
        <v/>
      </c>
      <c r="V314" s="27"/>
      <c r="W314" s="30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9"/>
      <c r="AT314" s="30"/>
      <c r="AU314" s="30"/>
      <c r="AV314" s="30"/>
      <c r="AW314" s="27"/>
      <c r="AX314" s="27"/>
      <c r="AY314" s="29"/>
      <c r="AZ314" s="27"/>
      <c r="BA314" s="27"/>
      <c r="BB314" s="29"/>
      <c r="BC314" s="30"/>
      <c r="BD314" s="30"/>
      <c r="BE314" s="30"/>
      <c r="BF314" s="27"/>
      <c r="BG314" s="27"/>
      <c r="BH314" s="28" t="str">
        <f aca="false">IF(COUNT(BC314:BE314)=0,"",IF(MIN(BC314:BE314)&lt;=-2.5,"Yes","No"))</f>
        <v/>
      </c>
      <c r="BI314" s="27"/>
      <c r="BJ314" s="29"/>
      <c r="BK314" s="27"/>
      <c r="BL314" s="27"/>
      <c r="BM314" s="27"/>
      <c r="BN314" s="28" t="str">
        <f aca="false">IF(OR(AX314="Yes",BI314="Yes"),"Yes",IF(AND(AX314="No",BI314="No"),"No",IF(AND(AX314="",BI314=""),"","Unknown")))</f>
        <v/>
      </c>
      <c r="BO314" s="31" t="str">
        <f aca="false">IF(COUNT(AY314,BJ314)=0,"",MIN(AY314,BJ314))</f>
        <v/>
      </c>
      <c r="BP314" s="29"/>
      <c r="BQ314" s="29"/>
      <c r="BR314" s="29"/>
      <c r="BS314" s="28" t="str">
        <f aca="false">IF(AND(N(BP314)&gt;0,N(BR314)&gt;0),BR314-BP314,"")</f>
        <v/>
      </c>
      <c r="BT314" s="28" t="str">
        <f aca="false">IF(BS314="","",ROUND(BS314/365.25,2))</f>
        <v/>
      </c>
      <c r="BU314" s="28" t="str">
        <f aca="false">IF(BS314="","",IF(BS314&gt;=730.5,"Yes","No"))</f>
        <v/>
      </c>
      <c r="BV314" s="27"/>
      <c r="BW314" s="29"/>
      <c r="BX314" s="27"/>
      <c r="BY314" s="27"/>
      <c r="BZ314" s="28" t="str">
        <f aca="false">IF(N(E314)=0,"",IF(E314&lt;65,"Under 65","≥65"))</f>
        <v/>
      </c>
      <c r="CA314" s="28" t="str">
        <f aca="false">IF(OR(AC314="Yes",AC314="No"),AC314,"")</f>
        <v/>
      </c>
      <c r="CB314" s="28" t="str">
        <f aca="false">IF(OR(AD314="Yes",AD314="No"),AD314,"")</f>
        <v/>
      </c>
      <c r="CC314" s="28" t="str">
        <f aca="false">IF(F314="","",F314)</f>
        <v/>
      </c>
      <c r="CD314" s="27"/>
      <c r="CE314" s="27"/>
    </row>
    <row r="315" customFormat="false" ht="15" hidden="false" customHeight="false" outlineLevel="0" collapsed="false">
      <c r="A315" s="27"/>
      <c r="B315" s="27"/>
      <c r="C315" s="27"/>
      <c r="D315" s="27"/>
      <c r="E315" s="27"/>
      <c r="F315" s="27"/>
      <c r="G315" s="27"/>
      <c r="H315" s="27"/>
      <c r="I315" s="27"/>
      <c r="J315" s="28" t="str">
        <f aca="false">IF(AND(N(H315)&gt;0,N(I315)&gt;0),ROUND(I315/(H315/100)^2,1),"")</f>
        <v/>
      </c>
      <c r="K315" s="27"/>
      <c r="L315" s="27"/>
      <c r="M315" s="27"/>
      <c r="N315" s="27"/>
      <c r="O315" s="27"/>
      <c r="P315" s="27"/>
      <c r="Q315" s="27"/>
      <c r="R315" s="29"/>
      <c r="S315" s="29"/>
      <c r="T315" s="27"/>
      <c r="U315" s="28" t="str">
        <f aca="false">IF(N(T315)=0,"",IF(T315&lt;12,"Under 12 months",IF(T315&lt;36,"12-35 months",IF(T315&lt;60,"36-59 months","≥60 months"))))</f>
        <v/>
      </c>
      <c r="V315" s="27"/>
      <c r="W315" s="30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9"/>
      <c r="AT315" s="30"/>
      <c r="AU315" s="30"/>
      <c r="AV315" s="30"/>
      <c r="AW315" s="27"/>
      <c r="AX315" s="27"/>
      <c r="AY315" s="29"/>
      <c r="AZ315" s="27"/>
      <c r="BA315" s="27"/>
      <c r="BB315" s="29"/>
      <c r="BC315" s="30"/>
      <c r="BD315" s="30"/>
      <c r="BE315" s="30"/>
      <c r="BF315" s="27"/>
      <c r="BG315" s="27"/>
      <c r="BH315" s="28" t="str">
        <f aca="false">IF(COUNT(BC315:BE315)=0,"",IF(MIN(BC315:BE315)&lt;=-2.5,"Yes","No"))</f>
        <v/>
      </c>
      <c r="BI315" s="27"/>
      <c r="BJ315" s="29"/>
      <c r="BK315" s="27"/>
      <c r="BL315" s="27"/>
      <c r="BM315" s="27"/>
      <c r="BN315" s="28" t="str">
        <f aca="false">IF(OR(AX315="Yes",BI315="Yes"),"Yes",IF(AND(AX315="No",BI315="No"),"No",IF(AND(AX315="",BI315=""),"","Unknown")))</f>
        <v/>
      </c>
      <c r="BO315" s="31" t="str">
        <f aca="false">IF(COUNT(AY315,BJ315)=0,"",MIN(AY315,BJ315))</f>
        <v/>
      </c>
      <c r="BP315" s="29"/>
      <c r="BQ315" s="29"/>
      <c r="BR315" s="29"/>
      <c r="BS315" s="28" t="str">
        <f aca="false">IF(AND(N(BP315)&gt;0,N(BR315)&gt;0),BR315-BP315,"")</f>
        <v/>
      </c>
      <c r="BT315" s="28" t="str">
        <f aca="false">IF(BS315="","",ROUND(BS315/365.25,2))</f>
        <v/>
      </c>
      <c r="BU315" s="28" t="str">
        <f aca="false">IF(BS315="","",IF(BS315&gt;=730.5,"Yes","No"))</f>
        <v/>
      </c>
      <c r="BV315" s="27"/>
      <c r="BW315" s="29"/>
      <c r="BX315" s="27"/>
      <c r="BY315" s="27"/>
      <c r="BZ315" s="28" t="str">
        <f aca="false">IF(N(E315)=0,"",IF(E315&lt;65,"Under 65","≥65"))</f>
        <v/>
      </c>
      <c r="CA315" s="28" t="str">
        <f aca="false">IF(OR(AC315="Yes",AC315="No"),AC315,"")</f>
        <v/>
      </c>
      <c r="CB315" s="28" t="str">
        <f aca="false">IF(OR(AD315="Yes",AD315="No"),AD315,"")</f>
        <v/>
      </c>
      <c r="CC315" s="28" t="str">
        <f aca="false">IF(F315="","",F315)</f>
        <v/>
      </c>
      <c r="CD315" s="27"/>
      <c r="CE315" s="27"/>
    </row>
    <row r="316" customFormat="false" ht="15" hidden="false" customHeight="false" outlineLevel="0" collapsed="false">
      <c r="A316" s="27"/>
      <c r="B316" s="27"/>
      <c r="C316" s="27"/>
      <c r="D316" s="27"/>
      <c r="E316" s="27"/>
      <c r="F316" s="27"/>
      <c r="G316" s="27"/>
      <c r="H316" s="27"/>
      <c r="I316" s="27"/>
      <c r="J316" s="28" t="str">
        <f aca="false">IF(AND(N(H316)&gt;0,N(I316)&gt;0),ROUND(I316/(H316/100)^2,1),"")</f>
        <v/>
      </c>
      <c r="K316" s="27"/>
      <c r="L316" s="27"/>
      <c r="M316" s="27"/>
      <c r="N316" s="27"/>
      <c r="O316" s="27"/>
      <c r="P316" s="27"/>
      <c r="Q316" s="27"/>
      <c r="R316" s="29"/>
      <c r="S316" s="29"/>
      <c r="T316" s="27"/>
      <c r="U316" s="28" t="str">
        <f aca="false">IF(N(T316)=0,"",IF(T316&lt;12,"Under 12 months",IF(T316&lt;36,"12-35 months",IF(T316&lt;60,"36-59 months","≥60 months"))))</f>
        <v/>
      </c>
      <c r="V316" s="27"/>
      <c r="W316" s="30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9"/>
      <c r="AT316" s="30"/>
      <c r="AU316" s="30"/>
      <c r="AV316" s="30"/>
      <c r="AW316" s="27"/>
      <c r="AX316" s="27"/>
      <c r="AY316" s="29"/>
      <c r="AZ316" s="27"/>
      <c r="BA316" s="27"/>
      <c r="BB316" s="29"/>
      <c r="BC316" s="30"/>
      <c r="BD316" s="30"/>
      <c r="BE316" s="30"/>
      <c r="BF316" s="27"/>
      <c r="BG316" s="27"/>
      <c r="BH316" s="28" t="str">
        <f aca="false">IF(COUNT(BC316:BE316)=0,"",IF(MIN(BC316:BE316)&lt;=-2.5,"Yes","No"))</f>
        <v/>
      </c>
      <c r="BI316" s="27"/>
      <c r="BJ316" s="29"/>
      <c r="BK316" s="27"/>
      <c r="BL316" s="27"/>
      <c r="BM316" s="27"/>
      <c r="BN316" s="28" t="str">
        <f aca="false">IF(OR(AX316="Yes",BI316="Yes"),"Yes",IF(AND(AX316="No",BI316="No"),"No",IF(AND(AX316="",BI316=""),"","Unknown")))</f>
        <v/>
      </c>
      <c r="BO316" s="31" t="str">
        <f aca="false">IF(COUNT(AY316,BJ316)=0,"",MIN(AY316,BJ316))</f>
        <v/>
      </c>
      <c r="BP316" s="29"/>
      <c r="BQ316" s="29"/>
      <c r="BR316" s="29"/>
      <c r="BS316" s="28" t="str">
        <f aca="false">IF(AND(N(BP316)&gt;0,N(BR316)&gt;0),BR316-BP316,"")</f>
        <v/>
      </c>
      <c r="BT316" s="28" t="str">
        <f aca="false">IF(BS316="","",ROUND(BS316/365.25,2))</f>
        <v/>
      </c>
      <c r="BU316" s="28" t="str">
        <f aca="false">IF(BS316="","",IF(BS316&gt;=730.5,"Yes","No"))</f>
        <v/>
      </c>
      <c r="BV316" s="27"/>
      <c r="BW316" s="29"/>
      <c r="BX316" s="27"/>
      <c r="BY316" s="27"/>
      <c r="BZ316" s="28" t="str">
        <f aca="false">IF(N(E316)=0,"",IF(E316&lt;65,"Under 65","≥65"))</f>
        <v/>
      </c>
      <c r="CA316" s="28" t="str">
        <f aca="false">IF(OR(AC316="Yes",AC316="No"),AC316,"")</f>
        <v/>
      </c>
      <c r="CB316" s="28" t="str">
        <f aca="false">IF(OR(AD316="Yes",AD316="No"),AD316,"")</f>
        <v/>
      </c>
      <c r="CC316" s="28" t="str">
        <f aca="false">IF(F316="","",F316)</f>
        <v/>
      </c>
      <c r="CD316" s="27"/>
      <c r="CE316" s="27"/>
    </row>
    <row r="317" customFormat="false" ht="15" hidden="false" customHeight="false" outlineLevel="0" collapsed="false">
      <c r="A317" s="27"/>
      <c r="B317" s="27"/>
      <c r="C317" s="27"/>
      <c r="D317" s="27"/>
      <c r="E317" s="27"/>
      <c r="F317" s="27"/>
      <c r="G317" s="27"/>
      <c r="H317" s="27"/>
      <c r="I317" s="27"/>
      <c r="J317" s="28" t="str">
        <f aca="false">IF(AND(N(H317)&gt;0,N(I317)&gt;0),ROUND(I317/(H317/100)^2,1),"")</f>
        <v/>
      </c>
      <c r="K317" s="27"/>
      <c r="L317" s="27"/>
      <c r="M317" s="27"/>
      <c r="N317" s="27"/>
      <c r="O317" s="27"/>
      <c r="P317" s="27"/>
      <c r="Q317" s="27"/>
      <c r="R317" s="29"/>
      <c r="S317" s="29"/>
      <c r="T317" s="27"/>
      <c r="U317" s="28" t="str">
        <f aca="false">IF(N(T317)=0,"",IF(T317&lt;12,"Under 12 months",IF(T317&lt;36,"12-35 months",IF(T317&lt;60,"36-59 months","≥60 months"))))</f>
        <v/>
      </c>
      <c r="V317" s="27"/>
      <c r="W317" s="30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9"/>
      <c r="AT317" s="30"/>
      <c r="AU317" s="30"/>
      <c r="AV317" s="30"/>
      <c r="AW317" s="27"/>
      <c r="AX317" s="27"/>
      <c r="AY317" s="29"/>
      <c r="AZ317" s="27"/>
      <c r="BA317" s="27"/>
      <c r="BB317" s="29"/>
      <c r="BC317" s="30"/>
      <c r="BD317" s="30"/>
      <c r="BE317" s="30"/>
      <c r="BF317" s="27"/>
      <c r="BG317" s="27"/>
      <c r="BH317" s="28" t="str">
        <f aca="false">IF(COUNT(BC317:BE317)=0,"",IF(MIN(BC317:BE317)&lt;=-2.5,"Yes","No"))</f>
        <v/>
      </c>
      <c r="BI317" s="27"/>
      <c r="BJ317" s="29"/>
      <c r="BK317" s="27"/>
      <c r="BL317" s="27"/>
      <c r="BM317" s="27"/>
      <c r="BN317" s="28" t="str">
        <f aca="false">IF(OR(AX317="Yes",BI317="Yes"),"Yes",IF(AND(AX317="No",BI317="No"),"No",IF(AND(AX317="",BI317=""),"","Unknown")))</f>
        <v/>
      </c>
      <c r="BO317" s="31" t="str">
        <f aca="false">IF(COUNT(AY317,BJ317)=0,"",MIN(AY317,BJ317))</f>
        <v/>
      </c>
      <c r="BP317" s="29"/>
      <c r="BQ317" s="29"/>
      <c r="BR317" s="29"/>
      <c r="BS317" s="28" t="str">
        <f aca="false">IF(AND(N(BP317)&gt;0,N(BR317)&gt;0),BR317-BP317,"")</f>
        <v/>
      </c>
      <c r="BT317" s="28" t="str">
        <f aca="false">IF(BS317="","",ROUND(BS317/365.25,2))</f>
        <v/>
      </c>
      <c r="BU317" s="28" t="str">
        <f aca="false">IF(BS317="","",IF(BS317&gt;=730.5,"Yes","No"))</f>
        <v/>
      </c>
      <c r="BV317" s="27"/>
      <c r="BW317" s="29"/>
      <c r="BX317" s="27"/>
      <c r="BY317" s="27"/>
      <c r="BZ317" s="28" t="str">
        <f aca="false">IF(N(E317)=0,"",IF(E317&lt;65,"Under 65","≥65"))</f>
        <v/>
      </c>
      <c r="CA317" s="28" t="str">
        <f aca="false">IF(OR(AC317="Yes",AC317="No"),AC317,"")</f>
        <v/>
      </c>
      <c r="CB317" s="28" t="str">
        <f aca="false">IF(OR(AD317="Yes",AD317="No"),AD317,"")</f>
        <v/>
      </c>
      <c r="CC317" s="28" t="str">
        <f aca="false">IF(F317="","",F317)</f>
        <v/>
      </c>
      <c r="CD317" s="27"/>
      <c r="CE317" s="27"/>
    </row>
    <row r="318" customFormat="false" ht="15" hidden="false" customHeight="false" outlineLevel="0" collapsed="false">
      <c r="A318" s="27"/>
      <c r="B318" s="27"/>
      <c r="C318" s="27"/>
      <c r="D318" s="27"/>
      <c r="E318" s="27"/>
      <c r="F318" s="27"/>
      <c r="G318" s="27"/>
      <c r="H318" s="27"/>
      <c r="I318" s="27"/>
      <c r="J318" s="28" t="str">
        <f aca="false">IF(AND(N(H318)&gt;0,N(I318)&gt;0),ROUND(I318/(H318/100)^2,1),"")</f>
        <v/>
      </c>
      <c r="K318" s="27"/>
      <c r="L318" s="27"/>
      <c r="M318" s="27"/>
      <c r="N318" s="27"/>
      <c r="O318" s="27"/>
      <c r="P318" s="27"/>
      <c r="Q318" s="27"/>
      <c r="R318" s="29"/>
      <c r="S318" s="29"/>
      <c r="T318" s="27"/>
      <c r="U318" s="28" t="str">
        <f aca="false">IF(N(T318)=0,"",IF(T318&lt;12,"Under 12 months",IF(T318&lt;36,"12-35 months",IF(T318&lt;60,"36-59 months","≥60 months"))))</f>
        <v/>
      </c>
      <c r="V318" s="27"/>
      <c r="W318" s="30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9"/>
      <c r="AT318" s="30"/>
      <c r="AU318" s="30"/>
      <c r="AV318" s="30"/>
      <c r="AW318" s="27"/>
      <c r="AX318" s="27"/>
      <c r="AY318" s="29"/>
      <c r="AZ318" s="27"/>
      <c r="BA318" s="27"/>
      <c r="BB318" s="29"/>
      <c r="BC318" s="30"/>
      <c r="BD318" s="30"/>
      <c r="BE318" s="30"/>
      <c r="BF318" s="27"/>
      <c r="BG318" s="27"/>
      <c r="BH318" s="28" t="str">
        <f aca="false">IF(COUNT(BC318:BE318)=0,"",IF(MIN(BC318:BE318)&lt;=-2.5,"Yes","No"))</f>
        <v/>
      </c>
      <c r="BI318" s="27"/>
      <c r="BJ318" s="29"/>
      <c r="BK318" s="27"/>
      <c r="BL318" s="27"/>
      <c r="BM318" s="27"/>
      <c r="BN318" s="28" t="str">
        <f aca="false">IF(OR(AX318="Yes",BI318="Yes"),"Yes",IF(AND(AX318="No",BI318="No"),"No",IF(AND(AX318="",BI318=""),"","Unknown")))</f>
        <v/>
      </c>
      <c r="BO318" s="31" t="str">
        <f aca="false">IF(COUNT(AY318,BJ318)=0,"",MIN(AY318,BJ318))</f>
        <v/>
      </c>
      <c r="BP318" s="29"/>
      <c r="BQ318" s="29"/>
      <c r="BR318" s="29"/>
      <c r="BS318" s="28" t="str">
        <f aca="false">IF(AND(N(BP318)&gt;0,N(BR318)&gt;0),BR318-BP318,"")</f>
        <v/>
      </c>
      <c r="BT318" s="28" t="str">
        <f aca="false">IF(BS318="","",ROUND(BS318/365.25,2))</f>
        <v/>
      </c>
      <c r="BU318" s="28" t="str">
        <f aca="false">IF(BS318="","",IF(BS318&gt;=730.5,"Yes","No"))</f>
        <v/>
      </c>
      <c r="BV318" s="27"/>
      <c r="BW318" s="29"/>
      <c r="BX318" s="27"/>
      <c r="BY318" s="27"/>
      <c r="BZ318" s="28" t="str">
        <f aca="false">IF(N(E318)=0,"",IF(E318&lt;65,"Under 65","≥65"))</f>
        <v/>
      </c>
      <c r="CA318" s="28" t="str">
        <f aca="false">IF(OR(AC318="Yes",AC318="No"),AC318,"")</f>
        <v/>
      </c>
      <c r="CB318" s="28" t="str">
        <f aca="false">IF(OR(AD318="Yes",AD318="No"),AD318,"")</f>
        <v/>
      </c>
      <c r="CC318" s="28" t="str">
        <f aca="false">IF(F318="","",F318)</f>
        <v/>
      </c>
      <c r="CD318" s="27"/>
      <c r="CE318" s="27"/>
    </row>
    <row r="319" customFormat="false" ht="15" hidden="false" customHeight="false" outlineLevel="0" collapsed="false">
      <c r="A319" s="27"/>
      <c r="B319" s="27"/>
      <c r="C319" s="27"/>
      <c r="D319" s="27"/>
      <c r="E319" s="27"/>
      <c r="F319" s="27"/>
      <c r="G319" s="27"/>
      <c r="H319" s="27"/>
      <c r="I319" s="27"/>
      <c r="J319" s="28" t="str">
        <f aca="false">IF(AND(N(H319)&gt;0,N(I319)&gt;0),ROUND(I319/(H319/100)^2,1),"")</f>
        <v/>
      </c>
      <c r="K319" s="27"/>
      <c r="L319" s="27"/>
      <c r="M319" s="27"/>
      <c r="N319" s="27"/>
      <c r="O319" s="27"/>
      <c r="P319" s="27"/>
      <c r="Q319" s="27"/>
      <c r="R319" s="29"/>
      <c r="S319" s="29"/>
      <c r="T319" s="27"/>
      <c r="U319" s="28" t="str">
        <f aca="false">IF(N(T319)=0,"",IF(T319&lt;12,"Under 12 months",IF(T319&lt;36,"12-35 months",IF(T319&lt;60,"36-59 months","≥60 months"))))</f>
        <v/>
      </c>
      <c r="V319" s="27"/>
      <c r="W319" s="30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9"/>
      <c r="AT319" s="30"/>
      <c r="AU319" s="30"/>
      <c r="AV319" s="30"/>
      <c r="AW319" s="27"/>
      <c r="AX319" s="27"/>
      <c r="AY319" s="29"/>
      <c r="AZ319" s="27"/>
      <c r="BA319" s="27"/>
      <c r="BB319" s="29"/>
      <c r="BC319" s="30"/>
      <c r="BD319" s="30"/>
      <c r="BE319" s="30"/>
      <c r="BF319" s="27"/>
      <c r="BG319" s="27"/>
      <c r="BH319" s="28" t="str">
        <f aca="false">IF(COUNT(BC319:BE319)=0,"",IF(MIN(BC319:BE319)&lt;=-2.5,"Yes","No"))</f>
        <v/>
      </c>
      <c r="BI319" s="27"/>
      <c r="BJ319" s="29"/>
      <c r="BK319" s="27"/>
      <c r="BL319" s="27"/>
      <c r="BM319" s="27"/>
      <c r="BN319" s="28" t="str">
        <f aca="false">IF(OR(AX319="Yes",BI319="Yes"),"Yes",IF(AND(AX319="No",BI319="No"),"No",IF(AND(AX319="",BI319=""),"","Unknown")))</f>
        <v/>
      </c>
      <c r="BO319" s="31" t="str">
        <f aca="false">IF(COUNT(AY319,BJ319)=0,"",MIN(AY319,BJ319))</f>
        <v/>
      </c>
      <c r="BP319" s="29"/>
      <c r="BQ319" s="29"/>
      <c r="BR319" s="29"/>
      <c r="BS319" s="28" t="str">
        <f aca="false">IF(AND(N(BP319)&gt;0,N(BR319)&gt;0),BR319-BP319,"")</f>
        <v/>
      </c>
      <c r="BT319" s="28" t="str">
        <f aca="false">IF(BS319="","",ROUND(BS319/365.25,2))</f>
        <v/>
      </c>
      <c r="BU319" s="28" t="str">
        <f aca="false">IF(BS319="","",IF(BS319&gt;=730.5,"Yes","No"))</f>
        <v/>
      </c>
      <c r="BV319" s="27"/>
      <c r="BW319" s="29"/>
      <c r="BX319" s="27"/>
      <c r="BY319" s="27"/>
      <c r="BZ319" s="28" t="str">
        <f aca="false">IF(N(E319)=0,"",IF(E319&lt;65,"Under 65","≥65"))</f>
        <v/>
      </c>
      <c r="CA319" s="28" t="str">
        <f aca="false">IF(OR(AC319="Yes",AC319="No"),AC319,"")</f>
        <v/>
      </c>
      <c r="CB319" s="28" t="str">
        <f aca="false">IF(OR(AD319="Yes",AD319="No"),AD319,"")</f>
        <v/>
      </c>
      <c r="CC319" s="28" t="str">
        <f aca="false">IF(F319="","",F319)</f>
        <v/>
      </c>
      <c r="CD319" s="27"/>
      <c r="CE319" s="27"/>
    </row>
    <row r="320" customFormat="false" ht="15" hidden="false" customHeight="false" outlineLevel="0" collapsed="false">
      <c r="A320" s="27"/>
      <c r="B320" s="27"/>
      <c r="C320" s="27"/>
      <c r="D320" s="27"/>
      <c r="E320" s="27"/>
      <c r="F320" s="27"/>
      <c r="G320" s="27"/>
      <c r="H320" s="27"/>
      <c r="I320" s="27"/>
      <c r="J320" s="28" t="str">
        <f aca="false">IF(AND(N(H320)&gt;0,N(I320)&gt;0),ROUND(I320/(H320/100)^2,1),"")</f>
        <v/>
      </c>
      <c r="K320" s="27"/>
      <c r="L320" s="27"/>
      <c r="M320" s="27"/>
      <c r="N320" s="27"/>
      <c r="O320" s="27"/>
      <c r="P320" s="27"/>
      <c r="Q320" s="27"/>
      <c r="R320" s="29"/>
      <c r="S320" s="29"/>
      <c r="T320" s="27"/>
      <c r="U320" s="28" t="str">
        <f aca="false">IF(N(T320)=0,"",IF(T320&lt;12,"Under 12 months",IF(T320&lt;36,"12-35 months",IF(T320&lt;60,"36-59 months","≥60 months"))))</f>
        <v/>
      </c>
      <c r="V320" s="27"/>
      <c r="W320" s="30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9"/>
      <c r="AT320" s="30"/>
      <c r="AU320" s="30"/>
      <c r="AV320" s="30"/>
      <c r="AW320" s="27"/>
      <c r="AX320" s="27"/>
      <c r="AY320" s="29"/>
      <c r="AZ320" s="27"/>
      <c r="BA320" s="27"/>
      <c r="BB320" s="29"/>
      <c r="BC320" s="30"/>
      <c r="BD320" s="30"/>
      <c r="BE320" s="30"/>
      <c r="BF320" s="27"/>
      <c r="BG320" s="27"/>
      <c r="BH320" s="28" t="str">
        <f aca="false">IF(COUNT(BC320:BE320)=0,"",IF(MIN(BC320:BE320)&lt;=-2.5,"Yes","No"))</f>
        <v/>
      </c>
      <c r="BI320" s="27"/>
      <c r="BJ320" s="29"/>
      <c r="BK320" s="27"/>
      <c r="BL320" s="27"/>
      <c r="BM320" s="27"/>
      <c r="BN320" s="28" t="str">
        <f aca="false">IF(OR(AX320="Yes",BI320="Yes"),"Yes",IF(AND(AX320="No",BI320="No"),"No",IF(AND(AX320="",BI320=""),"","Unknown")))</f>
        <v/>
      </c>
      <c r="BO320" s="31" t="str">
        <f aca="false">IF(COUNT(AY320,BJ320)=0,"",MIN(AY320,BJ320))</f>
        <v/>
      </c>
      <c r="BP320" s="29"/>
      <c r="BQ320" s="29"/>
      <c r="BR320" s="29"/>
      <c r="BS320" s="28" t="str">
        <f aca="false">IF(AND(N(BP320)&gt;0,N(BR320)&gt;0),BR320-BP320,"")</f>
        <v/>
      </c>
      <c r="BT320" s="28" t="str">
        <f aca="false">IF(BS320="","",ROUND(BS320/365.25,2))</f>
        <v/>
      </c>
      <c r="BU320" s="28" t="str">
        <f aca="false">IF(BS320="","",IF(BS320&gt;=730.5,"Yes","No"))</f>
        <v/>
      </c>
      <c r="BV320" s="27"/>
      <c r="BW320" s="29"/>
      <c r="BX320" s="27"/>
      <c r="BY320" s="27"/>
      <c r="BZ320" s="28" t="str">
        <f aca="false">IF(N(E320)=0,"",IF(E320&lt;65,"Under 65","≥65"))</f>
        <v/>
      </c>
      <c r="CA320" s="28" t="str">
        <f aca="false">IF(OR(AC320="Yes",AC320="No"),AC320,"")</f>
        <v/>
      </c>
      <c r="CB320" s="28" t="str">
        <f aca="false">IF(OR(AD320="Yes",AD320="No"),AD320,"")</f>
        <v/>
      </c>
      <c r="CC320" s="28" t="str">
        <f aca="false">IF(F320="","",F320)</f>
        <v/>
      </c>
      <c r="CD320" s="27"/>
      <c r="CE320" s="27"/>
    </row>
    <row r="321" customFormat="false" ht="15" hidden="false" customHeight="false" outlineLevel="0" collapsed="false">
      <c r="A321" s="27"/>
      <c r="B321" s="27"/>
      <c r="C321" s="27"/>
      <c r="D321" s="27"/>
      <c r="E321" s="27"/>
      <c r="F321" s="27"/>
      <c r="G321" s="27"/>
      <c r="H321" s="27"/>
      <c r="I321" s="27"/>
      <c r="J321" s="28" t="str">
        <f aca="false">IF(AND(N(H321)&gt;0,N(I321)&gt;0),ROUND(I321/(H321/100)^2,1),"")</f>
        <v/>
      </c>
      <c r="K321" s="27"/>
      <c r="L321" s="27"/>
      <c r="M321" s="27"/>
      <c r="N321" s="27"/>
      <c r="O321" s="27"/>
      <c r="P321" s="27"/>
      <c r="Q321" s="27"/>
      <c r="R321" s="29"/>
      <c r="S321" s="29"/>
      <c r="T321" s="27"/>
      <c r="U321" s="28" t="str">
        <f aca="false">IF(N(T321)=0,"",IF(T321&lt;12,"Under 12 months",IF(T321&lt;36,"12-35 months",IF(T321&lt;60,"36-59 months","≥60 months"))))</f>
        <v/>
      </c>
      <c r="V321" s="27"/>
      <c r="W321" s="30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9"/>
      <c r="AT321" s="30"/>
      <c r="AU321" s="30"/>
      <c r="AV321" s="30"/>
      <c r="AW321" s="27"/>
      <c r="AX321" s="27"/>
      <c r="AY321" s="29"/>
      <c r="AZ321" s="27"/>
      <c r="BA321" s="27"/>
      <c r="BB321" s="29"/>
      <c r="BC321" s="30"/>
      <c r="BD321" s="30"/>
      <c r="BE321" s="30"/>
      <c r="BF321" s="27"/>
      <c r="BG321" s="27"/>
      <c r="BH321" s="28" t="str">
        <f aca="false">IF(COUNT(BC321:BE321)=0,"",IF(MIN(BC321:BE321)&lt;=-2.5,"Yes","No"))</f>
        <v/>
      </c>
      <c r="BI321" s="27"/>
      <c r="BJ321" s="29"/>
      <c r="BK321" s="27"/>
      <c r="BL321" s="27"/>
      <c r="BM321" s="27"/>
      <c r="BN321" s="28" t="str">
        <f aca="false">IF(OR(AX321="Yes",BI321="Yes"),"Yes",IF(AND(AX321="No",BI321="No"),"No",IF(AND(AX321="",BI321=""),"","Unknown")))</f>
        <v/>
      </c>
      <c r="BO321" s="31" t="str">
        <f aca="false">IF(COUNT(AY321,BJ321)=0,"",MIN(AY321,BJ321))</f>
        <v/>
      </c>
      <c r="BP321" s="29"/>
      <c r="BQ321" s="29"/>
      <c r="BR321" s="29"/>
      <c r="BS321" s="28" t="str">
        <f aca="false">IF(AND(N(BP321)&gt;0,N(BR321)&gt;0),BR321-BP321,"")</f>
        <v/>
      </c>
      <c r="BT321" s="28" t="str">
        <f aca="false">IF(BS321="","",ROUND(BS321/365.25,2))</f>
        <v/>
      </c>
      <c r="BU321" s="28" t="str">
        <f aca="false">IF(BS321="","",IF(BS321&gt;=730.5,"Yes","No"))</f>
        <v/>
      </c>
      <c r="BV321" s="27"/>
      <c r="BW321" s="29"/>
      <c r="BX321" s="27"/>
      <c r="BY321" s="27"/>
      <c r="BZ321" s="28" t="str">
        <f aca="false">IF(N(E321)=0,"",IF(E321&lt;65,"Under 65","≥65"))</f>
        <v/>
      </c>
      <c r="CA321" s="28" t="str">
        <f aca="false">IF(OR(AC321="Yes",AC321="No"),AC321,"")</f>
        <v/>
      </c>
      <c r="CB321" s="28" t="str">
        <f aca="false">IF(OR(AD321="Yes",AD321="No"),AD321,"")</f>
        <v/>
      </c>
      <c r="CC321" s="28" t="str">
        <f aca="false">IF(F321="","",F321)</f>
        <v/>
      </c>
      <c r="CD321" s="27"/>
      <c r="CE321" s="27"/>
    </row>
    <row r="322" customFormat="false" ht="15" hidden="false" customHeight="false" outlineLevel="0" collapsed="false">
      <c r="A322" s="27"/>
      <c r="B322" s="27"/>
      <c r="C322" s="27"/>
      <c r="D322" s="27"/>
      <c r="E322" s="27"/>
      <c r="F322" s="27"/>
      <c r="G322" s="27"/>
      <c r="H322" s="27"/>
      <c r="I322" s="27"/>
      <c r="J322" s="28" t="str">
        <f aca="false">IF(AND(N(H322)&gt;0,N(I322)&gt;0),ROUND(I322/(H322/100)^2,1),"")</f>
        <v/>
      </c>
      <c r="K322" s="27"/>
      <c r="L322" s="27"/>
      <c r="M322" s="27"/>
      <c r="N322" s="27"/>
      <c r="O322" s="27"/>
      <c r="P322" s="27"/>
      <c r="Q322" s="27"/>
      <c r="R322" s="29"/>
      <c r="S322" s="29"/>
      <c r="T322" s="27"/>
      <c r="U322" s="28" t="str">
        <f aca="false">IF(N(T322)=0,"",IF(T322&lt;12,"Under 12 months",IF(T322&lt;36,"12-35 months",IF(T322&lt;60,"36-59 months","≥60 months"))))</f>
        <v/>
      </c>
      <c r="V322" s="27"/>
      <c r="W322" s="30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9"/>
      <c r="AT322" s="30"/>
      <c r="AU322" s="30"/>
      <c r="AV322" s="30"/>
      <c r="AW322" s="27"/>
      <c r="AX322" s="27"/>
      <c r="AY322" s="29"/>
      <c r="AZ322" s="27"/>
      <c r="BA322" s="27"/>
      <c r="BB322" s="29"/>
      <c r="BC322" s="30"/>
      <c r="BD322" s="30"/>
      <c r="BE322" s="30"/>
      <c r="BF322" s="27"/>
      <c r="BG322" s="27"/>
      <c r="BH322" s="28" t="str">
        <f aca="false">IF(COUNT(BC322:BE322)=0,"",IF(MIN(BC322:BE322)&lt;=-2.5,"Yes","No"))</f>
        <v/>
      </c>
      <c r="BI322" s="27"/>
      <c r="BJ322" s="29"/>
      <c r="BK322" s="27"/>
      <c r="BL322" s="27"/>
      <c r="BM322" s="27"/>
      <c r="BN322" s="28" t="str">
        <f aca="false">IF(OR(AX322="Yes",BI322="Yes"),"Yes",IF(AND(AX322="No",BI322="No"),"No",IF(AND(AX322="",BI322=""),"","Unknown")))</f>
        <v/>
      </c>
      <c r="BO322" s="31" t="str">
        <f aca="false">IF(COUNT(AY322,BJ322)=0,"",MIN(AY322,BJ322))</f>
        <v/>
      </c>
      <c r="BP322" s="29"/>
      <c r="BQ322" s="29"/>
      <c r="BR322" s="29"/>
      <c r="BS322" s="28" t="str">
        <f aca="false">IF(AND(N(BP322)&gt;0,N(BR322)&gt;0),BR322-BP322,"")</f>
        <v/>
      </c>
      <c r="BT322" s="28" t="str">
        <f aca="false">IF(BS322="","",ROUND(BS322/365.25,2))</f>
        <v/>
      </c>
      <c r="BU322" s="28" t="str">
        <f aca="false">IF(BS322="","",IF(BS322&gt;=730.5,"Yes","No"))</f>
        <v/>
      </c>
      <c r="BV322" s="27"/>
      <c r="BW322" s="29"/>
      <c r="BX322" s="27"/>
      <c r="BY322" s="27"/>
      <c r="BZ322" s="28" t="str">
        <f aca="false">IF(N(E322)=0,"",IF(E322&lt;65,"Under 65","≥65"))</f>
        <v/>
      </c>
      <c r="CA322" s="28" t="str">
        <f aca="false">IF(OR(AC322="Yes",AC322="No"),AC322,"")</f>
        <v/>
      </c>
      <c r="CB322" s="28" t="str">
        <f aca="false">IF(OR(AD322="Yes",AD322="No"),AD322,"")</f>
        <v/>
      </c>
      <c r="CC322" s="28" t="str">
        <f aca="false">IF(F322="","",F322)</f>
        <v/>
      </c>
      <c r="CD322" s="27"/>
      <c r="CE322" s="27"/>
    </row>
    <row r="323" customFormat="false" ht="15" hidden="false" customHeight="false" outlineLevel="0" collapsed="false">
      <c r="A323" s="27"/>
      <c r="B323" s="27"/>
      <c r="C323" s="27"/>
      <c r="D323" s="27"/>
      <c r="E323" s="27"/>
      <c r="F323" s="27"/>
      <c r="G323" s="27"/>
      <c r="H323" s="27"/>
      <c r="I323" s="27"/>
      <c r="J323" s="28" t="str">
        <f aca="false">IF(AND(N(H323)&gt;0,N(I323)&gt;0),ROUND(I323/(H323/100)^2,1),"")</f>
        <v/>
      </c>
      <c r="K323" s="27"/>
      <c r="L323" s="27"/>
      <c r="M323" s="27"/>
      <c r="N323" s="27"/>
      <c r="O323" s="27"/>
      <c r="P323" s="27"/>
      <c r="Q323" s="27"/>
      <c r="R323" s="29"/>
      <c r="S323" s="29"/>
      <c r="T323" s="27"/>
      <c r="U323" s="28" t="str">
        <f aca="false">IF(N(T323)=0,"",IF(T323&lt;12,"Under 12 months",IF(T323&lt;36,"12-35 months",IF(T323&lt;60,"36-59 months","≥60 months"))))</f>
        <v/>
      </c>
      <c r="V323" s="27"/>
      <c r="W323" s="30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9"/>
      <c r="AT323" s="30"/>
      <c r="AU323" s="30"/>
      <c r="AV323" s="30"/>
      <c r="AW323" s="27"/>
      <c r="AX323" s="27"/>
      <c r="AY323" s="29"/>
      <c r="AZ323" s="27"/>
      <c r="BA323" s="27"/>
      <c r="BB323" s="29"/>
      <c r="BC323" s="30"/>
      <c r="BD323" s="30"/>
      <c r="BE323" s="30"/>
      <c r="BF323" s="27"/>
      <c r="BG323" s="27"/>
      <c r="BH323" s="28" t="str">
        <f aca="false">IF(COUNT(BC323:BE323)=0,"",IF(MIN(BC323:BE323)&lt;=-2.5,"Yes","No"))</f>
        <v/>
      </c>
      <c r="BI323" s="27"/>
      <c r="BJ323" s="29"/>
      <c r="BK323" s="27"/>
      <c r="BL323" s="27"/>
      <c r="BM323" s="27"/>
      <c r="BN323" s="28" t="str">
        <f aca="false">IF(OR(AX323="Yes",BI323="Yes"),"Yes",IF(AND(AX323="No",BI323="No"),"No",IF(AND(AX323="",BI323=""),"","Unknown")))</f>
        <v/>
      </c>
      <c r="BO323" s="31" t="str">
        <f aca="false">IF(COUNT(AY323,BJ323)=0,"",MIN(AY323,BJ323))</f>
        <v/>
      </c>
      <c r="BP323" s="29"/>
      <c r="BQ323" s="29"/>
      <c r="BR323" s="29"/>
      <c r="BS323" s="28" t="str">
        <f aca="false">IF(AND(N(BP323)&gt;0,N(BR323)&gt;0),BR323-BP323,"")</f>
        <v/>
      </c>
      <c r="BT323" s="28" t="str">
        <f aca="false">IF(BS323="","",ROUND(BS323/365.25,2))</f>
        <v/>
      </c>
      <c r="BU323" s="28" t="str">
        <f aca="false">IF(BS323="","",IF(BS323&gt;=730.5,"Yes","No"))</f>
        <v/>
      </c>
      <c r="BV323" s="27"/>
      <c r="BW323" s="29"/>
      <c r="BX323" s="27"/>
      <c r="BY323" s="27"/>
      <c r="BZ323" s="28" t="str">
        <f aca="false">IF(N(E323)=0,"",IF(E323&lt;65,"Under 65","≥65"))</f>
        <v/>
      </c>
      <c r="CA323" s="28" t="str">
        <f aca="false">IF(OR(AC323="Yes",AC323="No"),AC323,"")</f>
        <v/>
      </c>
      <c r="CB323" s="28" t="str">
        <f aca="false">IF(OR(AD323="Yes",AD323="No"),AD323,"")</f>
        <v/>
      </c>
      <c r="CC323" s="28" t="str">
        <f aca="false">IF(F323="","",F323)</f>
        <v/>
      </c>
      <c r="CD323" s="27"/>
      <c r="CE323" s="27"/>
    </row>
    <row r="324" customFormat="false" ht="15" hidden="false" customHeight="false" outlineLevel="0" collapsed="false">
      <c r="A324" s="27"/>
      <c r="B324" s="27"/>
      <c r="C324" s="27"/>
      <c r="D324" s="27"/>
      <c r="E324" s="27"/>
      <c r="F324" s="27"/>
      <c r="G324" s="27"/>
      <c r="H324" s="27"/>
      <c r="I324" s="27"/>
      <c r="J324" s="28" t="str">
        <f aca="false">IF(AND(N(H324)&gt;0,N(I324)&gt;0),ROUND(I324/(H324/100)^2,1),"")</f>
        <v/>
      </c>
      <c r="K324" s="27"/>
      <c r="L324" s="27"/>
      <c r="M324" s="27"/>
      <c r="N324" s="27"/>
      <c r="O324" s="27"/>
      <c r="P324" s="27"/>
      <c r="Q324" s="27"/>
      <c r="R324" s="29"/>
      <c r="S324" s="29"/>
      <c r="T324" s="27"/>
      <c r="U324" s="28" t="str">
        <f aca="false">IF(N(T324)=0,"",IF(T324&lt;12,"Under 12 months",IF(T324&lt;36,"12-35 months",IF(T324&lt;60,"36-59 months","≥60 months"))))</f>
        <v/>
      </c>
      <c r="V324" s="27"/>
      <c r="W324" s="30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9"/>
      <c r="AT324" s="30"/>
      <c r="AU324" s="30"/>
      <c r="AV324" s="30"/>
      <c r="AW324" s="27"/>
      <c r="AX324" s="27"/>
      <c r="AY324" s="29"/>
      <c r="AZ324" s="27"/>
      <c r="BA324" s="27"/>
      <c r="BB324" s="29"/>
      <c r="BC324" s="30"/>
      <c r="BD324" s="30"/>
      <c r="BE324" s="30"/>
      <c r="BF324" s="27"/>
      <c r="BG324" s="27"/>
      <c r="BH324" s="28" t="str">
        <f aca="false">IF(COUNT(BC324:BE324)=0,"",IF(MIN(BC324:BE324)&lt;=-2.5,"Yes","No"))</f>
        <v/>
      </c>
      <c r="BI324" s="27"/>
      <c r="BJ324" s="29"/>
      <c r="BK324" s="27"/>
      <c r="BL324" s="27"/>
      <c r="BM324" s="27"/>
      <c r="BN324" s="28" t="str">
        <f aca="false">IF(OR(AX324="Yes",BI324="Yes"),"Yes",IF(AND(AX324="No",BI324="No"),"No",IF(AND(AX324="",BI324=""),"","Unknown")))</f>
        <v/>
      </c>
      <c r="BO324" s="31" t="str">
        <f aca="false">IF(COUNT(AY324,BJ324)=0,"",MIN(AY324,BJ324))</f>
        <v/>
      </c>
      <c r="BP324" s="29"/>
      <c r="BQ324" s="29"/>
      <c r="BR324" s="29"/>
      <c r="BS324" s="28" t="str">
        <f aca="false">IF(AND(N(BP324)&gt;0,N(BR324)&gt;0),BR324-BP324,"")</f>
        <v/>
      </c>
      <c r="BT324" s="28" t="str">
        <f aca="false">IF(BS324="","",ROUND(BS324/365.25,2))</f>
        <v/>
      </c>
      <c r="BU324" s="28" t="str">
        <f aca="false">IF(BS324="","",IF(BS324&gt;=730.5,"Yes","No"))</f>
        <v/>
      </c>
      <c r="BV324" s="27"/>
      <c r="BW324" s="29"/>
      <c r="BX324" s="27"/>
      <c r="BY324" s="27"/>
      <c r="BZ324" s="28" t="str">
        <f aca="false">IF(N(E324)=0,"",IF(E324&lt;65,"Under 65","≥65"))</f>
        <v/>
      </c>
      <c r="CA324" s="28" t="str">
        <f aca="false">IF(OR(AC324="Yes",AC324="No"),AC324,"")</f>
        <v/>
      </c>
      <c r="CB324" s="28" t="str">
        <f aca="false">IF(OR(AD324="Yes",AD324="No"),AD324,"")</f>
        <v/>
      </c>
      <c r="CC324" s="28" t="str">
        <f aca="false">IF(F324="","",F324)</f>
        <v/>
      </c>
      <c r="CD324" s="27"/>
      <c r="CE324" s="27"/>
    </row>
    <row r="325" customFormat="false" ht="15" hidden="false" customHeight="false" outlineLevel="0" collapsed="false">
      <c r="A325" s="27"/>
      <c r="B325" s="27"/>
      <c r="C325" s="27"/>
      <c r="D325" s="27"/>
      <c r="E325" s="27"/>
      <c r="F325" s="27"/>
      <c r="G325" s="27"/>
      <c r="H325" s="27"/>
      <c r="I325" s="27"/>
      <c r="J325" s="28" t="str">
        <f aca="false">IF(AND(N(H325)&gt;0,N(I325)&gt;0),ROUND(I325/(H325/100)^2,1),"")</f>
        <v/>
      </c>
      <c r="K325" s="27"/>
      <c r="L325" s="27"/>
      <c r="M325" s="27"/>
      <c r="N325" s="27"/>
      <c r="O325" s="27"/>
      <c r="P325" s="27"/>
      <c r="Q325" s="27"/>
      <c r="R325" s="29"/>
      <c r="S325" s="29"/>
      <c r="T325" s="27"/>
      <c r="U325" s="28" t="str">
        <f aca="false">IF(N(T325)=0,"",IF(T325&lt;12,"Under 12 months",IF(T325&lt;36,"12-35 months",IF(T325&lt;60,"36-59 months","≥60 months"))))</f>
        <v/>
      </c>
      <c r="V325" s="27"/>
      <c r="W325" s="30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9"/>
      <c r="AT325" s="30"/>
      <c r="AU325" s="30"/>
      <c r="AV325" s="30"/>
      <c r="AW325" s="27"/>
      <c r="AX325" s="27"/>
      <c r="AY325" s="29"/>
      <c r="AZ325" s="27"/>
      <c r="BA325" s="27"/>
      <c r="BB325" s="29"/>
      <c r="BC325" s="30"/>
      <c r="BD325" s="30"/>
      <c r="BE325" s="30"/>
      <c r="BF325" s="27"/>
      <c r="BG325" s="27"/>
      <c r="BH325" s="28" t="str">
        <f aca="false">IF(COUNT(BC325:BE325)=0,"",IF(MIN(BC325:BE325)&lt;=-2.5,"Yes","No"))</f>
        <v/>
      </c>
      <c r="BI325" s="27"/>
      <c r="BJ325" s="29"/>
      <c r="BK325" s="27"/>
      <c r="BL325" s="27"/>
      <c r="BM325" s="27"/>
      <c r="BN325" s="28" t="str">
        <f aca="false">IF(OR(AX325="Yes",BI325="Yes"),"Yes",IF(AND(AX325="No",BI325="No"),"No",IF(AND(AX325="",BI325=""),"","Unknown")))</f>
        <v/>
      </c>
      <c r="BO325" s="31" t="str">
        <f aca="false">IF(COUNT(AY325,BJ325)=0,"",MIN(AY325,BJ325))</f>
        <v/>
      </c>
      <c r="BP325" s="29"/>
      <c r="BQ325" s="29"/>
      <c r="BR325" s="29"/>
      <c r="BS325" s="28" t="str">
        <f aca="false">IF(AND(N(BP325)&gt;0,N(BR325)&gt;0),BR325-BP325,"")</f>
        <v/>
      </c>
      <c r="BT325" s="28" t="str">
        <f aca="false">IF(BS325="","",ROUND(BS325/365.25,2))</f>
        <v/>
      </c>
      <c r="BU325" s="28" t="str">
        <f aca="false">IF(BS325="","",IF(BS325&gt;=730.5,"Yes","No"))</f>
        <v/>
      </c>
      <c r="BV325" s="27"/>
      <c r="BW325" s="29"/>
      <c r="BX325" s="27"/>
      <c r="BY325" s="27"/>
      <c r="BZ325" s="28" t="str">
        <f aca="false">IF(N(E325)=0,"",IF(E325&lt;65,"Under 65","≥65"))</f>
        <v/>
      </c>
      <c r="CA325" s="28" t="str">
        <f aca="false">IF(OR(AC325="Yes",AC325="No"),AC325,"")</f>
        <v/>
      </c>
      <c r="CB325" s="28" t="str">
        <f aca="false">IF(OR(AD325="Yes",AD325="No"),AD325,"")</f>
        <v/>
      </c>
      <c r="CC325" s="28" t="str">
        <f aca="false">IF(F325="","",F325)</f>
        <v/>
      </c>
      <c r="CD325" s="27"/>
      <c r="CE325" s="27"/>
    </row>
    <row r="326" customFormat="false" ht="15" hidden="false" customHeight="false" outlineLevel="0" collapsed="false">
      <c r="A326" s="27"/>
      <c r="B326" s="27"/>
      <c r="C326" s="27"/>
      <c r="D326" s="27"/>
      <c r="E326" s="27"/>
      <c r="F326" s="27"/>
      <c r="G326" s="27"/>
      <c r="H326" s="27"/>
      <c r="I326" s="27"/>
      <c r="J326" s="28" t="str">
        <f aca="false">IF(AND(N(H326)&gt;0,N(I326)&gt;0),ROUND(I326/(H326/100)^2,1),"")</f>
        <v/>
      </c>
      <c r="K326" s="27"/>
      <c r="L326" s="27"/>
      <c r="M326" s="27"/>
      <c r="N326" s="27"/>
      <c r="O326" s="27"/>
      <c r="P326" s="27"/>
      <c r="Q326" s="27"/>
      <c r="R326" s="29"/>
      <c r="S326" s="29"/>
      <c r="T326" s="27"/>
      <c r="U326" s="28" t="str">
        <f aca="false">IF(N(T326)=0,"",IF(T326&lt;12,"Under 12 months",IF(T326&lt;36,"12-35 months",IF(T326&lt;60,"36-59 months","≥60 months"))))</f>
        <v/>
      </c>
      <c r="V326" s="27"/>
      <c r="W326" s="30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9"/>
      <c r="AT326" s="30"/>
      <c r="AU326" s="30"/>
      <c r="AV326" s="30"/>
      <c r="AW326" s="27"/>
      <c r="AX326" s="27"/>
      <c r="AY326" s="29"/>
      <c r="AZ326" s="27"/>
      <c r="BA326" s="27"/>
      <c r="BB326" s="29"/>
      <c r="BC326" s="30"/>
      <c r="BD326" s="30"/>
      <c r="BE326" s="30"/>
      <c r="BF326" s="27"/>
      <c r="BG326" s="27"/>
      <c r="BH326" s="28" t="str">
        <f aca="false">IF(COUNT(BC326:BE326)=0,"",IF(MIN(BC326:BE326)&lt;=-2.5,"Yes","No"))</f>
        <v/>
      </c>
      <c r="BI326" s="27"/>
      <c r="BJ326" s="29"/>
      <c r="BK326" s="27"/>
      <c r="BL326" s="27"/>
      <c r="BM326" s="27"/>
      <c r="BN326" s="28" t="str">
        <f aca="false">IF(OR(AX326="Yes",BI326="Yes"),"Yes",IF(AND(AX326="No",BI326="No"),"No",IF(AND(AX326="",BI326=""),"","Unknown")))</f>
        <v/>
      </c>
      <c r="BO326" s="31" t="str">
        <f aca="false">IF(COUNT(AY326,BJ326)=0,"",MIN(AY326,BJ326))</f>
        <v/>
      </c>
      <c r="BP326" s="29"/>
      <c r="BQ326" s="29"/>
      <c r="BR326" s="29"/>
      <c r="BS326" s="28" t="str">
        <f aca="false">IF(AND(N(BP326)&gt;0,N(BR326)&gt;0),BR326-BP326,"")</f>
        <v/>
      </c>
      <c r="BT326" s="28" t="str">
        <f aca="false">IF(BS326="","",ROUND(BS326/365.25,2))</f>
        <v/>
      </c>
      <c r="BU326" s="28" t="str">
        <f aca="false">IF(BS326="","",IF(BS326&gt;=730.5,"Yes","No"))</f>
        <v/>
      </c>
      <c r="BV326" s="27"/>
      <c r="BW326" s="29"/>
      <c r="BX326" s="27"/>
      <c r="BY326" s="27"/>
      <c r="BZ326" s="28" t="str">
        <f aca="false">IF(N(E326)=0,"",IF(E326&lt;65,"Under 65","≥65"))</f>
        <v/>
      </c>
      <c r="CA326" s="28" t="str">
        <f aca="false">IF(OR(AC326="Yes",AC326="No"),AC326,"")</f>
        <v/>
      </c>
      <c r="CB326" s="28" t="str">
        <f aca="false">IF(OR(AD326="Yes",AD326="No"),AD326,"")</f>
        <v/>
      </c>
      <c r="CC326" s="28" t="str">
        <f aca="false">IF(F326="","",F326)</f>
        <v/>
      </c>
      <c r="CD326" s="27"/>
      <c r="CE326" s="27"/>
    </row>
    <row r="327" customFormat="false" ht="15" hidden="false" customHeight="false" outlineLevel="0" collapsed="false">
      <c r="A327" s="27"/>
      <c r="B327" s="27"/>
      <c r="C327" s="27"/>
      <c r="D327" s="27"/>
      <c r="E327" s="27"/>
      <c r="F327" s="27"/>
      <c r="G327" s="27"/>
      <c r="H327" s="27"/>
      <c r="I327" s="27"/>
      <c r="J327" s="28" t="str">
        <f aca="false">IF(AND(N(H327)&gt;0,N(I327)&gt;0),ROUND(I327/(H327/100)^2,1),"")</f>
        <v/>
      </c>
      <c r="K327" s="27"/>
      <c r="L327" s="27"/>
      <c r="M327" s="27"/>
      <c r="N327" s="27"/>
      <c r="O327" s="27"/>
      <c r="P327" s="27"/>
      <c r="Q327" s="27"/>
      <c r="R327" s="29"/>
      <c r="S327" s="29"/>
      <c r="T327" s="27"/>
      <c r="U327" s="28" t="str">
        <f aca="false">IF(N(T327)=0,"",IF(T327&lt;12,"Under 12 months",IF(T327&lt;36,"12-35 months",IF(T327&lt;60,"36-59 months","≥60 months"))))</f>
        <v/>
      </c>
      <c r="V327" s="27"/>
      <c r="W327" s="30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9"/>
      <c r="AT327" s="30"/>
      <c r="AU327" s="30"/>
      <c r="AV327" s="30"/>
      <c r="AW327" s="27"/>
      <c r="AX327" s="27"/>
      <c r="AY327" s="29"/>
      <c r="AZ327" s="27"/>
      <c r="BA327" s="27"/>
      <c r="BB327" s="29"/>
      <c r="BC327" s="30"/>
      <c r="BD327" s="30"/>
      <c r="BE327" s="30"/>
      <c r="BF327" s="27"/>
      <c r="BG327" s="27"/>
      <c r="BH327" s="28" t="str">
        <f aca="false">IF(COUNT(BC327:BE327)=0,"",IF(MIN(BC327:BE327)&lt;=-2.5,"Yes","No"))</f>
        <v/>
      </c>
      <c r="BI327" s="27"/>
      <c r="BJ327" s="29"/>
      <c r="BK327" s="27"/>
      <c r="BL327" s="27"/>
      <c r="BM327" s="27"/>
      <c r="BN327" s="28" t="str">
        <f aca="false">IF(OR(AX327="Yes",BI327="Yes"),"Yes",IF(AND(AX327="No",BI327="No"),"No",IF(AND(AX327="",BI327=""),"","Unknown")))</f>
        <v/>
      </c>
      <c r="BO327" s="31" t="str">
        <f aca="false">IF(COUNT(AY327,BJ327)=0,"",MIN(AY327,BJ327))</f>
        <v/>
      </c>
      <c r="BP327" s="29"/>
      <c r="BQ327" s="29"/>
      <c r="BR327" s="29"/>
      <c r="BS327" s="28" t="str">
        <f aca="false">IF(AND(N(BP327)&gt;0,N(BR327)&gt;0),BR327-BP327,"")</f>
        <v/>
      </c>
      <c r="BT327" s="28" t="str">
        <f aca="false">IF(BS327="","",ROUND(BS327/365.25,2))</f>
        <v/>
      </c>
      <c r="BU327" s="28" t="str">
        <f aca="false">IF(BS327="","",IF(BS327&gt;=730.5,"Yes","No"))</f>
        <v/>
      </c>
      <c r="BV327" s="27"/>
      <c r="BW327" s="29"/>
      <c r="BX327" s="27"/>
      <c r="BY327" s="27"/>
      <c r="BZ327" s="28" t="str">
        <f aca="false">IF(N(E327)=0,"",IF(E327&lt;65,"Under 65","≥65"))</f>
        <v/>
      </c>
      <c r="CA327" s="28" t="str">
        <f aca="false">IF(OR(AC327="Yes",AC327="No"),AC327,"")</f>
        <v/>
      </c>
      <c r="CB327" s="28" t="str">
        <f aca="false">IF(OR(AD327="Yes",AD327="No"),AD327,"")</f>
        <v/>
      </c>
      <c r="CC327" s="28" t="str">
        <f aca="false">IF(F327="","",F327)</f>
        <v/>
      </c>
      <c r="CD327" s="27"/>
      <c r="CE327" s="27"/>
    </row>
    <row r="328" customFormat="false" ht="15" hidden="false" customHeight="false" outlineLevel="0" collapsed="false">
      <c r="A328" s="27"/>
      <c r="B328" s="27"/>
      <c r="C328" s="27"/>
      <c r="D328" s="27"/>
      <c r="E328" s="27"/>
      <c r="F328" s="27"/>
      <c r="G328" s="27"/>
      <c r="H328" s="27"/>
      <c r="I328" s="27"/>
      <c r="J328" s="28" t="str">
        <f aca="false">IF(AND(N(H328)&gt;0,N(I328)&gt;0),ROUND(I328/(H328/100)^2,1),"")</f>
        <v/>
      </c>
      <c r="K328" s="27"/>
      <c r="L328" s="27"/>
      <c r="M328" s="27"/>
      <c r="N328" s="27"/>
      <c r="O328" s="27"/>
      <c r="P328" s="27"/>
      <c r="Q328" s="27"/>
      <c r="R328" s="29"/>
      <c r="S328" s="29"/>
      <c r="T328" s="27"/>
      <c r="U328" s="28" t="str">
        <f aca="false">IF(N(T328)=0,"",IF(T328&lt;12,"Under 12 months",IF(T328&lt;36,"12-35 months",IF(T328&lt;60,"36-59 months","≥60 months"))))</f>
        <v/>
      </c>
      <c r="V328" s="27"/>
      <c r="W328" s="30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9"/>
      <c r="AT328" s="30"/>
      <c r="AU328" s="30"/>
      <c r="AV328" s="30"/>
      <c r="AW328" s="27"/>
      <c r="AX328" s="27"/>
      <c r="AY328" s="29"/>
      <c r="AZ328" s="27"/>
      <c r="BA328" s="27"/>
      <c r="BB328" s="29"/>
      <c r="BC328" s="30"/>
      <c r="BD328" s="30"/>
      <c r="BE328" s="30"/>
      <c r="BF328" s="27"/>
      <c r="BG328" s="27"/>
      <c r="BH328" s="28" t="str">
        <f aca="false">IF(COUNT(BC328:BE328)=0,"",IF(MIN(BC328:BE328)&lt;=-2.5,"Yes","No"))</f>
        <v/>
      </c>
      <c r="BI328" s="27"/>
      <c r="BJ328" s="29"/>
      <c r="BK328" s="27"/>
      <c r="BL328" s="27"/>
      <c r="BM328" s="27"/>
      <c r="BN328" s="28" t="str">
        <f aca="false">IF(OR(AX328="Yes",BI328="Yes"),"Yes",IF(AND(AX328="No",BI328="No"),"No",IF(AND(AX328="",BI328=""),"","Unknown")))</f>
        <v/>
      </c>
      <c r="BO328" s="31" t="str">
        <f aca="false">IF(COUNT(AY328,BJ328)=0,"",MIN(AY328,BJ328))</f>
        <v/>
      </c>
      <c r="BP328" s="29"/>
      <c r="BQ328" s="29"/>
      <c r="BR328" s="29"/>
      <c r="BS328" s="28" t="str">
        <f aca="false">IF(AND(N(BP328)&gt;0,N(BR328)&gt;0),BR328-BP328,"")</f>
        <v/>
      </c>
      <c r="BT328" s="28" t="str">
        <f aca="false">IF(BS328="","",ROUND(BS328/365.25,2))</f>
        <v/>
      </c>
      <c r="BU328" s="28" t="str">
        <f aca="false">IF(BS328="","",IF(BS328&gt;=730.5,"Yes","No"))</f>
        <v/>
      </c>
      <c r="BV328" s="27"/>
      <c r="BW328" s="29"/>
      <c r="BX328" s="27"/>
      <c r="BY328" s="27"/>
      <c r="BZ328" s="28" t="str">
        <f aca="false">IF(N(E328)=0,"",IF(E328&lt;65,"Under 65","≥65"))</f>
        <v/>
      </c>
      <c r="CA328" s="28" t="str">
        <f aca="false">IF(OR(AC328="Yes",AC328="No"),AC328,"")</f>
        <v/>
      </c>
      <c r="CB328" s="28" t="str">
        <f aca="false">IF(OR(AD328="Yes",AD328="No"),AD328,"")</f>
        <v/>
      </c>
      <c r="CC328" s="28" t="str">
        <f aca="false">IF(F328="","",F328)</f>
        <v/>
      </c>
      <c r="CD328" s="27"/>
      <c r="CE328" s="27"/>
    </row>
    <row r="329" customFormat="false" ht="15" hidden="false" customHeight="false" outlineLevel="0" collapsed="false">
      <c r="A329" s="27"/>
      <c r="B329" s="27"/>
      <c r="C329" s="27"/>
      <c r="D329" s="27"/>
      <c r="E329" s="27"/>
      <c r="F329" s="27"/>
      <c r="G329" s="27"/>
      <c r="H329" s="27"/>
      <c r="I329" s="27"/>
      <c r="J329" s="28" t="str">
        <f aca="false">IF(AND(N(H329)&gt;0,N(I329)&gt;0),ROUND(I329/(H329/100)^2,1),"")</f>
        <v/>
      </c>
      <c r="K329" s="27"/>
      <c r="L329" s="27"/>
      <c r="M329" s="27"/>
      <c r="N329" s="27"/>
      <c r="O329" s="27"/>
      <c r="P329" s="27"/>
      <c r="Q329" s="27"/>
      <c r="R329" s="29"/>
      <c r="S329" s="29"/>
      <c r="T329" s="27"/>
      <c r="U329" s="28" t="str">
        <f aca="false">IF(N(T329)=0,"",IF(T329&lt;12,"Under 12 months",IF(T329&lt;36,"12-35 months",IF(T329&lt;60,"36-59 months","≥60 months"))))</f>
        <v/>
      </c>
      <c r="V329" s="27"/>
      <c r="W329" s="30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9"/>
      <c r="AT329" s="30"/>
      <c r="AU329" s="30"/>
      <c r="AV329" s="30"/>
      <c r="AW329" s="27"/>
      <c r="AX329" s="27"/>
      <c r="AY329" s="29"/>
      <c r="AZ329" s="27"/>
      <c r="BA329" s="27"/>
      <c r="BB329" s="29"/>
      <c r="BC329" s="30"/>
      <c r="BD329" s="30"/>
      <c r="BE329" s="30"/>
      <c r="BF329" s="27"/>
      <c r="BG329" s="27"/>
      <c r="BH329" s="28" t="str">
        <f aca="false">IF(COUNT(BC329:BE329)=0,"",IF(MIN(BC329:BE329)&lt;=-2.5,"Yes","No"))</f>
        <v/>
      </c>
      <c r="BI329" s="27"/>
      <c r="BJ329" s="29"/>
      <c r="BK329" s="27"/>
      <c r="BL329" s="27"/>
      <c r="BM329" s="27"/>
      <c r="BN329" s="28" t="str">
        <f aca="false">IF(OR(AX329="Yes",BI329="Yes"),"Yes",IF(AND(AX329="No",BI329="No"),"No",IF(AND(AX329="",BI329=""),"","Unknown")))</f>
        <v/>
      </c>
      <c r="BO329" s="31" t="str">
        <f aca="false">IF(COUNT(AY329,BJ329)=0,"",MIN(AY329,BJ329))</f>
        <v/>
      </c>
      <c r="BP329" s="29"/>
      <c r="BQ329" s="29"/>
      <c r="BR329" s="29"/>
      <c r="BS329" s="28" t="str">
        <f aca="false">IF(AND(N(BP329)&gt;0,N(BR329)&gt;0),BR329-BP329,"")</f>
        <v/>
      </c>
      <c r="BT329" s="28" t="str">
        <f aca="false">IF(BS329="","",ROUND(BS329/365.25,2))</f>
        <v/>
      </c>
      <c r="BU329" s="28" t="str">
        <f aca="false">IF(BS329="","",IF(BS329&gt;=730.5,"Yes","No"))</f>
        <v/>
      </c>
      <c r="BV329" s="27"/>
      <c r="BW329" s="29"/>
      <c r="BX329" s="27"/>
      <c r="BY329" s="27"/>
      <c r="BZ329" s="28" t="str">
        <f aca="false">IF(N(E329)=0,"",IF(E329&lt;65,"Under 65","≥65"))</f>
        <v/>
      </c>
      <c r="CA329" s="28" t="str">
        <f aca="false">IF(OR(AC329="Yes",AC329="No"),AC329,"")</f>
        <v/>
      </c>
      <c r="CB329" s="28" t="str">
        <f aca="false">IF(OR(AD329="Yes",AD329="No"),AD329,"")</f>
        <v/>
      </c>
      <c r="CC329" s="28" t="str">
        <f aca="false">IF(F329="","",F329)</f>
        <v/>
      </c>
      <c r="CD329" s="27"/>
      <c r="CE329" s="27"/>
    </row>
    <row r="330" customFormat="false" ht="15" hidden="false" customHeight="false" outlineLevel="0" collapsed="false">
      <c r="A330" s="27"/>
      <c r="B330" s="27"/>
      <c r="C330" s="27"/>
      <c r="D330" s="27"/>
      <c r="E330" s="27"/>
      <c r="F330" s="27"/>
      <c r="G330" s="27"/>
      <c r="H330" s="27"/>
      <c r="I330" s="27"/>
      <c r="J330" s="28" t="str">
        <f aca="false">IF(AND(N(H330)&gt;0,N(I330)&gt;0),ROUND(I330/(H330/100)^2,1),"")</f>
        <v/>
      </c>
      <c r="K330" s="27"/>
      <c r="L330" s="27"/>
      <c r="M330" s="27"/>
      <c r="N330" s="27"/>
      <c r="O330" s="27"/>
      <c r="P330" s="27"/>
      <c r="Q330" s="27"/>
      <c r="R330" s="29"/>
      <c r="S330" s="29"/>
      <c r="T330" s="27"/>
      <c r="U330" s="28" t="str">
        <f aca="false">IF(N(T330)=0,"",IF(T330&lt;12,"Under 12 months",IF(T330&lt;36,"12-35 months",IF(T330&lt;60,"36-59 months","≥60 months"))))</f>
        <v/>
      </c>
      <c r="V330" s="27"/>
      <c r="W330" s="30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9"/>
      <c r="AT330" s="30"/>
      <c r="AU330" s="30"/>
      <c r="AV330" s="30"/>
      <c r="AW330" s="27"/>
      <c r="AX330" s="27"/>
      <c r="AY330" s="29"/>
      <c r="AZ330" s="27"/>
      <c r="BA330" s="27"/>
      <c r="BB330" s="29"/>
      <c r="BC330" s="30"/>
      <c r="BD330" s="30"/>
      <c r="BE330" s="30"/>
      <c r="BF330" s="27"/>
      <c r="BG330" s="27"/>
      <c r="BH330" s="28" t="str">
        <f aca="false">IF(COUNT(BC330:BE330)=0,"",IF(MIN(BC330:BE330)&lt;=-2.5,"Yes","No"))</f>
        <v/>
      </c>
      <c r="BI330" s="27"/>
      <c r="BJ330" s="29"/>
      <c r="BK330" s="27"/>
      <c r="BL330" s="27"/>
      <c r="BM330" s="27"/>
      <c r="BN330" s="28" t="str">
        <f aca="false">IF(OR(AX330="Yes",BI330="Yes"),"Yes",IF(AND(AX330="No",BI330="No"),"No",IF(AND(AX330="",BI330=""),"","Unknown")))</f>
        <v/>
      </c>
      <c r="BO330" s="31" t="str">
        <f aca="false">IF(COUNT(AY330,BJ330)=0,"",MIN(AY330,BJ330))</f>
        <v/>
      </c>
      <c r="BP330" s="29"/>
      <c r="BQ330" s="29"/>
      <c r="BR330" s="29"/>
      <c r="BS330" s="28" t="str">
        <f aca="false">IF(AND(N(BP330)&gt;0,N(BR330)&gt;0),BR330-BP330,"")</f>
        <v/>
      </c>
      <c r="BT330" s="28" t="str">
        <f aca="false">IF(BS330="","",ROUND(BS330/365.25,2))</f>
        <v/>
      </c>
      <c r="BU330" s="28" t="str">
        <f aca="false">IF(BS330="","",IF(BS330&gt;=730.5,"Yes","No"))</f>
        <v/>
      </c>
      <c r="BV330" s="27"/>
      <c r="BW330" s="29"/>
      <c r="BX330" s="27"/>
      <c r="BY330" s="27"/>
      <c r="BZ330" s="28" t="str">
        <f aca="false">IF(N(E330)=0,"",IF(E330&lt;65,"Under 65","≥65"))</f>
        <v/>
      </c>
      <c r="CA330" s="28" t="str">
        <f aca="false">IF(OR(AC330="Yes",AC330="No"),AC330,"")</f>
        <v/>
      </c>
      <c r="CB330" s="28" t="str">
        <f aca="false">IF(OR(AD330="Yes",AD330="No"),AD330,"")</f>
        <v/>
      </c>
      <c r="CC330" s="28" t="str">
        <f aca="false">IF(F330="","",F330)</f>
        <v/>
      </c>
      <c r="CD330" s="27"/>
      <c r="CE330" s="27"/>
    </row>
    <row r="331" customFormat="false" ht="15" hidden="false" customHeight="false" outlineLevel="0" collapsed="false">
      <c r="A331" s="27"/>
      <c r="B331" s="27"/>
      <c r="C331" s="27"/>
      <c r="D331" s="27"/>
      <c r="E331" s="27"/>
      <c r="F331" s="27"/>
      <c r="G331" s="27"/>
      <c r="H331" s="27"/>
      <c r="I331" s="27"/>
      <c r="J331" s="28" t="str">
        <f aca="false">IF(AND(N(H331)&gt;0,N(I331)&gt;0),ROUND(I331/(H331/100)^2,1),"")</f>
        <v/>
      </c>
      <c r="K331" s="27"/>
      <c r="L331" s="27"/>
      <c r="M331" s="27"/>
      <c r="N331" s="27"/>
      <c r="O331" s="27"/>
      <c r="P331" s="27"/>
      <c r="Q331" s="27"/>
      <c r="R331" s="29"/>
      <c r="S331" s="29"/>
      <c r="T331" s="27"/>
      <c r="U331" s="28" t="str">
        <f aca="false">IF(N(T331)=0,"",IF(T331&lt;12,"Under 12 months",IF(T331&lt;36,"12-35 months",IF(T331&lt;60,"36-59 months","≥60 months"))))</f>
        <v/>
      </c>
      <c r="V331" s="27"/>
      <c r="W331" s="30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9"/>
      <c r="AT331" s="30"/>
      <c r="AU331" s="30"/>
      <c r="AV331" s="30"/>
      <c r="AW331" s="27"/>
      <c r="AX331" s="27"/>
      <c r="AY331" s="29"/>
      <c r="AZ331" s="27"/>
      <c r="BA331" s="27"/>
      <c r="BB331" s="29"/>
      <c r="BC331" s="30"/>
      <c r="BD331" s="30"/>
      <c r="BE331" s="30"/>
      <c r="BF331" s="27"/>
      <c r="BG331" s="27"/>
      <c r="BH331" s="28" t="str">
        <f aca="false">IF(COUNT(BC331:BE331)=0,"",IF(MIN(BC331:BE331)&lt;=-2.5,"Yes","No"))</f>
        <v/>
      </c>
      <c r="BI331" s="27"/>
      <c r="BJ331" s="29"/>
      <c r="BK331" s="27"/>
      <c r="BL331" s="27"/>
      <c r="BM331" s="27"/>
      <c r="BN331" s="28" t="str">
        <f aca="false">IF(OR(AX331="Yes",BI331="Yes"),"Yes",IF(AND(AX331="No",BI331="No"),"No",IF(AND(AX331="",BI331=""),"","Unknown")))</f>
        <v/>
      </c>
      <c r="BO331" s="31" t="str">
        <f aca="false">IF(COUNT(AY331,BJ331)=0,"",MIN(AY331,BJ331))</f>
        <v/>
      </c>
      <c r="BP331" s="29"/>
      <c r="BQ331" s="29"/>
      <c r="BR331" s="29"/>
      <c r="BS331" s="28" t="str">
        <f aca="false">IF(AND(N(BP331)&gt;0,N(BR331)&gt;0),BR331-BP331,"")</f>
        <v/>
      </c>
      <c r="BT331" s="28" t="str">
        <f aca="false">IF(BS331="","",ROUND(BS331/365.25,2))</f>
        <v/>
      </c>
      <c r="BU331" s="28" t="str">
        <f aca="false">IF(BS331="","",IF(BS331&gt;=730.5,"Yes","No"))</f>
        <v/>
      </c>
      <c r="BV331" s="27"/>
      <c r="BW331" s="29"/>
      <c r="BX331" s="27"/>
      <c r="BY331" s="27"/>
      <c r="BZ331" s="28" t="str">
        <f aca="false">IF(N(E331)=0,"",IF(E331&lt;65,"Under 65","≥65"))</f>
        <v/>
      </c>
      <c r="CA331" s="28" t="str">
        <f aca="false">IF(OR(AC331="Yes",AC331="No"),AC331,"")</f>
        <v/>
      </c>
      <c r="CB331" s="28" t="str">
        <f aca="false">IF(OR(AD331="Yes",AD331="No"),AD331,"")</f>
        <v/>
      </c>
      <c r="CC331" s="28" t="str">
        <f aca="false">IF(F331="","",F331)</f>
        <v/>
      </c>
      <c r="CD331" s="27"/>
      <c r="CE331" s="27"/>
    </row>
    <row r="332" customFormat="false" ht="15" hidden="false" customHeight="false" outlineLevel="0" collapsed="false">
      <c r="A332" s="27"/>
      <c r="B332" s="27"/>
      <c r="C332" s="27"/>
      <c r="D332" s="27"/>
      <c r="E332" s="27"/>
      <c r="F332" s="27"/>
      <c r="G332" s="27"/>
      <c r="H332" s="27"/>
      <c r="I332" s="27"/>
      <c r="J332" s="28" t="str">
        <f aca="false">IF(AND(N(H332)&gt;0,N(I332)&gt;0),ROUND(I332/(H332/100)^2,1),"")</f>
        <v/>
      </c>
      <c r="K332" s="27"/>
      <c r="L332" s="27"/>
      <c r="M332" s="27"/>
      <c r="N332" s="27"/>
      <c r="O332" s="27"/>
      <c r="P332" s="27"/>
      <c r="Q332" s="27"/>
      <c r="R332" s="29"/>
      <c r="S332" s="29"/>
      <c r="T332" s="27"/>
      <c r="U332" s="28" t="str">
        <f aca="false">IF(N(T332)=0,"",IF(T332&lt;12,"Under 12 months",IF(T332&lt;36,"12-35 months",IF(T332&lt;60,"36-59 months","≥60 months"))))</f>
        <v/>
      </c>
      <c r="V332" s="27"/>
      <c r="W332" s="30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9"/>
      <c r="AT332" s="30"/>
      <c r="AU332" s="30"/>
      <c r="AV332" s="30"/>
      <c r="AW332" s="27"/>
      <c r="AX332" s="27"/>
      <c r="AY332" s="29"/>
      <c r="AZ332" s="27"/>
      <c r="BA332" s="27"/>
      <c r="BB332" s="29"/>
      <c r="BC332" s="30"/>
      <c r="BD332" s="30"/>
      <c r="BE332" s="30"/>
      <c r="BF332" s="27"/>
      <c r="BG332" s="27"/>
      <c r="BH332" s="28" t="str">
        <f aca="false">IF(COUNT(BC332:BE332)=0,"",IF(MIN(BC332:BE332)&lt;=-2.5,"Yes","No"))</f>
        <v/>
      </c>
      <c r="BI332" s="27"/>
      <c r="BJ332" s="29"/>
      <c r="BK332" s="27"/>
      <c r="BL332" s="27"/>
      <c r="BM332" s="27"/>
      <c r="BN332" s="28" t="str">
        <f aca="false">IF(OR(AX332="Yes",BI332="Yes"),"Yes",IF(AND(AX332="No",BI332="No"),"No",IF(AND(AX332="",BI332=""),"","Unknown")))</f>
        <v/>
      </c>
      <c r="BO332" s="31" t="str">
        <f aca="false">IF(COUNT(AY332,BJ332)=0,"",MIN(AY332,BJ332))</f>
        <v/>
      </c>
      <c r="BP332" s="29"/>
      <c r="BQ332" s="29"/>
      <c r="BR332" s="29"/>
      <c r="BS332" s="28" t="str">
        <f aca="false">IF(AND(N(BP332)&gt;0,N(BR332)&gt;0),BR332-BP332,"")</f>
        <v/>
      </c>
      <c r="BT332" s="28" t="str">
        <f aca="false">IF(BS332="","",ROUND(BS332/365.25,2))</f>
        <v/>
      </c>
      <c r="BU332" s="28" t="str">
        <f aca="false">IF(BS332="","",IF(BS332&gt;=730.5,"Yes","No"))</f>
        <v/>
      </c>
      <c r="BV332" s="27"/>
      <c r="BW332" s="29"/>
      <c r="BX332" s="27"/>
      <c r="BY332" s="27"/>
      <c r="BZ332" s="28" t="str">
        <f aca="false">IF(N(E332)=0,"",IF(E332&lt;65,"Under 65","≥65"))</f>
        <v/>
      </c>
      <c r="CA332" s="28" t="str">
        <f aca="false">IF(OR(AC332="Yes",AC332="No"),AC332,"")</f>
        <v/>
      </c>
      <c r="CB332" s="28" t="str">
        <f aca="false">IF(OR(AD332="Yes",AD332="No"),AD332,"")</f>
        <v/>
      </c>
      <c r="CC332" s="28" t="str">
        <f aca="false">IF(F332="","",F332)</f>
        <v/>
      </c>
      <c r="CD332" s="27"/>
      <c r="CE332" s="27"/>
    </row>
    <row r="333" customFormat="false" ht="15" hidden="false" customHeight="false" outlineLevel="0" collapsed="false">
      <c r="A333" s="27"/>
      <c r="B333" s="27"/>
      <c r="C333" s="27"/>
      <c r="D333" s="27"/>
      <c r="E333" s="27"/>
      <c r="F333" s="27"/>
      <c r="G333" s="27"/>
      <c r="H333" s="27"/>
      <c r="I333" s="27"/>
      <c r="J333" s="28" t="str">
        <f aca="false">IF(AND(N(H333)&gt;0,N(I333)&gt;0),ROUND(I333/(H333/100)^2,1),"")</f>
        <v/>
      </c>
      <c r="K333" s="27"/>
      <c r="L333" s="27"/>
      <c r="M333" s="27"/>
      <c r="N333" s="27"/>
      <c r="O333" s="27"/>
      <c r="P333" s="27"/>
      <c r="Q333" s="27"/>
      <c r="R333" s="29"/>
      <c r="S333" s="29"/>
      <c r="T333" s="27"/>
      <c r="U333" s="28" t="str">
        <f aca="false">IF(N(T333)=0,"",IF(T333&lt;12,"Under 12 months",IF(T333&lt;36,"12-35 months",IF(T333&lt;60,"36-59 months","≥60 months"))))</f>
        <v/>
      </c>
      <c r="V333" s="27"/>
      <c r="W333" s="30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9"/>
      <c r="AT333" s="30"/>
      <c r="AU333" s="30"/>
      <c r="AV333" s="30"/>
      <c r="AW333" s="27"/>
      <c r="AX333" s="27"/>
      <c r="AY333" s="29"/>
      <c r="AZ333" s="27"/>
      <c r="BA333" s="27"/>
      <c r="BB333" s="29"/>
      <c r="BC333" s="30"/>
      <c r="BD333" s="30"/>
      <c r="BE333" s="30"/>
      <c r="BF333" s="27"/>
      <c r="BG333" s="27"/>
      <c r="BH333" s="28" t="str">
        <f aca="false">IF(COUNT(BC333:BE333)=0,"",IF(MIN(BC333:BE333)&lt;=-2.5,"Yes","No"))</f>
        <v/>
      </c>
      <c r="BI333" s="27"/>
      <c r="BJ333" s="29"/>
      <c r="BK333" s="27"/>
      <c r="BL333" s="27"/>
      <c r="BM333" s="27"/>
      <c r="BN333" s="28" t="str">
        <f aca="false">IF(OR(AX333="Yes",BI333="Yes"),"Yes",IF(AND(AX333="No",BI333="No"),"No",IF(AND(AX333="",BI333=""),"","Unknown")))</f>
        <v/>
      </c>
      <c r="BO333" s="31" t="str">
        <f aca="false">IF(COUNT(AY333,BJ333)=0,"",MIN(AY333,BJ333))</f>
        <v/>
      </c>
      <c r="BP333" s="29"/>
      <c r="BQ333" s="29"/>
      <c r="BR333" s="29"/>
      <c r="BS333" s="28" t="str">
        <f aca="false">IF(AND(N(BP333)&gt;0,N(BR333)&gt;0),BR333-BP333,"")</f>
        <v/>
      </c>
      <c r="BT333" s="28" t="str">
        <f aca="false">IF(BS333="","",ROUND(BS333/365.25,2))</f>
        <v/>
      </c>
      <c r="BU333" s="28" t="str">
        <f aca="false">IF(BS333="","",IF(BS333&gt;=730.5,"Yes","No"))</f>
        <v/>
      </c>
      <c r="BV333" s="27"/>
      <c r="BW333" s="29"/>
      <c r="BX333" s="27"/>
      <c r="BY333" s="27"/>
      <c r="BZ333" s="28" t="str">
        <f aca="false">IF(N(E333)=0,"",IF(E333&lt;65,"Under 65","≥65"))</f>
        <v/>
      </c>
      <c r="CA333" s="28" t="str">
        <f aca="false">IF(OR(AC333="Yes",AC333="No"),AC333,"")</f>
        <v/>
      </c>
      <c r="CB333" s="28" t="str">
        <f aca="false">IF(OR(AD333="Yes",AD333="No"),AD333,"")</f>
        <v/>
      </c>
      <c r="CC333" s="28" t="str">
        <f aca="false">IF(F333="","",F333)</f>
        <v/>
      </c>
      <c r="CD333" s="27"/>
      <c r="CE333" s="27"/>
    </row>
    <row r="334" customFormat="false" ht="15" hidden="false" customHeight="false" outlineLevel="0" collapsed="false">
      <c r="A334" s="27"/>
      <c r="B334" s="27"/>
      <c r="C334" s="27"/>
      <c r="D334" s="27"/>
      <c r="E334" s="27"/>
      <c r="F334" s="27"/>
      <c r="G334" s="27"/>
      <c r="H334" s="27"/>
      <c r="I334" s="27"/>
      <c r="J334" s="28" t="str">
        <f aca="false">IF(AND(N(H334)&gt;0,N(I334)&gt;0),ROUND(I334/(H334/100)^2,1),"")</f>
        <v/>
      </c>
      <c r="K334" s="27"/>
      <c r="L334" s="27"/>
      <c r="M334" s="27"/>
      <c r="N334" s="27"/>
      <c r="O334" s="27"/>
      <c r="P334" s="27"/>
      <c r="Q334" s="27"/>
      <c r="R334" s="29"/>
      <c r="S334" s="29"/>
      <c r="T334" s="27"/>
      <c r="U334" s="28" t="str">
        <f aca="false">IF(N(T334)=0,"",IF(T334&lt;12,"Under 12 months",IF(T334&lt;36,"12-35 months",IF(T334&lt;60,"36-59 months","≥60 months"))))</f>
        <v/>
      </c>
      <c r="V334" s="27"/>
      <c r="W334" s="30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9"/>
      <c r="AT334" s="30"/>
      <c r="AU334" s="30"/>
      <c r="AV334" s="30"/>
      <c r="AW334" s="27"/>
      <c r="AX334" s="27"/>
      <c r="AY334" s="29"/>
      <c r="AZ334" s="27"/>
      <c r="BA334" s="27"/>
      <c r="BB334" s="29"/>
      <c r="BC334" s="30"/>
      <c r="BD334" s="30"/>
      <c r="BE334" s="30"/>
      <c r="BF334" s="27"/>
      <c r="BG334" s="27"/>
      <c r="BH334" s="28" t="str">
        <f aca="false">IF(COUNT(BC334:BE334)=0,"",IF(MIN(BC334:BE334)&lt;=-2.5,"Yes","No"))</f>
        <v/>
      </c>
      <c r="BI334" s="27"/>
      <c r="BJ334" s="29"/>
      <c r="BK334" s="27"/>
      <c r="BL334" s="27"/>
      <c r="BM334" s="27"/>
      <c r="BN334" s="28" t="str">
        <f aca="false">IF(OR(AX334="Yes",BI334="Yes"),"Yes",IF(AND(AX334="No",BI334="No"),"No",IF(AND(AX334="",BI334=""),"","Unknown")))</f>
        <v/>
      </c>
      <c r="BO334" s="31" t="str">
        <f aca="false">IF(COUNT(AY334,BJ334)=0,"",MIN(AY334,BJ334))</f>
        <v/>
      </c>
      <c r="BP334" s="29"/>
      <c r="BQ334" s="29"/>
      <c r="BR334" s="29"/>
      <c r="BS334" s="28" t="str">
        <f aca="false">IF(AND(N(BP334)&gt;0,N(BR334)&gt;0),BR334-BP334,"")</f>
        <v/>
      </c>
      <c r="BT334" s="28" t="str">
        <f aca="false">IF(BS334="","",ROUND(BS334/365.25,2))</f>
        <v/>
      </c>
      <c r="BU334" s="28" t="str">
        <f aca="false">IF(BS334="","",IF(BS334&gt;=730.5,"Yes","No"))</f>
        <v/>
      </c>
      <c r="BV334" s="27"/>
      <c r="BW334" s="29"/>
      <c r="BX334" s="27"/>
      <c r="BY334" s="27"/>
      <c r="BZ334" s="28" t="str">
        <f aca="false">IF(N(E334)=0,"",IF(E334&lt;65,"Under 65","≥65"))</f>
        <v/>
      </c>
      <c r="CA334" s="28" t="str">
        <f aca="false">IF(OR(AC334="Yes",AC334="No"),AC334,"")</f>
        <v/>
      </c>
      <c r="CB334" s="28" t="str">
        <f aca="false">IF(OR(AD334="Yes",AD334="No"),AD334,"")</f>
        <v/>
      </c>
      <c r="CC334" s="28" t="str">
        <f aca="false">IF(F334="","",F334)</f>
        <v/>
      </c>
      <c r="CD334" s="27"/>
      <c r="CE334" s="27"/>
    </row>
    <row r="335" customFormat="false" ht="15" hidden="false" customHeight="false" outlineLevel="0" collapsed="false">
      <c r="A335" s="27"/>
      <c r="B335" s="27"/>
      <c r="C335" s="27"/>
      <c r="D335" s="27"/>
      <c r="E335" s="27"/>
      <c r="F335" s="27"/>
      <c r="G335" s="27"/>
      <c r="H335" s="27"/>
      <c r="I335" s="27"/>
      <c r="J335" s="28" t="str">
        <f aca="false">IF(AND(N(H335)&gt;0,N(I335)&gt;0),ROUND(I335/(H335/100)^2,1),"")</f>
        <v/>
      </c>
      <c r="K335" s="27"/>
      <c r="L335" s="27"/>
      <c r="M335" s="27"/>
      <c r="N335" s="27"/>
      <c r="O335" s="27"/>
      <c r="P335" s="27"/>
      <c r="Q335" s="27"/>
      <c r="R335" s="29"/>
      <c r="S335" s="29"/>
      <c r="T335" s="27"/>
      <c r="U335" s="28" t="str">
        <f aca="false">IF(N(T335)=0,"",IF(T335&lt;12,"Under 12 months",IF(T335&lt;36,"12-35 months",IF(T335&lt;60,"36-59 months","≥60 months"))))</f>
        <v/>
      </c>
      <c r="V335" s="27"/>
      <c r="W335" s="30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9"/>
      <c r="AT335" s="30"/>
      <c r="AU335" s="30"/>
      <c r="AV335" s="30"/>
      <c r="AW335" s="27"/>
      <c r="AX335" s="27"/>
      <c r="AY335" s="29"/>
      <c r="AZ335" s="27"/>
      <c r="BA335" s="27"/>
      <c r="BB335" s="29"/>
      <c r="BC335" s="30"/>
      <c r="BD335" s="30"/>
      <c r="BE335" s="30"/>
      <c r="BF335" s="27"/>
      <c r="BG335" s="27"/>
      <c r="BH335" s="28" t="str">
        <f aca="false">IF(COUNT(BC335:BE335)=0,"",IF(MIN(BC335:BE335)&lt;=-2.5,"Yes","No"))</f>
        <v/>
      </c>
      <c r="BI335" s="27"/>
      <c r="BJ335" s="29"/>
      <c r="BK335" s="27"/>
      <c r="BL335" s="27"/>
      <c r="BM335" s="27"/>
      <c r="BN335" s="28" t="str">
        <f aca="false">IF(OR(AX335="Yes",BI335="Yes"),"Yes",IF(AND(AX335="No",BI335="No"),"No",IF(AND(AX335="",BI335=""),"","Unknown")))</f>
        <v/>
      </c>
      <c r="BO335" s="31" t="str">
        <f aca="false">IF(COUNT(AY335,BJ335)=0,"",MIN(AY335,BJ335))</f>
        <v/>
      </c>
      <c r="BP335" s="29"/>
      <c r="BQ335" s="29"/>
      <c r="BR335" s="29"/>
      <c r="BS335" s="28" t="str">
        <f aca="false">IF(AND(N(BP335)&gt;0,N(BR335)&gt;0),BR335-BP335,"")</f>
        <v/>
      </c>
      <c r="BT335" s="28" t="str">
        <f aca="false">IF(BS335="","",ROUND(BS335/365.25,2))</f>
        <v/>
      </c>
      <c r="BU335" s="28" t="str">
        <f aca="false">IF(BS335="","",IF(BS335&gt;=730.5,"Yes","No"))</f>
        <v/>
      </c>
      <c r="BV335" s="27"/>
      <c r="BW335" s="29"/>
      <c r="BX335" s="27"/>
      <c r="BY335" s="27"/>
      <c r="BZ335" s="28" t="str">
        <f aca="false">IF(N(E335)=0,"",IF(E335&lt;65,"Under 65","≥65"))</f>
        <v/>
      </c>
      <c r="CA335" s="28" t="str">
        <f aca="false">IF(OR(AC335="Yes",AC335="No"),AC335,"")</f>
        <v/>
      </c>
      <c r="CB335" s="28" t="str">
        <f aca="false">IF(OR(AD335="Yes",AD335="No"),AD335,"")</f>
        <v/>
      </c>
      <c r="CC335" s="28" t="str">
        <f aca="false">IF(F335="","",F335)</f>
        <v/>
      </c>
      <c r="CD335" s="27"/>
      <c r="CE335" s="27"/>
    </row>
    <row r="336" customFormat="false" ht="15" hidden="false" customHeight="false" outlineLevel="0" collapsed="false">
      <c r="A336" s="27"/>
      <c r="B336" s="27"/>
      <c r="C336" s="27"/>
      <c r="D336" s="27"/>
      <c r="E336" s="27"/>
      <c r="F336" s="27"/>
      <c r="G336" s="27"/>
      <c r="H336" s="27"/>
      <c r="I336" s="27"/>
      <c r="J336" s="28" t="str">
        <f aca="false">IF(AND(N(H336)&gt;0,N(I336)&gt;0),ROUND(I336/(H336/100)^2,1),"")</f>
        <v/>
      </c>
      <c r="K336" s="27"/>
      <c r="L336" s="27"/>
      <c r="M336" s="27"/>
      <c r="N336" s="27"/>
      <c r="O336" s="27"/>
      <c r="P336" s="27"/>
      <c r="Q336" s="27"/>
      <c r="R336" s="29"/>
      <c r="S336" s="29"/>
      <c r="T336" s="27"/>
      <c r="U336" s="28" t="str">
        <f aca="false">IF(N(T336)=0,"",IF(T336&lt;12,"Under 12 months",IF(T336&lt;36,"12-35 months",IF(T336&lt;60,"36-59 months","≥60 months"))))</f>
        <v/>
      </c>
      <c r="V336" s="27"/>
      <c r="W336" s="30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9"/>
      <c r="AT336" s="30"/>
      <c r="AU336" s="30"/>
      <c r="AV336" s="30"/>
      <c r="AW336" s="27"/>
      <c r="AX336" s="27"/>
      <c r="AY336" s="29"/>
      <c r="AZ336" s="27"/>
      <c r="BA336" s="27"/>
      <c r="BB336" s="29"/>
      <c r="BC336" s="30"/>
      <c r="BD336" s="30"/>
      <c r="BE336" s="30"/>
      <c r="BF336" s="27"/>
      <c r="BG336" s="27"/>
      <c r="BH336" s="28" t="str">
        <f aca="false">IF(COUNT(BC336:BE336)=0,"",IF(MIN(BC336:BE336)&lt;=-2.5,"Yes","No"))</f>
        <v/>
      </c>
      <c r="BI336" s="27"/>
      <c r="BJ336" s="29"/>
      <c r="BK336" s="27"/>
      <c r="BL336" s="27"/>
      <c r="BM336" s="27"/>
      <c r="BN336" s="28" t="str">
        <f aca="false">IF(OR(AX336="Yes",BI336="Yes"),"Yes",IF(AND(AX336="No",BI336="No"),"No",IF(AND(AX336="",BI336=""),"","Unknown")))</f>
        <v/>
      </c>
      <c r="BO336" s="31" t="str">
        <f aca="false">IF(COUNT(AY336,BJ336)=0,"",MIN(AY336,BJ336))</f>
        <v/>
      </c>
      <c r="BP336" s="29"/>
      <c r="BQ336" s="29"/>
      <c r="BR336" s="29"/>
      <c r="BS336" s="28" t="str">
        <f aca="false">IF(AND(N(BP336)&gt;0,N(BR336)&gt;0),BR336-BP336,"")</f>
        <v/>
      </c>
      <c r="BT336" s="28" t="str">
        <f aca="false">IF(BS336="","",ROUND(BS336/365.25,2))</f>
        <v/>
      </c>
      <c r="BU336" s="28" t="str">
        <f aca="false">IF(BS336="","",IF(BS336&gt;=730.5,"Yes","No"))</f>
        <v/>
      </c>
      <c r="BV336" s="27"/>
      <c r="BW336" s="29"/>
      <c r="BX336" s="27"/>
      <c r="BY336" s="27"/>
      <c r="BZ336" s="28" t="str">
        <f aca="false">IF(N(E336)=0,"",IF(E336&lt;65,"Under 65","≥65"))</f>
        <v/>
      </c>
      <c r="CA336" s="28" t="str">
        <f aca="false">IF(OR(AC336="Yes",AC336="No"),AC336,"")</f>
        <v/>
      </c>
      <c r="CB336" s="28" t="str">
        <f aca="false">IF(OR(AD336="Yes",AD336="No"),AD336,"")</f>
        <v/>
      </c>
      <c r="CC336" s="28" t="str">
        <f aca="false">IF(F336="","",F336)</f>
        <v/>
      </c>
      <c r="CD336" s="27"/>
      <c r="CE336" s="27"/>
    </row>
    <row r="337" customFormat="false" ht="15" hidden="false" customHeight="false" outlineLevel="0" collapsed="false">
      <c r="A337" s="27"/>
      <c r="B337" s="27"/>
      <c r="C337" s="27"/>
      <c r="D337" s="27"/>
      <c r="E337" s="27"/>
      <c r="F337" s="27"/>
      <c r="G337" s="27"/>
      <c r="H337" s="27"/>
      <c r="I337" s="27"/>
      <c r="J337" s="28" t="str">
        <f aca="false">IF(AND(N(H337)&gt;0,N(I337)&gt;0),ROUND(I337/(H337/100)^2,1),"")</f>
        <v/>
      </c>
      <c r="K337" s="27"/>
      <c r="L337" s="27"/>
      <c r="M337" s="27"/>
      <c r="N337" s="27"/>
      <c r="O337" s="27"/>
      <c r="P337" s="27"/>
      <c r="Q337" s="27"/>
      <c r="R337" s="29"/>
      <c r="S337" s="29"/>
      <c r="T337" s="27"/>
      <c r="U337" s="28" t="str">
        <f aca="false">IF(N(T337)=0,"",IF(T337&lt;12,"Under 12 months",IF(T337&lt;36,"12-35 months",IF(T337&lt;60,"36-59 months","≥60 months"))))</f>
        <v/>
      </c>
      <c r="V337" s="27"/>
      <c r="W337" s="30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9"/>
      <c r="AT337" s="30"/>
      <c r="AU337" s="30"/>
      <c r="AV337" s="30"/>
      <c r="AW337" s="27"/>
      <c r="AX337" s="27"/>
      <c r="AY337" s="29"/>
      <c r="AZ337" s="27"/>
      <c r="BA337" s="27"/>
      <c r="BB337" s="29"/>
      <c r="BC337" s="30"/>
      <c r="BD337" s="30"/>
      <c r="BE337" s="30"/>
      <c r="BF337" s="27"/>
      <c r="BG337" s="27"/>
      <c r="BH337" s="28" t="str">
        <f aca="false">IF(COUNT(BC337:BE337)=0,"",IF(MIN(BC337:BE337)&lt;=-2.5,"Yes","No"))</f>
        <v/>
      </c>
      <c r="BI337" s="27"/>
      <c r="BJ337" s="29"/>
      <c r="BK337" s="27"/>
      <c r="BL337" s="27"/>
      <c r="BM337" s="27"/>
      <c r="BN337" s="28" t="str">
        <f aca="false">IF(OR(AX337="Yes",BI337="Yes"),"Yes",IF(AND(AX337="No",BI337="No"),"No",IF(AND(AX337="",BI337=""),"","Unknown")))</f>
        <v/>
      </c>
      <c r="BO337" s="31" t="str">
        <f aca="false">IF(COUNT(AY337,BJ337)=0,"",MIN(AY337,BJ337))</f>
        <v/>
      </c>
      <c r="BP337" s="29"/>
      <c r="BQ337" s="29"/>
      <c r="BR337" s="29"/>
      <c r="BS337" s="28" t="str">
        <f aca="false">IF(AND(N(BP337)&gt;0,N(BR337)&gt;0),BR337-BP337,"")</f>
        <v/>
      </c>
      <c r="BT337" s="28" t="str">
        <f aca="false">IF(BS337="","",ROUND(BS337/365.25,2))</f>
        <v/>
      </c>
      <c r="BU337" s="28" t="str">
        <f aca="false">IF(BS337="","",IF(BS337&gt;=730.5,"Yes","No"))</f>
        <v/>
      </c>
      <c r="BV337" s="27"/>
      <c r="BW337" s="29"/>
      <c r="BX337" s="27"/>
      <c r="BY337" s="27"/>
      <c r="BZ337" s="28" t="str">
        <f aca="false">IF(N(E337)=0,"",IF(E337&lt;65,"Under 65","≥65"))</f>
        <v/>
      </c>
      <c r="CA337" s="28" t="str">
        <f aca="false">IF(OR(AC337="Yes",AC337="No"),AC337,"")</f>
        <v/>
      </c>
      <c r="CB337" s="28" t="str">
        <f aca="false">IF(OR(AD337="Yes",AD337="No"),AD337,"")</f>
        <v/>
      </c>
      <c r="CC337" s="28" t="str">
        <f aca="false">IF(F337="","",F337)</f>
        <v/>
      </c>
      <c r="CD337" s="27"/>
      <c r="CE337" s="27"/>
    </row>
    <row r="338" customFormat="false" ht="15" hidden="false" customHeight="false" outlineLevel="0" collapsed="false">
      <c r="A338" s="27"/>
      <c r="B338" s="27"/>
      <c r="C338" s="27"/>
      <c r="D338" s="27"/>
      <c r="E338" s="27"/>
      <c r="F338" s="27"/>
      <c r="G338" s="27"/>
      <c r="H338" s="27"/>
      <c r="I338" s="27"/>
      <c r="J338" s="28" t="str">
        <f aca="false">IF(AND(N(H338)&gt;0,N(I338)&gt;0),ROUND(I338/(H338/100)^2,1),"")</f>
        <v/>
      </c>
      <c r="K338" s="27"/>
      <c r="L338" s="27"/>
      <c r="M338" s="27"/>
      <c r="N338" s="27"/>
      <c r="O338" s="27"/>
      <c r="P338" s="27"/>
      <c r="Q338" s="27"/>
      <c r="R338" s="29"/>
      <c r="S338" s="29"/>
      <c r="T338" s="27"/>
      <c r="U338" s="28" t="str">
        <f aca="false">IF(N(T338)=0,"",IF(T338&lt;12,"Under 12 months",IF(T338&lt;36,"12-35 months",IF(T338&lt;60,"36-59 months","≥60 months"))))</f>
        <v/>
      </c>
      <c r="V338" s="27"/>
      <c r="W338" s="30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9"/>
      <c r="AT338" s="30"/>
      <c r="AU338" s="30"/>
      <c r="AV338" s="30"/>
      <c r="AW338" s="27"/>
      <c r="AX338" s="27"/>
      <c r="AY338" s="29"/>
      <c r="AZ338" s="27"/>
      <c r="BA338" s="27"/>
      <c r="BB338" s="29"/>
      <c r="BC338" s="30"/>
      <c r="BD338" s="30"/>
      <c r="BE338" s="30"/>
      <c r="BF338" s="27"/>
      <c r="BG338" s="27"/>
      <c r="BH338" s="28" t="str">
        <f aca="false">IF(COUNT(BC338:BE338)=0,"",IF(MIN(BC338:BE338)&lt;=-2.5,"Yes","No"))</f>
        <v/>
      </c>
      <c r="BI338" s="27"/>
      <c r="BJ338" s="29"/>
      <c r="BK338" s="27"/>
      <c r="BL338" s="27"/>
      <c r="BM338" s="27"/>
      <c r="BN338" s="28" t="str">
        <f aca="false">IF(OR(AX338="Yes",BI338="Yes"),"Yes",IF(AND(AX338="No",BI338="No"),"No",IF(AND(AX338="",BI338=""),"","Unknown")))</f>
        <v/>
      </c>
      <c r="BO338" s="31" t="str">
        <f aca="false">IF(COUNT(AY338,BJ338)=0,"",MIN(AY338,BJ338))</f>
        <v/>
      </c>
      <c r="BP338" s="29"/>
      <c r="BQ338" s="29"/>
      <c r="BR338" s="29"/>
      <c r="BS338" s="28" t="str">
        <f aca="false">IF(AND(N(BP338)&gt;0,N(BR338)&gt;0),BR338-BP338,"")</f>
        <v/>
      </c>
      <c r="BT338" s="28" t="str">
        <f aca="false">IF(BS338="","",ROUND(BS338/365.25,2))</f>
        <v/>
      </c>
      <c r="BU338" s="28" t="str">
        <f aca="false">IF(BS338="","",IF(BS338&gt;=730.5,"Yes","No"))</f>
        <v/>
      </c>
      <c r="BV338" s="27"/>
      <c r="BW338" s="29"/>
      <c r="BX338" s="27"/>
      <c r="BY338" s="27"/>
      <c r="BZ338" s="28" t="str">
        <f aca="false">IF(N(E338)=0,"",IF(E338&lt;65,"Under 65","≥65"))</f>
        <v/>
      </c>
      <c r="CA338" s="28" t="str">
        <f aca="false">IF(OR(AC338="Yes",AC338="No"),AC338,"")</f>
        <v/>
      </c>
      <c r="CB338" s="28" t="str">
        <f aca="false">IF(OR(AD338="Yes",AD338="No"),AD338,"")</f>
        <v/>
      </c>
      <c r="CC338" s="28" t="str">
        <f aca="false">IF(F338="","",F338)</f>
        <v/>
      </c>
      <c r="CD338" s="27"/>
      <c r="CE338" s="27"/>
    </row>
    <row r="339" customFormat="false" ht="15" hidden="false" customHeight="false" outlineLevel="0" collapsed="false">
      <c r="A339" s="27"/>
      <c r="B339" s="27"/>
      <c r="C339" s="27"/>
      <c r="D339" s="27"/>
      <c r="E339" s="27"/>
      <c r="F339" s="27"/>
      <c r="G339" s="27"/>
      <c r="H339" s="27"/>
      <c r="I339" s="27"/>
      <c r="J339" s="28" t="str">
        <f aca="false">IF(AND(N(H339)&gt;0,N(I339)&gt;0),ROUND(I339/(H339/100)^2,1),"")</f>
        <v/>
      </c>
      <c r="K339" s="27"/>
      <c r="L339" s="27"/>
      <c r="M339" s="27"/>
      <c r="N339" s="27"/>
      <c r="O339" s="27"/>
      <c r="P339" s="27"/>
      <c r="Q339" s="27"/>
      <c r="R339" s="29"/>
      <c r="S339" s="29"/>
      <c r="T339" s="27"/>
      <c r="U339" s="28" t="str">
        <f aca="false">IF(N(T339)=0,"",IF(T339&lt;12,"Under 12 months",IF(T339&lt;36,"12-35 months",IF(T339&lt;60,"36-59 months","≥60 months"))))</f>
        <v/>
      </c>
      <c r="V339" s="27"/>
      <c r="W339" s="30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9"/>
      <c r="AT339" s="30"/>
      <c r="AU339" s="30"/>
      <c r="AV339" s="30"/>
      <c r="AW339" s="27"/>
      <c r="AX339" s="27"/>
      <c r="AY339" s="29"/>
      <c r="AZ339" s="27"/>
      <c r="BA339" s="27"/>
      <c r="BB339" s="29"/>
      <c r="BC339" s="30"/>
      <c r="BD339" s="30"/>
      <c r="BE339" s="30"/>
      <c r="BF339" s="27"/>
      <c r="BG339" s="27"/>
      <c r="BH339" s="28" t="str">
        <f aca="false">IF(COUNT(BC339:BE339)=0,"",IF(MIN(BC339:BE339)&lt;=-2.5,"Yes","No"))</f>
        <v/>
      </c>
      <c r="BI339" s="27"/>
      <c r="BJ339" s="29"/>
      <c r="BK339" s="27"/>
      <c r="BL339" s="27"/>
      <c r="BM339" s="27"/>
      <c r="BN339" s="28" t="str">
        <f aca="false">IF(OR(AX339="Yes",BI339="Yes"),"Yes",IF(AND(AX339="No",BI339="No"),"No",IF(AND(AX339="",BI339=""),"","Unknown")))</f>
        <v/>
      </c>
      <c r="BO339" s="31" t="str">
        <f aca="false">IF(COUNT(AY339,BJ339)=0,"",MIN(AY339,BJ339))</f>
        <v/>
      </c>
      <c r="BP339" s="29"/>
      <c r="BQ339" s="29"/>
      <c r="BR339" s="29"/>
      <c r="BS339" s="28" t="str">
        <f aca="false">IF(AND(N(BP339)&gt;0,N(BR339)&gt;0),BR339-BP339,"")</f>
        <v/>
      </c>
      <c r="BT339" s="28" t="str">
        <f aca="false">IF(BS339="","",ROUND(BS339/365.25,2))</f>
        <v/>
      </c>
      <c r="BU339" s="28" t="str">
        <f aca="false">IF(BS339="","",IF(BS339&gt;=730.5,"Yes","No"))</f>
        <v/>
      </c>
      <c r="BV339" s="27"/>
      <c r="BW339" s="29"/>
      <c r="BX339" s="27"/>
      <c r="BY339" s="27"/>
      <c r="BZ339" s="28" t="str">
        <f aca="false">IF(N(E339)=0,"",IF(E339&lt;65,"Under 65","≥65"))</f>
        <v/>
      </c>
      <c r="CA339" s="28" t="str">
        <f aca="false">IF(OR(AC339="Yes",AC339="No"),AC339,"")</f>
        <v/>
      </c>
      <c r="CB339" s="28" t="str">
        <f aca="false">IF(OR(AD339="Yes",AD339="No"),AD339,"")</f>
        <v/>
      </c>
      <c r="CC339" s="28" t="str">
        <f aca="false">IF(F339="","",F339)</f>
        <v/>
      </c>
      <c r="CD339" s="27"/>
      <c r="CE339" s="27"/>
    </row>
    <row r="340" customFormat="false" ht="15" hidden="false" customHeight="false" outlineLevel="0" collapsed="false">
      <c r="A340" s="27"/>
      <c r="B340" s="27"/>
      <c r="C340" s="27"/>
      <c r="D340" s="27"/>
      <c r="E340" s="27"/>
      <c r="F340" s="27"/>
      <c r="G340" s="27"/>
      <c r="H340" s="27"/>
      <c r="I340" s="27"/>
      <c r="J340" s="28" t="str">
        <f aca="false">IF(AND(N(H340)&gt;0,N(I340)&gt;0),ROUND(I340/(H340/100)^2,1),"")</f>
        <v/>
      </c>
      <c r="K340" s="27"/>
      <c r="L340" s="27"/>
      <c r="M340" s="27"/>
      <c r="N340" s="27"/>
      <c r="O340" s="27"/>
      <c r="P340" s="27"/>
      <c r="Q340" s="27"/>
      <c r="R340" s="29"/>
      <c r="S340" s="29"/>
      <c r="T340" s="27"/>
      <c r="U340" s="28" t="str">
        <f aca="false">IF(N(T340)=0,"",IF(T340&lt;12,"Under 12 months",IF(T340&lt;36,"12-35 months",IF(T340&lt;60,"36-59 months","≥60 months"))))</f>
        <v/>
      </c>
      <c r="V340" s="27"/>
      <c r="W340" s="30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9"/>
      <c r="AT340" s="30"/>
      <c r="AU340" s="30"/>
      <c r="AV340" s="30"/>
      <c r="AW340" s="27"/>
      <c r="AX340" s="27"/>
      <c r="AY340" s="29"/>
      <c r="AZ340" s="27"/>
      <c r="BA340" s="27"/>
      <c r="BB340" s="29"/>
      <c r="BC340" s="30"/>
      <c r="BD340" s="30"/>
      <c r="BE340" s="30"/>
      <c r="BF340" s="27"/>
      <c r="BG340" s="27"/>
      <c r="BH340" s="28" t="str">
        <f aca="false">IF(COUNT(BC340:BE340)=0,"",IF(MIN(BC340:BE340)&lt;=-2.5,"Yes","No"))</f>
        <v/>
      </c>
      <c r="BI340" s="27"/>
      <c r="BJ340" s="29"/>
      <c r="BK340" s="27"/>
      <c r="BL340" s="27"/>
      <c r="BM340" s="27"/>
      <c r="BN340" s="28" t="str">
        <f aca="false">IF(OR(AX340="Yes",BI340="Yes"),"Yes",IF(AND(AX340="No",BI340="No"),"No",IF(AND(AX340="",BI340=""),"","Unknown")))</f>
        <v/>
      </c>
      <c r="BO340" s="31" t="str">
        <f aca="false">IF(COUNT(AY340,BJ340)=0,"",MIN(AY340,BJ340))</f>
        <v/>
      </c>
      <c r="BP340" s="29"/>
      <c r="BQ340" s="29"/>
      <c r="BR340" s="29"/>
      <c r="BS340" s="28" t="str">
        <f aca="false">IF(AND(N(BP340)&gt;0,N(BR340)&gt;0),BR340-BP340,"")</f>
        <v/>
      </c>
      <c r="BT340" s="28" t="str">
        <f aca="false">IF(BS340="","",ROUND(BS340/365.25,2))</f>
        <v/>
      </c>
      <c r="BU340" s="28" t="str">
        <f aca="false">IF(BS340="","",IF(BS340&gt;=730.5,"Yes","No"))</f>
        <v/>
      </c>
      <c r="BV340" s="27"/>
      <c r="BW340" s="29"/>
      <c r="BX340" s="27"/>
      <c r="BY340" s="27"/>
      <c r="BZ340" s="28" t="str">
        <f aca="false">IF(N(E340)=0,"",IF(E340&lt;65,"Under 65","≥65"))</f>
        <v/>
      </c>
      <c r="CA340" s="28" t="str">
        <f aca="false">IF(OR(AC340="Yes",AC340="No"),AC340,"")</f>
        <v/>
      </c>
      <c r="CB340" s="28" t="str">
        <f aca="false">IF(OR(AD340="Yes",AD340="No"),AD340,"")</f>
        <v/>
      </c>
      <c r="CC340" s="28" t="str">
        <f aca="false">IF(F340="","",F340)</f>
        <v/>
      </c>
      <c r="CD340" s="27"/>
      <c r="CE340" s="27"/>
    </row>
    <row r="341" customFormat="false" ht="15" hidden="false" customHeight="false" outlineLevel="0" collapsed="false">
      <c r="A341" s="27"/>
      <c r="B341" s="27"/>
      <c r="C341" s="27"/>
      <c r="D341" s="27"/>
      <c r="E341" s="27"/>
      <c r="F341" s="27"/>
      <c r="G341" s="27"/>
      <c r="H341" s="27"/>
      <c r="I341" s="27"/>
      <c r="J341" s="28" t="str">
        <f aca="false">IF(AND(N(H341)&gt;0,N(I341)&gt;0),ROUND(I341/(H341/100)^2,1),"")</f>
        <v/>
      </c>
      <c r="K341" s="27"/>
      <c r="L341" s="27"/>
      <c r="M341" s="27"/>
      <c r="N341" s="27"/>
      <c r="O341" s="27"/>
      <c r="P341" s="27"/>
      <c r="Q341" s="27"/>
      <c r="R341" s="29"/>
      <c r="S341" s="29"/>
      <c r="T341" s="27"/>
      <c r="U341" s="28" t="str">
        <f aca="false">IF(N(T341)=0,"",IF(T341&lt;12,"Under 12 months",IF(T341&lt;36,"12-35 months",IF(T341&lt;60,"36-59 months","≥60 months"))))</f>
        <v/>
      </c>
      <c r="V341" s="27"/>
      <c r="W341" s="30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9"/>
      <c r="AT341" s="30"/>
      <c r="AU341" s="30"/>
      <c r="AV341" s="30"/>
      <c r="AW341" s="27"/>
      <c r="AX341" s="27"/>
      <c r="AY341" s="29"/>
      <c r="AZ341" s="27"/>
      <c r="BA341" s="27"/>
      <c r="BB341" s="29"/>
      <c r="BC341" s="30"/>
      <c r="BD341" s="30"/>
      <c r="BE341" s="30"/>
      <c r="BF341" s="27"/>
      <c r="BG341" s="27"/>
      <c r="BH341" s="28" t="str">
        <f aca="false">IF(COUNT(BC341:BE341)=0,"",IF(MIN(BC341:BE341)&lt;=-2.5,"Yes","No"))</f>
        <v/>
      </c>
      <c r="BI341" s="27"/>
      <c r="BJ341" s="29"/>
      <c r="BK341" s="27"/>
      <c r="BL341" s="27"/>
      <c r="BM341" s="27"/>
      <c r="BN341" s="28" t="str">
        <f aca="false">IF(OR(AX341="Yes",BI341="Yes"),"Yes",IF(AND(AX341="No",BI341="No"),"No",IF(AND(AX341="",BI341=""),"","Unknown")))</f>
        <v/>
      </c>
      <c r="BO341" s="31" t="str">
        <f aca="false">IF(COUNT(AY341,BJ341)=0,"",MIN(AY341,BJ341))</f>
        <v/>
      </c>
      <c r="BP341" s="29"/>
      <c r="BQ341" s="29"/>
      <c r="BR341" s="29"/>
      <c r="BS341" s="28" t="str">
        <f aca="false">IF(AND(N(BP341)&gt;0,N(BR341)&gt;0),BR341-BP341,"")</f>
        <v/>
      </c>
      <c r="BT341" s="28" t="str">
        <f aca="false">IF(BS341="","",ROUND(BS341/365.25,2))</f>
        <v/>
      </c>
      <c r="BU341" s="28" t="str">
        <f aca="false">IF(BS341="","",IF(BS341&gt;=730.5,"Yes","No"))</f>
        <v/>
      </c>
      <c r="BV341" s="27"/>
      <c r="BW341" s="29"/>
      <c r="BX341" s="27"/>
      <c r="BY341" s="27"/>
      <c r="BZ341" s="28" t="str">
        <f aca="false">IF(N(E341)=0,"",IF(E341&lt;65,"Under 65","≥65"))</f>
        <v/>
      </c>
      <c r="CA341" s="28" t="str">
        <f aca="false">IF(OR(AC341="Yes",AC341="No"),AC341,"")</f>
        <v/>
      </c>
      <c r="CB341" s="28" t="str">
        <f aca="false">IF(OR(AD341="Yes",AD341="No"),AD341,"")</f>
        <v/>
      </c>
      <c r="CC341" s="28" t="str">
        <f aca="false">IF(F341="","",F341)</f>
        <v/>
      </c>
      <c r="CD341" s="27"/>
      <c r="CE341" s="27"/>
    </row>
    <row r="342" customFormat="false" ht="15" hidden="false" customHeight="false" outlineLevel="0" collapsed="false">
      <c r="A342" s="27"/>
      <c r="B342" s="27"/>
      <c r="C342" s="27"/>
      <c r="D342" s="27"/>
      <c r="E342" s="27"/>
      <c r="F342" s="27"/>
      <c r="G342" s="27"/>
      <c r="H342" s="27"/>
      <c r="I342" s="27"/>
      <c r="J342" s="28" t="str">
        <f aca="false">IF(AND(N(H342)&gt;0,N(I342)&gt;0),ROUND(I342/(H342/100)^2,1),"")</f>
        <v/>
      </c>
      <c r="K342" s="27"/>
      <c r="L342" s="27"/>
      <c r="M342" s="27"/>
      <c r="N342" s="27"/>
      <c r="O342" s="27"/>
      <c r="P342" s="27"/>
      <c r="Q342" s="27"/>
      <c r="R342" s="29"/>
      <c r="S342" s="29"/>
      <c r="T342" s="27"/>
      <c r="U342" s="28" t="str">
        <f aca="false">IF(N(T342)=0,"",IF(T342&lt;12,"Under 12 months",IF(T342&lt;36,"12-35 months",IF(T342&lt;60,"36-59 months","≥60 months"))))</f>
        <v/>
      </c>
      <c r="V342" s="27"/>
      <c r="W342" s="30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9"/>
      <c r="AT342" s="30"/>
      <c r="AU342" s="30"/>
      <c r="AV342" s="30"/>
      <c r="AW342" s="27"/>
      <c r="AX342" s="27"/>
      <c r="AY342" s="29"/>
      <c r="AZ342" s="27"/>
      <c r="BA342" s="27"/>
      <c r="BB342" s="29"/>
      <c r="BC342" s="30"/>
      <c r="BD342" s="30"/>
      <c r="BE342" s="30"/>
      <c r="BF342" s="27"/>
      <c r="BG342" s="27"/>
      <c r="BH342" s="28" t="str">
        <f aca="false">IF(COUNT(BC342:BE342)=0,"",IF(MIN(BC342:BE342)&lt;=-2.5,"Yes","No"))</f>
        <v/>
      </c>
      <c r="BI342" s="27"/>
      <c r="BJ342" s="29"/>
      <c r="BK342" s="27"/>
      <c r="BL342" s="27"/>
      <c r="BM342" s="27"/>
      <c r="BN342" s="28" t="str">
        <f aca="false">IF(OR(AX342="Yes",BI342="Yes"),"Yes",IF(AND(AX342="No",BI342="No"),"No",IF(AND(AX342="",BI342=""),"","Unknown")))</f>
        <v/>
      </c>
      <c r="BO342" s="31" t="str">
        <f aca="false">IF(COUNT(AY342,BJ342)=0,"",MIN(AY342,BJ342))</f>
        <v/>
      </c>
      <c r="BP342" s="29"/>
      <c r="BQ342" s="29"/>
      <c r="BR342" s="29"/>
      <c r="BS342" s="28" t="str">
        <f aca="false">IF(AND(N(BP342)&gt;0,N(BR342)&gt;0),BR342-BP342,"")</f>
        <v/>
      </c>
      <c r="BT342" s="28" t="str">
        <f aca="false">IF(BS342="","",ROUND(BS342/365.25,2))</f>
        <v/>
      </c>
      <c r="BU342" s="28" t="str">
        <f aca="false">IF(BS342="","",IF(BS342&gt;=730.5,"Yes","No"))</f>
        <v/>
      </c>
      <c r="BV342" s="27"/>
      <c r="BW342" s="29"/>
      <c r="BX342" s="27"/>
      <c r="BY342" s="27"/>
      <c r="BZ342" s="28" t="str">
        <f aca="false">IF(N(E342)=0,"",IF(E342&lt;65,"Under 65","≥65"))</f>
        <v/>
      </c>
      <c r="CA342" s="28" t="str">
        <f aca="false">IF(OR(AC342="Yes",AC342="No"),AC342,"")</f>
        <v/>
      </c>
      <c r="CB342" s="28" t="str">
        <f aca="false">IF(OR(AD342="Yes",AD342="No"),AD342,"")</f>
        <v/>
      </c>
      <c r="CC342" s="28" t="str">
        <f aca="false">IF(F342="","",F342)</f>
        <v/>
      </c>
      <c r="CD342" s="27"/>
      <c r="CE342" s="27"/>
    </row>
    <row r="343" customFormat="false" ht="15" hidden="false" customHeight="false" outlineLevel="0" collapsed="false">
      <c r="A343" s="27"/>
      <c r="B343" s="27"/>
      <c r="C343" s="27"/>
      <c r="D343" s="27"/>
      <c r="E343" s="27"/>
      <c r="F343" s="27"/>
      <c r="G343" s="27"/>
      <c r="H343" s="27"/>
      <c r="I343" s="27"/>
      <c r="J343" s="28" t="str">
        <f aca="false">IF(AND(N(H343)&gt;0,N(I343)&gt;0),ROUND(I343/(H343/100)^2,1),"")</f>
        <v/>
      </c>
      <c r="K343" s="27"/>
      <c r="L343" s="27"/>
      <c r="M343" s="27"/>
      <c r="N343" s="27"/>
      <c r="O343" s="27"/>
      <c r="P343" s="27"/>
      <c r="Q343" s="27"/>
      <c r="R343" s="29"/>
      <c r="S343" s="29"/>
      <c r="T343" s="27"/>
      <c r="U343" s="28" t="str">
        <f aca="false">IF(N(T343)=0,"",IF(T343&lt;12,"Under 12 months",IF(T343&lt;36,"12-35 months",IF(T343&lt;60,"36-59 months","≥60 months"))))</f>
        <v/>
      </c>
      <c r="V343" s="27"/>
      <c r="W343" s="30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9"/>
      <c r="AT343" s="30"/>
      <c r="AU343" s="30"/>
      <c r="AV343" s="30"/>
      <c r="AW343" s="27"/>
      <c r="AX343" s="27"/>
      <c r="AY343" s="29"/>
      <c r="AZ343" s="27"/>
      <c r="BA343" s="27"/>
      <c r="BB343" s="29"/>
      <c r="BC343" s="30"/>
      <c r="BD343" s="30"/>
      <c r="BE343" s="30"/>
      <c r="BF343" s="27"/>
      <c r="BG343" s="27"/>
      <c r="BH343" s="28" t="str">
        <f aca="false">IF(COUNT(BC343:BE343)=0,"",IF(MIN(BC343:BE343)&lt;=-2.5,"Yes","No"))</f>
        <v/>
      </c>
      <c r="BI343" s="27"/>
      <c r="BJ343" s="29"/>
      <c r="BK343" s="27"/>
      <c r="BL343" s="27"/>
      <c r="BM343" s="27"/>
      <c r="BN343" s="28" t="str">
        <f aca="false">IF(OR(AX343="Yes",BI343="Yes"),"Yes",IF(AND(AX343="No",BI343="No"),"No",IF(AND(AX343="",BI343=""),"","Unknown")))</f>
        <v/>
      </c>
      <c r="BO343" s="31" t="str">
        <f aca="false">IF(COUNT(AY343,BJ343)=0,"",MIN(AY343,BJ343))</f>
        <v/>
      </c>
      <c r="BP343" s="29"/>
      <c r="BQ343" s="29"/>
      <c r="BR343" s="29"/>
      <c r="BS343" s="28" t="str">
        <f aca="false">IF(AND(N(BP343)&gt;0,N(BR343)&gt;0),BR343-BP343,"")</f>
        <v/>
      </c>
      <c r="BT343" s="28" t="str">
        <f aca="false">IF(BS343="","",ROUND(BS343/365.25,2))</f>
        <v/>
      </c>
      <c r="BU343" s="28" t="str">
        <f aca="false">IF(BS343="","",IF(BS343&gt;=730.5,"Yes","No"))</f>
        <v/>
      </c>
      <c r="BV343" s="27"/>
      <c r="BW343" s="29"/>
      <c r="BX343" s="27"/>
      <c r="BY343" s="27"/>
      <c r="BZ343" s="28" t="str">
        <f aca="false">IF(N(E343)=0,"",IF(E343&lt;65,"Under 65","≥65"))</f>
        <v/>
      </c>
      <c r="CA343" s="28" t="str">
        <f aca="false">IF(OR(AC343="Yes",AC343="No"),AC343,"")</f>
        <v/>
      </c>
      <c r="CB343" s="28" t="str">
        <f aca="false">IF(OR(AD343="Yes",AD343="No"),AD343,"")</f>
        <v/>
      </c>
      <c r="CC343" s="28" t="str">
        <f aca="false">IF(F343="","",F343)</f>
        <v/>
      </c>
      <c r="CD343" s="27"/>
      <c r="CE343" s="27"/>
    </row>
    <row r="344" customFormat="false" ht="15" hidden="false" customHeight="false" outlineLevel="0" collapsed="false">
      <c r="A344" s="27"/>
      <c r="B344" s="27"/>
      <c r="C344" s="27"/>
      <c r="D344" s="27"/>
      <c r="E344" s="27"/>
      <c r="F344" s="27"/>
      <c r="G344" s="27"/>
      <c r="H344" s="27"/>
      <c r="I344" s="27"/>
      <c r="J344" s="28" t="str">
        <f aca="false">IF(AND(N(H344)&gt;0,N(I344)&gt;0),ROUND(I344/(H344/100)^2,1),"")</f>
        <v/>
      </c>
      <c r="K344" s="27"/>
      <c r="L344" s="27"/>
      <c r="M344" s="27"/>
      <c r="N344" s="27"/>
      <c r="O344" s="27"/>
      <c r="P344" s="27"/>
      <c r="Q344" s="27"/>
      <c r="R344" s="29"/>
      <c r="S344" s="29"/>
      <c r="T344" s="27"/>
      <c r="U344" s="28" t="str">
        <f aca="false">IF(N(T344)=0,"",IF(T344&lt;12,"Under 12 months",IF(T344&lt;36,"12-35 months",IF(T344&lt;60,"36-59 months","≥60 months"))))</f>
        <v/>
      </c>
      <c r="V344" s="27"/>
      <c r="W344" s="30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9"/>
      <c r="AT344" s="30"/>
      <c r="AU344" s="30"/>
      <c r="AV344" s="30"/>
      <c r="AW344" s="27"/>
      <c r="AX344" s="27"/>
      <c r="AY344" s="29"/>
      <c r="AZ344" s="27"/>
      <c r="BA344" s="27"/>
      <c r="BB344" s="29"/>
      <c r="BC344" s="30"/>
      <c r="BD344" s="30"/>
      <c r="BE344" s="30"/>
      <c r="BF344" s="27"/>
      <c r="BG344" s="27"/>
      <c r="BH344" s="28" t="str">
        <f aca="false">IF(COUNT(BC344:BE344)=0,"",IF(MIN(BC344:BE344)&lt;=-2.5,"Yes","No"))</f>
        <v/>
      </c>
      <c r="BI344" s="27"/>
      <c r="BJ344" s="29"/>
      <c r="BK344" s="27"/>
      <c r="BL344" s="27"/>
      <c r="BM344" s="27"/>
      <c r="BN344" s="28" t="str">
        <f aca="false">IF(OR(AX344="Yes",BI344="Yes"),"Yes",IF(AND(AX344="No",BI344="No"),"No",IF(AND(AX344="",BI344=""),"","Unknown")))</f>
        <v/>
      </c>
      <c r="BO344" s="31" t="str">
        <f aca="false">IF(COUNT(AY344,BJ344)=0,"",MIN(AY344,BJ344))</f>
        <v/>
      </c>
      <c r="BP344" s="29"/>
      <c r="BQ344" s="29"/>
      <c r="BR344" s="29"/>
      <c r="BS344" s="28" t="str">
        <f aca="false">IF(AND(N(BP344)&gt;0,N(BR344)&gt;0),BR344-BP344,"")</f>
        <v/>
      </c>
      <c r="BT344" s="28" t="str">
        <f aca="false">IF(BS344="","",ROUND(BS344/365.25,2))</f>
        <v/>
      </c>
      <c r="BU344" s="28" t="str">
        <f aca="false">IF(BS344="","",IF(BS344&gt;=730.5,"Yes","No"))</f>
        <v/>
      </c>
      <c r="BV344" s="27"/>
      <c r="BW344" s="29"/>
      <c r="BX344" s="27"/>
      <c r="BY344" s="27"/>
      <c r="BZ344" s="28" t="str">
        <f aca="false">IF(N(E344)=0,"",IF(E344&lt;65,"Under 65","≥65"))</f>
        <v/>
      </c>
      <c r="CA344" s="28" t="str">
        <f aca="false">IF(OR(AC344="Yes",AC344="No"),AC344,"")</f>
        <v/>
      </c>
      <c r="CB344" s="28" t="str">
        <f aca="false">IF(OR(AD344="Yes",AD344="No"),AD344,"")</f>
        <v/>
      </c>
      <c r="CC344" s="28" t="str">
        <f aca="false">IF(F344="","",F344)</f>
        <v/>
      </c>
      <c r="CD344" s="27"/>
      <c r="CE344" s="27"/>
    </row>
    <row r="345" customFormat="false" ht="15" hidden="false" customHeight="false" outlineLevel="0" collapsed="false">
      <c r="A345" s="27"/>
      <c r="B345" s="27"/>
      <c r="C345" s="27"/>
      <c r="D345" s="27"/>
      <c r="E345" s="27"/>
      <c r="F345" s="27"/>
      <c r="G345" s="27"/>
      <c r="H345" s="27"/>
      <c r="I345" s="27"/>
      <c r="J345" s="28" t="str">
        <f aca="false">IF(AND(N(H345)&gt;0,N(I345)&gt;0),ROUND(I345/(H345/100)^2,1),"")</f>
        <v/>
      </c>
      <c r="K345" s="27"/>
      <c r="L345" s="27"/>
      <c r="M345" s="27"/>
      <c r="N345" s="27"/>
      <c r="O345" s="27"/>
      <c r="P345" s="27"/>
      <c r="Q345" s="27"/>
      <c r="R345" s="29"/>
      <c r="S345" s="29"/>
      <c r="T345" s="27"/>
      <c r="U345" s="28" t="str">
        <f aca="false">IF(N(T345)=0,"",IF(T345&lt;12,"Under 12 months",IF(T345&lt;36,"12-35 months",IF(T345&lt;60,"36-59 months","≥60 months"))))</f>
        <v/>
      </c>
      <c r="V345" s="27"/>
      <c r="W345" s="30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9"/>
      <c r="AT345" s="30"/>
      <c r="AU345" s="30"/>
      <c r="AV345" s="30"/>
      <c r="AW345" s="27"/>
      <c r="AX345" s="27"/>
      <c r="AY345" s="29"/>
      <c r="AZ345" s="27"/>
      <c r="BA345" s="27"/>
      <c r="BB345" s="29"/>
      <c r="BC345" s="30"/>
      <c r="BD345" s="30"/>
      <c r="BE345" s="30"/>
      <c r="BF345" s="27"/>
      <c r="BG345" s="27"/>
      <c r="BH345" s="28" t="str">
        <f aca="false">IF(COUNT(BC345:BE345)=0,"",IF(MIN(BC345:BE345)&lt;=-2.5,"Yes","No"))</f>
        <v/>
      </c>
      <c r="BI345" s="27"/>
      <c r="BJ345" s="29"/>
      <c r="BK345" s="27"/>
      <c r="BL345" s="27"/>
      <c r="BM345" s="27"/>
      <c r="BN345" s="28" t="str">
        <f aca="false">IF(OR(AX345="Yes",BI345="Yes"),"Yes",IF(AND(AX345="No",BI345="No"),"No",IF(AND(AX345="",BI345=""),"","Unknown")))</f>
        <v/>
      </c>
      <c r="BO345" s="31" t="str">
        <f aca="false">IF(COUNT(AY345,BJ345)=0,"",MIN(AY345,BJ345))</f>
        <v/>
      </c>
      <c r="BP345" s="29"/>
      <c r="BQ345" s="29"/>
      <c r="BR345" s="29"/>
      <c r="BS345" s="28" t="str">
        <f aca="false">IF(AND(N(BP345)&gt;0,N(BR345)&gt;0),BR345-BP345,"")</f>
        <v/>
      </c>
      <c r="BT345" s="28" t="str">
        <f aca="false">IF(BS345="","",ROUND(BS345/365.25,2))</f>
        <v/>
      </c>
      <c r="BU345" s="28" t="str">
        <f aca="false">IF(BS345="","",IF(BS345&gt;=730.5,"Yes","No"))</f>
        <v/>
      </c>
      <c r="BV345" s="27"/>
      <c r="BW345" s="29"/>
      <c r="BX345" s="27"/>
      <c r="BY345" s="27"/>
      <c r="BZ345" s="28" t="str">
        <f aca="false">IF(N(E345)=0,"",IF(E345&lt;65,"Under 65","≥65"))</f>
        <v/>
      </c>
      <c r="CA345" s="28" t="str">
        <f aca="false">IF(OR(AC345="Yes",AC345="No"),AC345,"")</f>
        <v/>
      </c>
      <c r="CB345" s="28" t="str">
        <f aca="false">IF(OR(AD345="Yes",AD345="No"),AD345,"")</f>
        <v/>
      </c>
      <c r="CC345" s="28" t="str">
        <f aca="false">IF(F345="","",F345)</f>
        <v/>
      </c>
      <c r="CD345" s="27"/>
      <c r="CE345" s="27"/>
    </row>
    <row r="346" customFormat="false" ht="15" hidden="false" customHeight="false" outlineLevel="0" collapsed="false">
      <c r="A346" s="27"/>
      <c r="B346" s="27"/>
      <c r="C346" s="27"/>
      <c r="D346" s="27"/>
      <c r="E346" s="27"/>
      <c r="F346" s="27"/>
      <c r="G346" s="27"/>
      <c r="H346" s="27"/>
      <c r="I346" s="27"/>
      <c r="J346" s="28" t="str">
        <f aca="false">IF(AND(N(H346)&gt;0,N(I346)&gt;0),ROUND(I346/(H346/100)^2,1),"")</f>
        <v/>
      </c>
      <c r="K346" s="27"/>
      <c r="L346" s="27"/>
      <c r="M346" s="27"/>
      <c r="N346" s="27"/>
      <c r="O346" s="27"/>
      <c r="P346" s="27"/>
      <c r="Q346" s="27"/>
      <c r="R346" s="29"/>
      <c r="S346" s="29"/>
      <c r="T346" s="27"/>
      <c r="U346" s="28" t="str">
        <f aca="false">IF(N(T346)=0,"",IF(T346&lt;12,"Under 12 months",IF(T346&lt;36,"12-35 months",IF(T346&lt;60,"36-59 months","≥60 months"))))</f>
        <v/>
      </c>
      <c r="V346" s="27"/>
      <c r="W346" s="30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9"/>
      <c r="AT346" s="30"/>
      <c r="AU346" s="30"/>
      <c r="AV346" s="30"/>
      <c r="AW346" s="27"/>
      <c r="AX346" s="27"/>
      <c r="AY346" s="29"/>
      <c r="AZ346" s="27"/>
      <c r="BA346" s="27"/>
      <c r="BB346" s="29"/>
      <c r="BC346" s="30"/>
      <c r="BD346" s="30"/>
      <c r="BE346" s="30"/>
      <c r="BF346" s="27"/>
      <c r="BG346" s="27"/>
      <c r="BH346" s="28" t="str">
        <f aca="false">IF(COUNT(BC346:BE346)=0,"",IF(MIN(BC346:BE346)&lt;=-2.5,"Yes","No"))</f>
        <v/>
      </c>
      <c r="BI346" s="27"/>
      <c r="BJ346" s="29"/>
      <c r="BK346" s="27"/>
      <c r="BL346" s="27"/>
      <c r="BM346" s="27"/>
      <c r="BN346" s="28" t="str">
        <f aca="false">IF(OR(AX346="Yes",BI346="Yes"),"Yes",IF(AND(AX346="No",BI346="No"),"No",IF(AND(AX346="",BI346=""),"","Unknown")))</f>
        <v/>
      </c>
      <c r="BO346" s="31" t="str">
        <f aca="false">IF(COUNT(AY346,BJ346)=0,"",MIN(AY346,BJ346))</f>
        <v/>
      </c>
      <c r="BP346" s="29"/>
      <c r="BQ346" s="29"/>
      <c r="BR346" s="29"/>
      <c r="BS346" s="28" t="str">
        <f aca="false">IF(AND(N(BP346)&gt;0,N(BR346)&gt;0),BR346-BP346,"")</f>
        <v/>
      </c>
      <c r="BT346" s="28" t="str">
        <f aca="false">IF(BS346="","",ROUND(BS346/365.25,2))</f>
        <v/>
      </c>
      <c r="BU346" s="28" t="str">
        <f aca="false">IF(BS346="","",IF(BS346&gt;=730.5,"Yes","No"))</f>
        <v/>
      </c>
      <c r="BV346" s="27"/>
      <c r="BW346" s="29"/>
      <c r="BX346" s="27"/>
      <c r="BY346" s="27"/>
      <c r="BZ346" s="28" t="str">
        <f aca="false">IF(N(E346)=0,"",IF(E346&lt;65,"Under 65","≥65"))</f>
        <v/>
      </c>
      <c r="CA346" s="28" t="str">
        <f aca="false">IF(OR(AC346="Yes",AC346="No"),AC346,"")</f>
        <v/>
      </c>
      <c r="CB346" s="28" t="str">
        <f aca="false">IF(OR(AD346="Yes",AD346="No"),AD346,"")</f>
        <v/>
      </c>
      <c r="CC346" s="28" t="str">
        <f aca="false">IF(F346="","",F346)</f>
        <v/>
      </c>
      <c r="CD346" s="27"/>
      <c r="CE346" s="27"/>
    </row>
    <row r="347" customFormat="false" ht="15" hidden="false" customHeight="false" outlineLevel="0" collapsed="false">
      <c r="A347" s="27"/>
      <c r="B347" s="27"/>
      <c r="C347" s="27"/>
      <c r="D347" s="27"/>
      <c r="E347" s="27"/>
      <c r="F347" s="27"/>
      <c r="G347" s="27"/>
      <c r="H347" s="27"/>
      <c r="I347" s="27"/>
      <c r="J347" s="28" t="str">
        <f aca="false">IF(AND(N(H347)&gt;0,N(I347)&gt;0),ROUND(I347/(H347/100)^2,1),"")</f>
        <v/>
      </c>
      <c r="K347" s="27"/>
      <c r="L347" s="27"/>
      <c r="M347" s="27"/>
      <c r="N347" s="27"/>
      <c r="O347" s="27"/>
      <c r="P347" s="27"/>
      <c r="Q347" s="27"/>
      <c r="R347" s="29"/>
      <c r="S347" s="29"/>
      <c r="T347" s="27"/>
      <c r="U347" s="28" t="str">
        <f aca="false">IF(N(T347)=0,"",IF(T347&lt;12,"Under 12 months",IF(T347&lt;36,"12-35 months",IF(T347&lt;60,"36-59 months","≥60 months"))))</f>
        <v/>
      </c>
      <c r="V347" s="27"/>
      <c r="W347" s="30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9"/>
      <c r="AT347" s="30"/>
      <c r="AU347" s="30"/>
      <c r="AV347" s="30"/>
      <c r="AW347" s="27"/>
      <c r="AX347" s="27"/>
      <c r="AY347" s="29"/>
      <c r="AZ347" s="27"/>
      <c r="BA347" s="27"/>
      <c r="BB347" s="29"/>
      <c r="BC347" s="30"/>
      <c r="BD347" s="30"/>
      <c r="BE347" s="30"/>
      <c r="BF347" s="27"/>
      <c r="BG347" s="27"/>
      <c r="BH347" s="28" t="str">
        <f aca="false">IF(COUNT(BC347:BE347)=0,"",IF(MIN(BC347:BE347)&lt;=-2.5,"Yes","No"))</f>
        <v/>
      </c>
      <c r="BI347" s="27"/>
      <c r="BJ347" s="29"/>
      <c r="BK347" s="27"/>
      <c r="BL347" s="27"/>
      <c r="BM347" s="27"/>
      <c r="BN347" s="28" t="str">
        <f aca="false">IF(OR(AX347="Yes",BI347="Yes"),"Yes",IF(AND(AX347="No",BI347="No"),"No",IF(AND(AX347="",BI347=""),"","Unknown")))</f>
        <v/>
      </c>
      <c r="BO347" s="31" t="str">
        <f aca="false">IF(COUNT(AY347,BJ347)=0,"",MIN(AY347,BJ347))</f>
        <v/>
      </c>
      <c r="BP347" s="29"/>
      <c r="BQ347" s="29"/>
      <c r="BR347" s="29"/>
      <c r="BS347" s="28" t="str">
        <f aca="false">IF(AND(N(BP347)&gt;0,N(BR347)&gt;0),BR347-BP347,"")</f>
        <v/>
      </c>
      <c r="BT347" s="28" t="str">
        <f aca="false">IF(BS347="","",ROUND(BS347/365.25,2))</f>
        <v/>
      </c>
      <c r="BU347" s="28" t="str">
        <f aca="false">IF(BS347="","",IF(BS347&gt;=730.5,"Yes","No"))</f>
        <v/>
      </c>
      <c r="BV347" s="27"/>
      <c r="BW347" s="29"/>
      <c r="BX347" s="27"/>
      <c r="BY347" s="27"/>
      <c r="BZ347" s="28" t="str">
        <f aca="false">IF(N(E347)=0,"",IF(E347&lt;65,"Under 65","≥65"))</f>
        <v/>
      </c>
      <c r="CA347" s="28" t="str">
        <f aca="false">IF(OR(AC347="Yes",AC347="No"),AC347,"")</f>
        <v/>
      </c>
      <c r="CB347" s="28" t="str">
        <f aca="false">IF(OR(AD347="Yes",AD347="No"),AD347,"")</f>
        <v/>
      </c>
      <c r="CC347" s="28" t="str">
        <f aca="false">IF(F347="","",F347)</f>
        <v/>
      </c>
      <c r="CD347" s="27"/>
      <c r="CE347" s="27"/>
    </row>
    <row r="348" customFormat="false" ht="15" hidden="false" customHeight="false" outlineLevel="0" collapsed="false">
      <c r="A348" s="27"/>
      <c r="B348" s="27"/>
      <c r="C348" s="27"/>
      <c r="D348" s="27"/>
      <c r="E348" s="27"/>
      <c r="F348" s="27"/>
      <c r="G348" s="27"/>
      <c r="H348" s="27"/>
      <c r="I348" s="27"/>
      <c r="J348" s="28" t="str">
        <f aca="false">IF(AND(N(H348)&gt;0,N(I348)&gt;0),ROUND(I348/(H348/100)^2,1),"")</f>
        <v/>
      </c>
      <c r="K348" s="27"/>
      <c r="L348" s="27"/>
      <c r="M348" s="27"/>
      <c r="N348" s="27"/>
      <c r="O348" s="27"/>
      <c r="P348" s="27"/>
      <c r="Q348" s="27"/>
      <c r="R348" s="29"/>
      <c r="S348" s="29"/>
      <c r="T348" s="27"/>
      <c r="U348" s="28" t="str">
        <f aca="false">IF(N(T348)=0,"",IF(T348&lt;12,"Under 12 months",IF(T348&lt;36,"12-35 months",IF(T348&lt;60,"36-59 months","≥60 months"))))</f>
        <v/>
      </c>
      <c r="V348" s="27"/>
      <c r="W348" s="30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9"/>
      <c r="AT348" s="30"/>
      <c r="AU348" s="30"/>
      <c r="AV348" s="30"/>
      <c r="AW348" s="27"/>
      <c r="AX348" s="27"/>
      <c r="AY348" s="29"/>
      <c r="AZ348" s="27"/>
      <c r="BA348" s="27"/>
      <c r="BB348" s="29"/>
      <c r="BC348" s="30"/>
      <c r="BD348" s="30"/>
      <c r="BE348" s="30"/>
      <c r="BF348" s="27"/>
      <c r="BG348" s="27"/>
      <c r="BH348" s="28" t="str">
        <f aca="false">IF(COUNT(BC348:BE348)=0,"",IF(MIN(BC348:BE348)&lt;=-2.5,"Yes","No"))</f>
        <v/>
      </c>
      <c r="BI348" s="27"/>
      <c r="BJ348" s="29"/>
      <c r="BK348" s="27"/>
      <c r="BL348" s="27"/>
      <c r="BM348" s="27"/>
      <c r="BN348" s="28" t="str">
        <f aca="false">IF(OR(AX348="Yes",BI348="Yes"),"Yes",IF(AND(AX348="No",BI348="No"),"No",IF(AND(AX348="",BI348=""),"","Unknown")))</f>
        <v/>
      </c>
      <c r="BO348" s="31" t="str">
        <f aca="false">IF(COUNT(AY348,BJ348)=0,"",MIN(AY348,BJ348))</f>
        <v/>
      </c>
      <c r="BP348" s="29"/>
      <c r="BQ348" s="29"/>
      <c r="BR348" s="29"/>
      <c r="BS348" s="28" t="str">
        <f aca="false">IF(AND(N(BP348)&gt;0,N(BR348)&gt;0),BR348-BP348,"")</f>
        <v/>
      </c>
      <c r="BT348" s="28" t="str">
        <f aca="false">IF(BS348="","",ROUND(BS348/365.25,2))</f>
        <v/>
      </c>
      <c r="BU348" s="28" t="str">
        <f aca="false">IF(BS348="","",IF(BS348&gt;=730.5,"Yes","No"))</f>
        <v/>
      </c>
      <c r="BV348" s="27"/>
      <c r="BW348" s="29"/>
      <c r="BX348" s="27"/>
      <c r="BY348" s="27"/>
      <c r="BZ348" s="28" t="str">
        <f aca="false">IF(N(E348)=0,"",IF(E348&lt;65,"Under 65","≥65"))</f>
        <v/>
      </c>
      <c r="CA348" s="28" t="str">
        <f aca="false">IF(OR(AC348="Yes",AC348="No"),AC348,"")</f>
        <v/>
      </c>
      <c r="CB348" s="28" t="str">
        <f aca="false">IF(OR(AD348="Yes",AD348="No"),AD348,"")</f>
        <v/>
      </c>
      <c r="CC348" s="28" t="str">
        <f aca="false">IF(F348="","",F348)</f>
        <v/>
      </c>
      <c r="CD348" s="27"/>
      <c r="CE348" s="27"/>
    </row>
    <row r="349" customFormat="false" ht="15" hidden="false" customHeight="false" outlineLevel="0" collapsed="false">
      <c r="A349" s="27"/>
      <c r="B349" s="27"/>
      <c r="C349" s="27"/>
      <c r="D349" s="27"/>
      <c r="E349" s="27"/>
      <c r="F349" s="27"/>
      <c r="G349" s="27"/>
      <c r="H349" s="27"/>
      <c r="I349" s="27"/>
      <c r="J349" s="28" t="str">
        <f aca="false">IF(AND(N(H349)&gt;0,N(I349)&gt;0),ROUND(I349/(H349/100)^2,1),"")</f>
        <v/>
      </c>
      <c r="K349" s="27"/>
      <c r="L349" s="27"/>
      <c r="M349" s="27"/>
      <c r="N349" s="27"/>
      <c r="O349" s="27"/>
      <c r="P349" s="27"/>
      <c r="Q349" s="27"/>
      <c r="R349" s="29"/>
      <c r="S349" s="29"/>
      <c r="T349" s="27"/>
      <c r="U349" s="28" t="str">
        <f aca="false">IF(N(T349)=0,"",IF(T349&lt;12,"Under 12 months",IF(T349&lt;36,"12-35 months",IF(T349&lt;60,"36-59 months","≥60 months"))))</f>
        <v/>
      </c>
      <c r="V349" s="27"/>
      <c r="W349" s="30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9"/>
      <c r="AT349" s="30"/>
      <c r="AU349" s="30"/>
      <c r="AV349" s="30"/>
      <c r="AW349" s="27"/>
      <c r="AX349" s="27"/>
      <c r="AY349" s="29"/>
      <c r="AZ349" s="27"/>
      <c r="BA349" s="27"/>
      <c r="BB349" s="29"/>
      <c r="BC349" s="30"/>
      <c r="BD349" s="30"/>
      <c r="BE349" s="30"/>
      <c r="BF349" s="27"/>
      <c r="BG349" s="27"/>
      <c r="BH349" s="28" t="str">
        <f aca="false">IF(COUNT(BC349:BE349)=0,"",IF(MIN(BC349:BE349)&lt;=-2.5,"Yes","No"))</f>
        <v/>
      </c>
      <c r="BI349" s="27"/>
      <c r="BJ349" s="29"/>
      <c r="BK349" s="27"/>
      <c r="BL349" s="27"/>
      <c r="BM349" s="27"/>
      <c r="BN349" s="28" t="str">
        <f aca="false">IF(OR(AX349="Yes",BI349="Yes"),"Yes",IF(AND(AX349="No",BI349="No"),"No",IF(AND(AX349="",BI349=""),"","Unknown")))</f>
        <v/>
      </c>
      <c r="BO349" s="31" t="str">
        <f aca="false">IF(COUNT(AY349,BJ349)=0,"",MIN(AY349,BJ349))</f>
        <v/>
      </c>
      <c r="BP349" s="29"/>
      <c r="BQ349" s="29"/>
      <c r="BR349" s="29"/>
      <c r="BS349" s="28" t="str">
        <f aca="false">IF(AND(N(BP349)&gt;0,N(BR349)&gt;0),BR349-BP349,"")</f>
        <v/>
      </c>
      <c r="BT349" s="28" t="str">
        <f aca="false">IF(BS349="","",ROUND(BS349/365.25,2))</f>
        <v/>
      </c>
      <c r="BU349" s="28" t="str">
        <f aca="false">IF(BS349="","",IF(BS349&gt;=730.5,"Yes","No"))</f>
        <v/>
      </c>
      <c r="BV349" s="27"/>
      <c r="BW349" s="29"/>
      <c r="BX349" s="27"/>
      <c r="BY349" s="27"/>
      <c r="BZ349" s="28" t="str">
        <f aca="false">IF(N(E349)=0,"",IF(E349&lt;65,"Under 65","≥65"))</f>
        <v/>
      </c>
      <c r="CA349" s="28" t="str">
        <f aca="false">IF(OR(AC349="Yes",AC349="No"),AC349,"")</f>
        <v/>
      </c>
      <c r="CB349" s="28" t="str">
        <f aca="false">IF(OR(AD349="Yes",AD349="No"),AD349,"")</f>
        <v/>
      </c>
      <c r="CC349" s="28" t="str">
        <f aca="false">IF(F349="","",F349)</f>
        <v/>
      </c>
      <c r="CD349" s="27"/>
      <c r="CE349" s="27"/>
    </row>
    <row r="350" customFormat="false" ht="15" hidden="false" customHeight="false" outlineLevel="0" collapsed="false">
      <c r="A350" s="27"/>
      <c r="B350" s="27"/>
      <c r="C350" s="27"/>
      <c r="D350" s="27"/>
      <c r="E350" s="27"/>
      <c r="F350" s="27"/>
      <c r="G350" s="27"/>
      <c r="H350" s="27"/>
      <c r="I350" s="27"/>
      <c r="J350" s="28" t="str">
        <f aca="false">IF(AND(N(H350)&gt;0,N(I350)&gt;0),ROUND(I350/(H350/100)^2,1),"")</f>
        <v/>
      </c>
      <c r="K350" s="27"/>
      <c r="L350" s="27"/>
      <c r="M350" s="27"/>
      <c r="N350" s="27"/>
      <c r="O350" s="27"/>
      <c r="P350" s="27"/>
      <c r="Q350" s="27"/>
      <c r="R350" s="29"/>
      <c r="S350" s="29"/>
      <c r="T350" s="27"/>
      <c r="U350" s="28" t="str">
        <f aca="false">IF(N(T350)=0,"",IF(T350&lt;12,"Under 12 months",IF(T350&lt;36,"12-35 months",IF(T350&lt;60,"36-59 months","≥60 months"))))</f>
        <v/>
      </c>
      <c r="V350" s="27"/>
      <c r="W350" s="30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9"/>
      <c r="AT350" s="30"/>
      <c r="AU350" s="30"/>
      <c r="AV350" s="30"/>
      <c r="AW350" s="27"/>
      <c r="AX350" s="27"/>
      <c r="AY350" s="29"/>
      <c r="AZ350" s="27"/>
      <c r="BA350" s="27"/>
      <c r="BB350" s="29"/>
      <c r="BC350" s="30"/>
      <c r="BD350" s="30"/>
      <c r="BE350" s="30"/>
      <c r="BF350" s="27"/>
      <c r="BG350" s="27"/>
      <c r="BH350" s="28" t="str">
        <f aca="false">IF(COUNT(BC350:BE350)=0,"",IF(MIN(BC350:BE350)&lt;=-2.5,"Yes","No"))</f>
        <v/>
      </c>
      <c r="BI350" s="27"/>
      <c r="BJ350" s="29"/>
      <c r="BK350" s="27"/>
      <c r="BL350" s="27"/>
      <c r="BM350" s="27"/>
      <c r="BN350" s="28" t="str">
        <f aca="false">IF(OR(AX350="Yes",BI350="Yes"),"Yes",IF(AND(AX350="No",BI350="No"),"No",IF(AND(AX350="",BI350=""),"","Unknown")))</f>
        <v/>
      </c>
      <c r="BO350" s="31" t="str">
        <f aca="false">IF(COUNT(AY350,BJ350)=0,"",MIN(AY350,BJ350))</f>
        <v/>
      </c>
      <c r="BP350" s="29"/>
      <c r="BQ350" s="29"/>
      <c r="BR350" s="29"/>
      <c r="BS350" s="28" t="str">
        <f aca="false">IF(AND(N(BP350)&gt;0,N(BR350)&gt;0),BR350-BP350,"")</f>
        <v/>
      </c>
      <c r="BT350" s="28" t="str">
        <f aca="false">IF(BS350="","",ROUND(BS350/365.25,2))</f>
        <v/>
      </c>
      <c r="BU350" s="28" t="str">
        <f aca="false">IF(BS350="","",IF(BS350&gt;=730.5,"Yes","No"))</f>
        <v/>
      </c>
      <c r="BV350" s="27"/>
      <c r="BW350" s="29"/>
      <c r="BX350" s="27"/>
      <c r="BY350" s="27"/>
      <c r="BZ350" s="28" t="str">
        <f aca="false">IF(N(E350)=0,"",IF(E350&lt;65,"Under 65","≥65"))</f>
        <v/>
      </c>
      <c r="CA350" s="28" t="str">
        <f aca="false">IF(OR(AC350="Yes",AC350="No"),AC350,"")</f>
        <v/>
      </c>
      <c r="CB350" s="28" t="str">
        <f aca="false">IF(OR(AD350="Yes",AD350="No"),AD350,"")</f>
        <v/>
      </c>
      <c r="CC350" s="28" t="str">
        <f aca="false">IF(F350="","",F350)</f>
        <v/>
      </c>
      <c r="CD350" s="27"/>
      <c r="CE350" s="27"/>
    </row>
    <row r="351" customFormat="false" ht="15" hidden="false" customHeight="false" outlineLevel="0" collapsed="false">
      <c r="A351" s="27"/>
      <c r="B351" s="27"/>
      <c r="C351" s="27"/>
      <c r="D351" s="27"/>
      <c r="E351" s="27"/>
      <c r="F351" s="27"/>
      <c r="G351" s="27"/>
      <c r="H351" s="27"/>
      <c r="I351" s="27"/>
      <c r="J351" s="28" t="str">
        <f aca="false">IF(AND(N(H351)&gt;0,N(I351)&gt;0),ROUND(I351/(H351/100)^2,1),"")</f>
        <v/>
      </c>
      <c r="K351" s="27"/>
      <c r="L351" s="27"/>
      <c r="M351" s="27"/>
      <c r="N351" s="27"/>
      <c r="O351" s="27"/>
      <c r="P351" s="27"/>
      <c r="Q351" s="27"/>
      <c r="R351" s="29"/>
      <c r="S351" s="29"/>
      <c r="T351" s="27"/>
      <c r="U351" s="28" t="str">
        <f aca="false">IF(N(T351)=0,"",IF(T351&lt;12,"Under 12 months",IF(T351&lt;36,"12-35 months",IF(T351&lt;60,"36-59 months","≥60 months"))))</f>
        <v/>
      </c>
      <c r="V351" s="27"/>
      <c r="W351" s="30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9"/>
      <c r="AT351" s="30"/>
      <c r="AU351" s="30"/>
      <c r="AV351" s="30"/>
      <c r="AW351" s="27"/>
      <c r="AX351" s="27"/>
      <c r="AY351" s="29"/>
      <c r="AZ351" s="27"/>
      <c r="BA351" s="27"/>
      <c r="BB351" s="29"/>
      <c r="BC351" s="30"/>
      <c r="BD351" s="30"/>
      <c r="BE351" s="30"/>
      <c r="BF351" s="27"/>
      <c r="BG351" s="27"/>
      <c r="BH351" s="28" t="str">
        <f aca="false">IF(COUNT(BC351:BE351)=0,"",IF(MIN(BC351:BE351)&lt;=-2.5,"Yes","No"))</f>
        <v/>
      </c>
      <c r="BI351" s="27"/>
      <c r="BJ351" s="29"/>
      <c r="BK351" s="27"/>
      <c r="BL351" s="27"/>
      <c r="BM351" s="27"/>
      <c r="BN351" s="28" t="str">
        <f aca="false">IF(OR(AX351="Yes",BI351="Yes"),"Yes",IF(AND(AX351="No",BI351="No"),"No",IF(AND(AX351="",BI351=""),"","Unknown")))</f>
        <v/>
      </c>
      <c r="BO351" s="31" t="str">
        <f aca="false">IF(COUNT(AY351,BJ351)=0,"",MIN(AY351,BJ351))</f>
        <v/>
      </c>
      <c r="BP351" s="29"/>
      <c r="BQ351" s="29"/>
      <c r="BR351" s="29"/>
      <c r="BS351" s="28" t="str">
        <f aca="false">IF(AND(N(BP351)&gt;0,N(BR351)&gt;0),BR351-BP351,"")</f>
        <v/>
      </c>
      <c r="BT351" s="28" t="str">
        <f aca="false">IF(BS351="","",ROUND(BS351/365.25,2))</f>
        <v/>
      </c>
      <c r="BU351" s="28" t="str">
        <f aca="false">IF(BS351="","",IF(BS351&gt;=730.5,"Yes","No"))</f>
        <v/>
      </c>
      <c r="BV351" s="27"/>
      <c r="BW351" s="29"/>
      <c r="BX351" s="27"/>
      <c r="BY351" s="27"/>
      <c r="BZ351" s="28" t="str">
        <f aca="false">IF(N(E351)=0,"",IF(E351&lt;65,"Under 65","≥65"))</f>
        <v/>
      </c>
      <c r="CA351" s="28" t="str">
        <f aca="false">IF(OR(AC351="Yes",AC351="No"),AC351,"")</f>
        <v/>
      </c>
      <c r="CB351" s="28" t="str">
        <f aca="false">IF(OR(AD351="Yes",AD351="No"),AD351,"")</f>
        <v/>
      </c>
      <c r="CC351" s="28" t="str">
        <f aca="false">IF(F351="","",F351)</f>
        <v/>
      </c>
      <c r="CD351" s="27"/>
      <c r="CE351" s="27"/>
    </row>
    <row r="352" customFormat="false" ht="15" hidden="false" customHeight="false" outlineLevel="0" collapsed="false">
      <c r="A352" s="27"/>
      <c r="B352" s="27"/>
      <c r="C352" s="27"/>
      <c r="D352" s="27"/>
      <c r="E352" s="27"/>
      <c r="F352" s="27"/>
      <c r="G352" s="27"/>
      <c r="H352" s="27"/>
      <c r="I352" s="27"/>
      <c r="J352" s="28" t="str">
        <f aca="false">IF(AND(N(H352)&gt;0,N(I352)&gt;0),ROUND(I352/(H352/100)^2,1),"")</f>
        <v/>
      </c>
      <c r="K352" s="27"/>
      <c r="L352" s="27"/>
      <c r="M352" s="27"/>
      <c r="N352" s="27"/>
      <c r="O352" s="27"/>
      <c r="P352" s="27"/>
      <c r="Q352" s="27"/>
      <c r="R352" s="29"/>
      <c r="S352" s="29"/>
      <c r="T352" s="27"/>
      <c r="U352" s="28" t="str">
        <f aca="false">IF(N(T352)=0,"",IF(T352&lt;12,"Under 12 months",IF(T352&lt;36,"12-35 months",IF(T352&lt;60,"36-59 months","≥60 months"))))</f>
        <v/>
      </c>
      <c r="V352" s="27"/>
      <c r="W352" s="30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9"/>
      <c r="AT352" s="30"/>
      <c r="AU352" s="30"/>
      <c r="AV352" s="30"/>
      <c r="AW352" s="27"/>
      <c r="AX352" s="27"/>
      <c r="AY352" s="29"/>
      <c r="AZ352" s="27"/>
      <c r="BA352" s="27"/>
      <c r="BB352" s="29"/>
      <c r="BC352" s="30"/>
      <c r="BD352" s="30"/>
      <c r="BE352" s="30"/>
      <c r="BF352" s="27"/>
      <c r="BG352" s="27"/>
      <c r="BH352" s="28" t="str">
        <f aca="false">IF(COUNT(BC352:BE352)=0,"",IF(MIN(BC352:BE352)&lt;=-2.5,"Yes","No"))</f>
        <v/>
      </c>
      <c r="BI352" s="27"/>
      <c r="BJ352" s="29"/>
      <c r="BK352" s="27"/>
      <c r="BL352" s="27"/>
      <c r="BM352" s="27"/>
      <c r="BN352" s="28" t="str">
        <f aca="false">IF(OR(AX352="Yes",BI352="Yes"),"Yes",IF(AND(AX352="No",BI352="No"),"No",IF(AND(AX352="",BI352=""),"","Unknown")))</f>
        <v/>
      </c>
      <c r="BO352" s="31" t="str">
        <f aca="false">IF(COUNT(AY352,BJ352)=0,"",MIN(AY352,BJ352))</f>
        <v/>
      </c>
      <c r="BP352" s="29"/>
      <c r="BQ352" s="29"/>
      <c r="BR352" s="29"/>
      <c r="BS352" s="28" t="str">
        <f aca="false">IF(AND(N(BP352)&gt;0,N(BR352)&gt;0),BR352-BP352,"")</f>
        <v/>
      </c>
      <c r="BT352" s="28" t="str">
        <f aca="false">IF(BS352="","",ROUND(BS352/365.25,2))</f>
        <v/>
      </c>
      <c r="BU352" s="28" t="str">
        <f aca="false">IF(BS352="","",IF(BS352&gt;=730.5,"Yes","No"))</f>
        <v/>
      </c>
      <c r="BV352" s="27"/>
      <c r="BW352" s="29"/>
      <c r="BX352" s="27"/>
      <c r="BY352" s="27"/>
      <c r="BZ352" s="28" t="str">
        <f aca="false">IF(N(E352)=0,"",IF(E352&lt;65,"Under 65","≥65"))</f>
        <v/>
      </c>
      <c r="CA352" s="28" t="str">
        <f aca="false">IF(OR(AC352="Yes",AC352="No"),AC352,"")</f>
        <v/>
      </c>
      <c r="CB352" s="28" t="str">
        <f aca="false">IF(OR(AD352="Yes",AD352="No"),AD352,"")</f>
        <v/>
      </c>
      <c r="CC352" s="28" t="str">
        <f aca="false">IF(F352="","",F352)</f>
        <v/>
      </c>
      <c r="CD352" s="27"/>
      <c r="CE352" s="27"/>
    </row>
    <row r="353" customFormat="false" ht="15" hidden="false" customHeight="false" outlineLevel="0" collapsed="false">
      <c r="A353" s="27"/>
      <c r="B353" s="27"/>
      <c r="C353" s="27"/>
      <c r="D353" s="27"/>
      <c r="E353" s="27"/>
      <c r="F353" s="27"/>
      <c r="G353" s="27"/>
      <c r="H353" s="27"/>
      <c r="I353" s="27"/>
      <c r="J353" s="28" t="str">
        <f aca="false">IF(AND(N(H353)&gt;0,N(I353)&gt;0),ROUND(I353/(H353/100)^2,1),"")</f>
        <v/>
      </c>
      <c r="K353" s="27"/>
      <c r="L353" s="27"/>
      <c r="M353" s="27"/>
      <c r="N353" s="27"/>
      <c r="O353" s="27"/>
      <c r="P353" s="27"/>
      <c r="Q353" s="27"/>
      <c r="R353" s="29"/>
      <c r="S353" s="29"/>
      <c r="T353" s="27"/>
      <c r="U353" s="28" t="str">
        <f aca="false">IF(N(T353)=0,"",IF(T353&lt;12,"Under 12 months",IF(T353&lt;36,"12-35 months",IF(T353&lt;60,"36-59 months","≥60 months"))))</f>
        <v/>
      </c>
      <c r="V353" s="27"/>
      <c r="W353" s="30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9"/>
      <c r="AT353" s="30"/>
      <c r="AU353" s="30"/>
      <c r="AV353" s="30"/>
      <c r="AW353" s="27"/>
      <c r="AX353" s="27"/>
      <c r="AY353" s="29"/>
      <c r="AZ353" s="27"/>
      <c r="BA353" s="27"/>
      <c r="BB353" s="29"/>
      <c r="BC353" s="30"/>
      <c r="BD353" s="30"/>
      <c r="BE353" s="30"/>
      <c r="BF353" s="27"/>
      <c r="BG353" s="27"/>
      <c r="BH353" s="28" t="str">
        <f aca="false">IF(COUNT(BC353:BE353)=0,"",IF(MIN(BC353:BE353)&lt;=-2.5,"Yes","No"))</f>
        <v/>
      </c>
      <c r="BI353" s="27"/>
      <c r="BJ353" s="29"/>
      <c r="BK353" s="27"/>
      <c r="BL353" s="27"/>
      <c r="BM353" s="27"/>
      <c r="BN353" s="28" t="str">
        <f aca="false">IF(OR(AX353="Yes",BI353="Yes"),"Yes",IF(AND(AX353="No",BI353="No"),"No",IF(AND(AX353="",BI353=""),"","Unknown")))</f>
        <v/>
      </c>
      <c r="BO353" s="31" t="str">
        <f aca="false">IF(COUNT(AY353,BJ353)=0,"",MIN(AY353,BJ353))</f>
        <v/>
      </c>
      <c r="BP353" s="29"/>
      <c r="BQ353" s="29"/>
      <c r="BR353" s="29"/>
      <c r="BS353" s="28" t="str">
        <f aca="false">IF(AND(N(BP353)&gt;0,N(BR353)&gt;0),BR353-BP353,"")</f>
        <v/>
      </c>
      <c r="BT353" s="28" t="str">
        <f aca="false">IF(BS353="","",ROUND(BS353/365.25,2))</f>
        <v/>
      </c>
      <c r="BU353" s="28" t="str">
        <f aca="false">IF(BS353="","",IF(BS353&gt;=730.5,"Yes","No"))</f>
        <v/>
      </c>
      <c r="BV353" s="27"/>
      <c r="BW353" s="29"/>
      <c r="BX353" s="27"/>
      <c r="BY353" s="27"/>
      <c r="BZ353" s="28" t="str">
        <f aca="false">IF(N(E353)=0,"",IF(E353&lt;65,"Under 65","≥65"))</f>
        <v/>
      </c>
      <c r="CA353" s="28" t="str">
        <f aca="false">IF(OR(AC353="Yes",AC353="No"),AC353,"")</f>
        <v/>
      </c>
      <c r="CB353" s="28" t="str">
        <f aca="false">IF(OR(AD353="Yes",AD353="No"),AD353,"")</f>
        <v/>
      </c>
      <c r="CC353" s="28" t="str">
        <f aca="false">IF(F353="","",F353)</f>
        <v/>
      </c>
      <c r="CD353" s="27"/>
      <c r="CE353" s="27"/>
    </row>
    <row r="354" customFormat="false" ht="15" hidden="false" customHeight="false" outlineLevel="0" collapsed="false">
      <c r="A354" s="27"/>
      <c r="B354" s="27"/>
      <c r="C354" s="27"/>
      <c r="D354" s="27"/>
      <c r="E354" s="27"/>
      <c r="F354" s="27"/>
      <c r="G354" s="27"/>
      <c r="H354" s="27"/>
      <c r="I354" s="27"/>
      <c r="J354" s="28" t="str">
        <f aca="false">IF(AND(N(H354)&gt;0,N(I354)&gt;0),ROUND(I354/(H354/100)^2,1),"")</f>
        <v/>
      </c>
      <c r="K354" s="27"/>
      <c r="L354" s="27"/>
      <c r="M354" s="27"/>
      <c r="N354" s="27"/>
      <c r="O354" s="27"/>
      <c r="P354" s="27"/>
      <c r="Q354" s="27"/>
      <c r="R354" s="29"/>
      <c r="S354" s="29"/>
      <c r="T354" s="27"/>
      <c r="U354" s="28" t="str">
        <f aca="false">IF(N(T354)=0,"",IF(T354&lt;12,"Under 12 months",IF(T354&lt;36,"12-35 months",IF(T354&lt;60,"36-59 months","≥60 months"))))</f>
        <v/>
      </c>
      <c r="V354" s="27"/>
      <c r="W354" s="30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9"/>
      <c r="AT354" s="30"/>
      <c r="AU354" s="30"/>
      <c r="AV354" s="30"/>
      <c r="AW354" s="27"/>
      <c r="AX354" s="27"/>
      <c r="AY354" s="29"/>
      <c r="AZ354" s="27"/>
      <c r="BA354" s="27"/>
      <c r="BB354" s="29"/>
      <c r="BC354" s="30"/>
      <c r="BD354" s="30"/>
      <c r="BE354" s="30"/>
      <c r="BF354" s="27"/>
      <c r="BG354" s="27"/>
      <c r="BH354" s="28" t="str">
        <f aca="false">IF(COUNT(BC354:BE354)=0,"",IF(MIN(BC354:BE354)&lt;=-2.5,"Yes","No"))</f>
        <v/>
      </c>
      <c r="BI354" s="27"/>
      <c r="BJ354" s="29"/>
      <c r="BK354" s="27"/>
      <c r="BL354" s="27"/>
      <c r="BM354" s="27"/>
      <c r="BN354" s="28" t="str">
        <f aca="false">IF(OR(AX354="Yes",BI354="Yes"),"Yes",IF(AND(AX354="No",BI354="No"),"No",IF(AND(AX354="",BI354=""),"","Unknown")))</f>
        <v/>
      </c>
      <c r="BO354" s="31" t="str">
        <f aca="false">IF(COUNT(AY354,BJ354)=0,"",MIN(AY354,BJ354))</f>
        <v/>
      </c>
      <c r="BP354" s="29"/>
      <c r="BQ354" s="29"/>
      <c r="BR354" s="29"/>
      <c r="BS354" s="28" t="str">
        <f aca="false">IF(AND(N(BP354)&gt;0,N(BR354)&gt;0),BR354-BP354,"")</f>
        <v/>
      </c>
      <c r="BT354" s="28" t="str">
        <f aca="false">IF(BS354="","",ROUND(BS354/365.25,2))</f>
        <v/>
      </c>
      <c r="BU354" s="28" t="str">
        <f aca="false">IF(BS354="","",IF(BS354&gt;=730.5,"Yes","No"))</f>
        <v/>
      </c>
      <c r="BV354" s="27"/>
      <c r="BW354" s="29"/>
      <c r="BX354" s="27"/>
      <c r="BY354" s="27"/>
      <c r="BZ354" s="28" t="str">
        <f aca="false">IF(N(E354)=0,"",IF(E354&lt;65,"Under 65","≥65"))</f>
        <v/>
      </c>
      <c r="CA354" s="28" t="str">
        <f aca="false">IF(OR(AC354="Yes",AC354="No"),AC354,"")</f>
        <v/>
      </c>
      <c r="CB354" s="28" t="str">
        <f aca="false">IF(OR(AD354="Yes",AD354="No"),AD354,"")</f>
        <v/>
      </c>
      <c r="CC354" s="28" t="str">
        <f aca="false">IF(F354="","",F354)</f>
        <v/>
      </c>
      <c r="CD354" s="27"/>
      <c r="CE354" s="27"/>
    </row>
    <row r="355" customFormat="false" ht="15" hidden="false" customHeight="false" outlineLevel="0" collapsed="false">
      <c r="A355" s="27"/>
      <c r="B355" s="27"/>
      <c r="C355" s="27"/>
      <c r="D355" s="27"/>
      <c r="E355" s="27"/>
      <c r="F355" s="27"/>
      <c r="G355" s="27"/>
      <c r="H355" s="27"/>
      <c r="I355" s="27"/>
      <c r="J355" s="28" t="str">
        <f aca="false">IF(AND(N(H355)&gt;0,N(I355)&gt;0),ROUND(I355/(H355/100)^2,1),"")</f>
        <v/>
      </c>
      <c r="K355" s="27"/>
      <c r="L355" s="27"/>
      <c r="M355" s="27"/>
      <c r="N355" s="27"/>
      <c r="O355" s="27"/>
      <c r="P355" s="27"/>
      <c r="Q355" s="27"/>
      <c r="R355" s="29"/>
      <c r="S355" s="29"/>
      <c r="T355" s="27"/>
      <c r="U355" s="28" t="str">
        <f aca="false">IF(N(T355)=0,"",IF(T355&lt;12,"Under 12 months",IF(T355&lt;36,"12-35 months",IF(T355&lt;60,"36-59 months","≥60 months"))))</f>
        <v/>
      </c>
      <c r="V355" s="27"/>
      <c r="W355" s="30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9"/>
      <c r="AT355" s="30"/>
      <c r="AU355" s="30"/>
      <c r="AV355" s="30"/>
      <c r="AW355" s="27"/>
      <c r="AX355" s="27"/>
      <c r="AY355" s="29"/>
      <c r="AZ355" s="27"/>
      <c r="BA355" s="27"/>
      <c r="BB355" s="29"/>
      <c r="BC355" s="30"/>
      <c r="BD355" s="30"/>
      <c r="BE355" s="30"/>
      <c r="BF355" s="27"/>
      <c r="BG355" s="27"/>
      <c r="BH355" s="28" t="str">
        <f aca="false">IF(COUNT(BC355:BE355)=0,"",IF(MIN(BC355:BE355)&lt;=-2.5,"Yes","No"))</f>
        <v/>
      </c>
      <c r="BI355" s="27"/>
      <c r="BJ355" s="29"/>
      <c r="BK355" s="27"/>
      <c r="BL355" s="27"/>
      <c r="BM355" s="27"/>
      <c r="BN355" s="28" t="str">
        <f aca="false">IF(OR(AX355="Yes",BI355="Yes"),"Yes",IF(AND(AX355="No",BI355="No"),"No",IF(AND(AX355="",BI355=""),"","Unknown")))</f>
        <v/>
      </c>
      <c r="BO355" s="31" t="str">
        <f aca="false">IF(COUNT(AY355,BJ355)=0,"",MIN(AY355,BJ355))</f>
        <v/>
      </c>
      <c r="BP355" s="29"/>
      <c r="BQ355" s="29"/>
      <c r="BR355" s="29"/>
      <c r="BS355" s="28" t="str">
        <f aca="false">IF(AND(N(BP355)&gt;0,N(BR355)&gt;0),BR355-BP355,"")</f>
        <v/>
      </c>
      <c r="BT355" s="28" t="str">
        <f aca="false">IF(BS355="","",ROUND(BS355/365.25,2))</f>
        <v/>
      </c>
      <c r="BU355" s="28" t="str">
        <f aca="false">IF(BS355="","",IF(BS355&gt;=730.5,"Yes","No"))</f>
        <v/>
      </c>
      <c r="BV355" s="27"/>
      <c r="BW355" s="29"/>
      <c r="BX355" s="27"/>
      <c r="BY355" s="27"/>
      <c r="BZ355" s="28" t="str">
        <f aca="false">IF(N(E355)=0,"",IF(E355&lt;65,"Under 65","≥65"))</f>
        <v/>
      </c>
      <c r="CA355" s="28" t="str">
        <f aca="false">IF(OR(AC355="Yes",AC355="No"),AC355,"")</f>
        <v/>
      </c>
      <c r="CB355" s="28" t="str">
        <f aca="false">IF(OR(AD355="Yes",AD355="No"),AD355,"")</f>
        <v/>
      </c>
      <c r="CC355" s="28" t="str">
        <f aca="false">IF(F355="","",F355)</f>
        <v/>
      </c>
      <c r="CD355" s="27"/>
      <c r="CE355" s="27"/>
    </row>
    <row r="356" customFormat="false" ht="15" hidden="false" customHeight="false" outlineLevel="0" collapsed="false">
      <c r="A356" s="27"/>
      <c r="B356" s="27"/>
      <c r="C356" s="27"/>
      <c r="D356" s="27"/>
      <c r="E356" s="27"/>
      <c r="F356" s="27"/>
      <c r="G356" s="27"/>
      <c r="H356" s="27"/>
      <c r="I356" s="27"/>
      <c r="J356" s="28" t="str">
        <f aca="false">IF(AND(N(H356)&gt;0,N(I356)&gt;0),ROUND(I356/(H356/100)^2,1),"")</f>
        <v/>
      </c>
      <c r="K356" s="27"/>
      <c r="L356" s="27"/>
      <c r="M356" s="27"/>
      <c r="N356" s="27"/>
      <c r="O356" s="27"/>
      <c r="P356" s="27"/>
      <c r="Q356" s="27"/>
      <c r="R356" s="29"/>
      <c r="S356" s="29"/>
      <c r="T356" s="27"/>
      <c r="U356" s="28" t="str">
        <f aca="false">IF(N(T356)=0,"",IF(T356&lt;12,"Under 12 months",IF(T356&lt;36,"12-35 months",IF(T356&lt;60,"36-59 months","≥60 months"))))</f>
        <v/>
      </c>
      <c r="V356" s="27"/>
      <c r="W356" s="30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9"/>
      <c r="AT356" s="30"/>
      <c r="AU356" s="30"/>
      <c r="AV356" s="30"/>
      <c r="AW356" s="27"/>
      <c r="AX356" s="27"/>
      <c r="AY356" s="29"/>
      <c r="AZ356" s="27"/>
      <c r="BA356" s="27"/>
      <c r="BB356" s="29"/>
      <c r="BC356" s="30"/>
      <c r="BD356" s="30"/>
      <c r="BE356" s="30"/>
      <c r="BF356" s="27"/>
      <c r="BG356" s="27"/>
      <c r="BH356" s="28" t="str">
        <f aca="false">IF(COUNT(BC356:BE356)=0,"",IF(MIN(BC356:BE356)&lt;=-2.5,"Yes","No"))</f>
        <v/>
      </c>
      <c r="BI356" s="27"/>
      <c r="BJ356" s="29"/>
      <c r="BK356" s="27"/>
      <c r="BL356" s="27"/>
      <c r="BM356" s="27"/>
      <c r="BN356" s="28" t="str">
        <f aca="false">IF(OR(AX356="Yes",BI356="Yes"),"Yes",IF(AND(AX356="No",BI356="No"),"No",IF(AND(AX356="",BI356=""),"","Unknown")))</f>
        <v/>
      </c>
      <c r="BO356" s="31" t="str">
        <f aca="false">IF(COUNT(AY356,BJ356)=0,"",MIN(AY356,BJ356))</f>
        <v/>
      </c>
      <c r="BP356" s="29"/>
      <c r="BQ356" s="29"/>
      <c r="BR356" s="29"/>
      <c r="BS356" s="28" t="str">
        <f aca="false">IF(AND(N(BP356)&gt;0,N(BR356)&gt;0),BR356-BP356,"")</f>
        <v/>
      </c>
      <c r="BT356" s="28" t="str">
        <f aca="false">IF(BS356="","",ROUND(BS356/365.25,2))</f>
        <v/>
      </c>
      <c r="BU356" s="28" t="str">
        <f aca="false">IF(BS356="","",IF(BS356&gt;=730.5,"Yes","No"))</f>
        <v/>
      </c>
      <c r="BV356" s="27"/>
      <c r="BW356" s="29"/>
      <c r="BX356" s="27"/>
      <c r="BY356" s="27"/>
      <c r="BZ356" s="28" t="str">
        <f aca="false">IF(N(E356)=0,"",IF(E356&lt;65,"Under 65","≥65"))</f>
        <v/>
      </c>
      <c r="CA356" s="28" t="str">
        <f aca="false">IF(OR(AC356="Yes",AC356="No"),AC356,"")</f>
        <v/>
      </c>
      <c r="CB356" s="28" t="str">
        <f aca="false">IF(OR(AD356="Yes",AD356="No"),AD356,"")</f>
        <v/>
      </c>
      <c r="CC356" s="28" t="str">
        <f aca="false">IF(F356="","",F356)</f>
        <v/>
      </c>
      <c r="CD356" s="27"/>
      <c r="CE356" s="27"/>
    </row>
    <row r="357" customFormat="false" ht="15" hidden="false" customHeight="false" outlineLevel="0" collapsed="false">
      <c r="A357" s="27"/>
      <c r="B357" s="27"/>
      <c r="C357" s="27"/>
      <c r="D357" s="27"/>
      <c r="E357" s="27"/>
      <c r="F357" s="27"/>
      <c r="G357" s="27"/>
      <c r="H357" s="27"/>
      <c r="I357" s="27"/>
      <c r="J357" s="28" t="str">
        <f aca="false">IF(AND(N(H357)&gt;0,N(I357)&gt;0),ROUND(I357/(H357/100)^2,1),"")</f>
        <v/>
      </c>
      <c r="K357" s="27"/>
      <c r="L357" s="27"/>
      <c r="M357" s="27"/>
      <c r="N357" s="27"/>
      <c r="O357" s="27"/>
      <c r="P357" s="27"/>
      <c r="Q357" s="27"/>
      <c r="R357" s="29"/>
      <c r="S357" s="29"/>
      <c r="T357" s="27"/>
      <c r="U357" s="28" t="str">
        <f aca="false">IF(N(T357)=0,"",IF(T357&lt;12,"Under 12 months",IF(T357&lt;36,"12-35 months",IF(T357&lt;60,"36-59 months","≥60 months"))))</f>
        <v/>
      </c>
      <c r="V357" s="27"/>
      <c r="W357" s="30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9"/>
      <c r="AT357" s="30"/>
      <c r="AU357" s="30"/>
      <c r="AV357" s="30"/>
      <c r="AW357" s="27"/>
      <c r="AX357" s="27"/>
      <c r="AY357" s="29"/>
      <c r="AZ357" s="27"/>
      <c r="BA357" s="27"/>
      <c r="BB357" s="29"/>
      <c r="BC357" s="30"/>
      <c r="BD357" s="30"/>
      <c r="BE357" s="30"/>
      <c r="BF357" s="27"/>
      <c r="BG357" s="27"/>
      <c r="BH357" s="28" t="str">
        <f aca="false">IF(COUNT(BC357:BE357)=0,"",IF(MIN(BC357:BE357)&lt;=-2.5,"Yes","No"))</f>
        <v/>
      </c>
      <c r="BI357" s="27"/>
      <c r="BJ357" s="29"/>
      <c r="BK357" s="27"/>
      <c r="BL357" s="27"/>
      <c r="BM357" s="27"/>
      <c r="BN357" s="28" t="str">
        <f aca="false">IF(OR(AX357="Yes",BI357="Yes"),"Yes",IF(AND(AX357="No",BI357="No"),"No",IF(AND(AX357="",BI357=""),"","Unknown")))</f>
        <v/>
      </c>
      <c r="BO357" s="31" t="str">
        <f aca="false">IF(COUNT(AY357,BJ357)=0,"",MIN(AY357,BJ357))</f>
        <v/>
      </c>
      <c r="BP357" s="29"/>
      <c r="BQ357" s="29"/>
      <c r="BR357" s="29"/>
      <c r="BS357" s="28" t="str">
        <f aca="false">IF(AND(N(BP357)&gt;0,N(BR357)&gt;0),BR357-BP357,"")</f>
        <v/>
      </c>
      <c r="BT357" s="28" t="str">
        <f aca="false">IF(BS357="","",ROUND(BS357/365.25,2))</f>
        <v/>
      </c>
      <c r="BU357" s="28" t="str">
        <f aca="false">IF(BS357="","",IF(BS357&gt;=730.5,"Yes","No"))</f>
        <v/>
      </c>
      <c r="BV357" s="27"/>
      <c r="BW357" s="29"/>
      <c r="BX357" s="27"/>
      <c r="BY357" s="27"/>
      <c r="BZ357" s="28" t="str">
        <f aca="false">IF(N(E357)=0,"",IF(E357&lt;65,"Under 65","≥65"))</f>
        <v/>
      </c>
      <c r="CA357" s="28" t="str">
        <f aca="false">IF(OR(AC357="Yes",AC357="No"),AC357,"")</f>
        <v/>
      </c>
      <c r="CB357" s="28" t="str">
        <f aca="false">IF(OR(AD357="Yes",AD357="No"),AD357,"")</f>
        <v/>
      </c>
      <c r="CC357" s="28" t="str">
        <f aca="false">IF(F357="","",F357)</f>
        <v/>
      </c>
      <c r="CD357" s="27"/>
      <c r="CE357" s="27"/>
    </row>
    <row r="358" customFormat="false" ht="15" hidden="false" customHeight="false" outlineLevel="0" collapsed="false">
      <c r="A358" s="27"/>
      <c r="B358" s="27"/>
      <c r="C358" s="27"/>
      <c r="D358" s="27"/>
      <c r="E358" s="27"/>
      <c r="F358" s="27"/>
      <c r="G358" s="27"/>
      <c r="H358" s="27"/>
      <c r="I358" s="27"/>
      <c r="J358" s="28" t="str">
        <f aca="false">IF(AND(N(H358)&gt;0,N(I358)&gt;0),ROUND(I358/(H358/100)^2,1),"")</f>
        <v/>
      </c>
      <c r="K358" s="27"/>
      <c r="L358" s="27"/>
      <c r="M358" s="27"/>
      <c r="N358" s="27"/>
      <c r="O358" s="27"/>
      <c r="P358" s="27"/>
      <c r="Q358" s="27"/>
      <c r="R358" s="29"/>
      <c r="S358" s="29"/>
      <c r="T358" s="27"/>
      <c r="U358" s="28" t="str">
        <f aca="false">IF(N(T358)=0,"",IF(T358&lt;12,"Under 12 months",IF(T358&lt;36,"12-35 months",IF(T358&lt;60,"36-59 months","≥60 months"))))</f>
        <v/>
      </c>
      <c r="V358" s="27"/>
      <c r="W358" s="30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9"/>
      <c r="AT358" s="30"/>
      <c r="AU358" s="30"/>
      <c r="AV358" s="30"/>
      <c r="AW358" s="27"/>
      <c r="AX358" s="27"/>
      <c r="AY358" s="29"/>
      <c r="AZ358" s="27"/>
      <c r="BA358" s="27"/>
      <c r="BB358" s="29"/>
      <c r="BC358" s="30"/>
      <c r="BD358" s="30"/>
      <c r="BE358" s="30"/>
      <c r="BF358" s="27"/>
      <c r="BG358" s="27"/>
      <c r="BH358" s="28" t="str">
        <f aca="false">IF(COUNT(BC358:BE358)=0,"",IF(MIN(BC358:BE358)&lt;=-2.5,"Yes","No"))</f>
        <v/>
      </c>
      <c r="BI358" s="27"/>
      <c r="BJ358" s="29"/>
      <c r="BK358" s="27"/>
      <c r="BL358" s="27"/>
      <c r="BM358" s="27"/>
      <c r="BN358" s="28" t="str">
        <f aca="false">IF(OR(AX358="Yes",BI358="Yes"),"Yes",IF(AND(AX358="No",BI358="No"),"No",IF(AND(AX358="",BI358=""),"","Unknown")))</f>
        <v/>
      </c>
      <c r="BO358" s="31" t="str">
        <f aca="false">IF(COUNT(AY358,BJ358)=0,"",MIN(AY358,BJ358))</f>
        <v/>
      </c>
      <c r="BP358" s="29"/>
      <c r="BQ358" s="29"/>
      <c r="BR358" s="29"/>
      <c r="BS358" s="28" t="str">
        <f aca="false">IF(AND(N(BP358)&gt;0,N(BR358)&gt;0),BR358-BP358,"")</f>
        <v/>
      </c>
      <c r="BT358" s="28" t="str">
        <f aca="false">IF(BS358="","",ROUND(BS358/365.25,2))</f>
        <v/>
      </c>
      <c r="BU358" s="28" t="str">
        <f aca="false">IF(BS358="","",IF(BS358&gt;=730.5,"Yes","No"))</f>
        <v/>
      </c>
      <c r="BV358" s="27"/>
      <c r="BW358" s="29"/>
      <c r="BX358" s="27"/>
      <c r="BY358" s="27"/>
      <c r="BZ358" s="28" t="str">
        <f aca="false">IF(N(E358)=0,"",IF(E358&lt;65,"Under 65","≥65"))</f>
        <v/>
      </c>
      <c r="CA358" s="28" t="str">
        <f aca="false">IF(OR(AC358="Yes",AC358="No"),AC358,"")</f>
        <v/>
      </c>
      <c r="CB358" s="28" t="str">
        <f aca="false">IF(OR(AD358="Yes",AD358="No"),AD358,"")</f>
        <v/>
      </c>
      <c r="CC358" s="28" t="str">
        <f aca="false">IF(F358="","",F358)</f>
        <v/>
      </c>
      <c r="CD358" s="27"/>
      <c r="CE358" s="27"/>
    </row>
    <row r="359" customFormat="false" ht="15" hidden="false" customHeight="false" outlineLevel="0" collapsed="false">
      <c r="A359" s="27"/>
      <c r="B359" s="27"/>
      <c r="C359" s="27"/>
      <c r="D359" s="27"/>
      <c r="E359" s="27"/>
      <c r="F359" s="27"/>
      <c r="G359" s="27"/>
      <c r="H359" s="27"/>
      <c r="I359" s="27"/>
      <c r="J359" s="28" t="str">
        <f aca="false">IF(AND(N(H359)&gt;0,N(I359)&gt;0),ROUND(I359/(H359/100)^2,1),"")</f>
        <v/>
      </c>
      <c r="K359" s="27"/>
      <c r="L359" s="27"/>
      <c r="M359" s="27"/>
      <c r="N359" s="27"/>
      <c r="O359" s="27"/>
      <c r="P359" s="27"/>
      <c r="Q359" s="27"/>
      <c r="R359" s="29"/>
      <c r="S359" s="29"/>
      <c r="T359" s="27"/>
      <c r="U359" s="28" t="str">
        <f aca="false">IF(N(T359)=0,"",IF(T359&lt;12,"Under 12 months",IF(T359&lt;36,"12-35 months",IF(T359&lt;60,"36-59 months","≥60 months"))))</f>
        <v/>
      </c>
      <c r="V359" s="27"/>
      <c r="W359" s="30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9"/>
      <c r="AT359" s="30"/>
      <c r="AU359" s="30"/>
      <c r="AV359" s="30"/>
      <c r="AW359" s="27"/>
      <c r="AX359" s="27"/>
      <c r="AY359" s="29"/>
      <c r="AZ359" s="27"/>
      <c r="BA359" s="27"/>
      <c r="BB359" s="29"/>
      <c r="BC359" s="30"/>
      <c r="BD359" s="30"/>
      <c r="BE359" s="30"/>
      <c r="BF359" s="27"/>
      <c r="BG359" s="27"/>
      <c r="BH359" s="28" t="str">
        <f aca="false">IF(COUNT(BC359:BE359)=0,"",IF(MIN(BC359:BE359)&lt;=-2.5,"Yes","No"))</f>
        <v/>
      </c>
      <c r="BI359" s="27"/>
      <c r="BJ359" s="29"/>
      <c r="BK359" s="27"/>
      <c r="BL359" s="27"/>
      <c r="BM359" s="27"/>
      <c r="BN359" s="28" t="str">
        <f aca="false">IF(OR(AX359="Yes",BI359="Yes"),"Yes",IF(AND(AX359="No",BI359="No"),"No",IF(AND(AX359="",BI359=""),"","Unknown")))</f>
        <v/>
      </c>
      <c r="BO359" s="31" t="str">
        <f aca="false">IF(COUNT(AY359,BJ359)=0,"",MIN(AY359,BJ359))</f>
        <v/>
      </c>
      <c r="BP359" s="29"/>
      <c r="BQ359" s="29"/>
      <c r="BR359" s="29"/>
      <c r="BS359" s="28" t="str">
        <f aca="false">IF(AND(N(BP359)&gt;0,N(BR359)&gt;0),BR359-BP359,"")</f>
        <v/>
      </c>
      <c r="BT359" s="28" t="str">
        <f aca="false">IF(BS359="","",ROUND(BS359/365.25,2))</f>
        <v/>
      </c>
      <c r="BU359" s="28" t="str">
        <f aca="false">IF(BS359="","",IF(BS359&gt;=730.5,"Yes","No"))</f>
        <v/>
      </c>
      <c r="BV359" s="27"/>
      <c r="BW359" s="29"/>
      <c r="BX359" s="27"/>
      <c r="BY359" s="27"/>
      <c r="BZ359" s="28" t="str">
        <f aca="false">IF(N(E359)=0,"",IF(E359&lt;65,"Under 65","≥65"))</f>
        <v/>
      </c>
      <c r="CA359" s="28" t="str">
        <f aca="false">IF(OR(AC359="Yes",AC359="No"),AC359,"")</f>
        <v/>
      </c>
      <c r="CB359" s="28" t="str">
        <f aca="false">IF(OR(AD359="Yes",AD359="No"),AD359,"")</f>
        <v/>
      </c>
      <c r="CC359" s="28" t="str">
        <f aca="false">IF(F359="","",F359)</f>
        <v/>
      </c>
      <c r="CD359" s="27"/>
      <c r="CE359" s="27"/>
    </row>
    <row r="360" customFormat="false" ht="15" hidden="false" customHeight="false" outlineLevel="0" collapsed="false">
      <c r="A360" s="27"/>
      <c r="B360" s="27"/>
      <c r="C360" s="27"/>
      <c r="D360" s="27"/>
      <c r="E360" s="27"/>
      <c r="F360" s="27"/>
      <c r="G360" s="27"/>
      <c r="H360" s="27"/>
      <c r="I360" s="27"/>
      <c r="J360" s="28" t="str">
        <f aca="false">IF(AND(N(H360)&gt;0,N(I360)&gt;0),ROUND(I360/(H360/100)^2,1),"")</f>
        <v/>
      </c>
      <c r="K360" s="27"/>
      <c r="L360" s="27"/>
      <c r="M360" s="27"/>
      <c r="N360" s="27"/>
      <c r="O360" s="27"/>
      <c r="P360" s="27"/>
      <c r="Q360" s="27"/>
      <c r="R360" s="29"/>
      <c r="S360" s="29"/>
      <c r="T360" s="27"/>
      <c r="U360" s="28" t="str">
        <f aca="false">IF(N(T360)=0,"",IF(T360&lt;12,"Under 12 months",IF(T360&lt;36,"12-35 months",IF(T360&lt;60,"36-59 months","≥60 months"))))</f>
        <v/>
      </c>
      <c r="V360" s="27"/>
      <c r="W360" s="30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9"/>
      <c r="AT360" s="30"/>
      <c r="AU360" s="30"/>
      <c r="AV360" s="30"/>
      <c r="AW360" s="27"/>
      <c r="AX360" s="27"/>
      <c r="AY360" s="29"/>
      <c r="AZ360" s="27"/>
      <c r="BA360" s="27"/>
      <c r="BB360" s="29"/>
      <c r="BC360" s="30"/>
      <c r="BD360" s="30"/>
      <c r="BE360" s="30"/>
      <c r="BF360" s="27"/>
      <c r="BG360" s="27"/>
      <c r="BH360" s="28" t="str">
        <f aca="false">IF(COUNT(BC360:BE360)=0,"",IF(MIN(BC360:BE360)&lt;=-2.5,"Yes","No"))</f>
        <v/>
      </c>
      <c r="BI360" s="27"/>
      <c r="BJ360" s="29"/>
      <c r="BK360" s="27"/>
      <c r="BL360" s="27"/>
      <c r="BM360" s="27"/>
      <c r="BN360" s="28" t="str">
        <f aca="false">IF(OR(AX360="Yes",BI360="Yes"),"Yes",IF(AND(AX360="No",BI360="No"),"No",IF(AND(AX360="",BI360=""),"","Unknown")))</f>
        <v/>
      </c>
      <c r="BO360" s="31" t="str">
        <f aca="false">IF(COUNT(AY360,BJ360)=0,"",MIN(AY360,BJ360))</f>
        <v/>
      </c>
      <c r="BP360" s="29"/>
      <c r="BQ360" s="29"/>
      <c r="BR360" s="29"/>
      <c r="BS360" s="28" t="str">
        <f aca="false">IF(AND(N(BP360)&gt;0,N(BR360)&gt;0),BR360-BP360,"")</f>
        <v/>
      </c>
      <c r="BT360" s="28" t="str">
        <f aca="false">IF(BS360="","",ROUND(BS360/365.25,2))</f>
        <v/>
      </c>
      <c r="BU360" s="28" t="str">
        <f aca="false">IF(BS360="","",IF(BS360&gt;=730.5,"Yes","No"))</f>
        <v/>
      </c>
      <c r="BV360" s="27"/>
      <c r="BW360" s="29"/>
      <c r="BX360" s="27"/>
      <c r="BY360" s="27"/>
      <c r="BZ360" s="28" t="str">
        <f aca="false">IF(N(E360)=0,"",IF(E360&lt;65,"Under 65","≥65"))</f>
        <v/>
      </c>
      <c r="CA360" s="28" t="str">
        <f aca="false">IF(OR(AC360="Yes",AC360="No"),AC360,"")</f>
        <v/>
      </c>
      <c r="CB360" s="28" t="str">
        <f aca="false">IF(OR(AD360="Yes",AD360="No"),AD360,"")</f>
        <v/>
      </c>
      <c r="CC360" s="28" t="str">
        <f aca="false">IF(F360="","",F360)</f>
        <v/>
      </c>
      <c r="CD360" s="27"/>
      <c r="CE360" s="27"/>
    </row>
    <row r="361" customFormat="false" ht="15" hidden="false" customHeight="false" outlineLevel="0" collapsed="false">
      <c r="A361" s="27"/>
      <c r="B361" s="27"/>
      <c r="C361" s="27"/>
      <c r="D361" s="27"/>
      <c r="E361" s="27"/>
      <c r="F361" s="27"/>
      <c r="G361" s="27"/>
      <c r="H361" s="27"/>
      <c r="I361" s="27"/>
      <c r="J361" s="28" t="str">
        <f aca="false">IF(AND(N(H361)&gt;0,N(I361)&gt;0),ROUND(I361/(H361/100)^2,1),"")</f>
        <v/>
      </c>
      <c r="K361" s="27"/>
      <c r="L361" s="27"/>
      <c r="M361" s="27"/>
      <c r="N361" s="27"/>
      <c r="O361" s="27"/>
      <c r="P361" s="27"/>
      <c r="Q361" s="27"/>
      <c r="R361" s="29"/>
      <c r="S361" s="29"/>
      <c r="T361" s="27"/>
      <c r="U361" s="28" t="str">
        <f aca="false">IF(N(T361)=0,"",IF(T361&lt;12,"Under 12 months",IF(T361&lt;36,"12-35 months",IF(T361&lt;60,"36-59 months","≥60 months"))))</f>
        <v/>
      </c>
      <c r="V361" s="27"/>
      <c r="W361" s="30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9"/>
      <c r="AT361" s="30"/>
      <c r="AU361" s="30"/>
      <c r="AV361" s="30"/>
      <c r="AW361" s="27"/>
      <c r="AX361" s="27"/>
      <c r="AY361" s="29"/>
      <c r="AZ361" s="27"/>
      <c r="BA361" s="27"/>
      <c r="BB361" s="29"/>
      <c r="BC361" s="30"/>
      <c r="BD361" s="30"/>
      <c r="BE361" s="30"/>
      <c r="BF361" s="27"/>
      <c r="BG361" s="27"/>
      <c r="BH361" s="28" t="str">
        <f aca="false">IF(COUNT(BC361:BE361)=0,"",IF(MIN(BC361:BE361)&lt;=-2.5,"Yes","No"))</f>
        <v/>
      </c>
      <c r="BI361" s="27"/>
      <c r="BJ361" s="29"/>
      <c r="BK361" s="27"/>
      <c r="BL361" s="27"/>
      <c r="BM361" s="27"/>
      <c r="BN361" s="28" t="str">
        <f aca="false">IF(OR(AX361="Yes",BI361="Yes"),"Yes",IF(AND(AX361="No",BI361="No"),"No",IF(AND(AX361="",BI361=""),"","Unknown")))</f>
        <v/>
      </c>
      <c r="BO361" s="31" t="str">
        <f aca="false">IF(COUNT(AY361,BJ361)=0,"",MIN(AY361,BJ361))</f>
        <v/>
      </c>
      <c r="BP361" s="29"/>
      <c r="BQ361" s="29"/>
      <c r="BR361" s="29"/>
      <c r="BS361" s="28" t="str">
        <f aca="false">IF(AND(N(BP361)&gt;0,N(BR361)&gt;0),BR361-BP361,"")</f>
        <v/>
      </c>
      <c r="BT361" s="28" t="str">
        <f aca="false">IF(BS361="","",ROUND(BS361/365.25,2))</f>
        <v/>
      </c>
      <c r="BU361" s="28" t="str">
        <f aca="false">IF(BS361="","",IF(BS361&gt;=730.5,"Yes","No"))</f>
        <v/>
      </c>
      <c r="BV361" s="27"/>
      <c r="BW361" s="29"/>
      <c r="BX361" s="27"/>
      <c r="BY361" s="27"/>
      <c r="BZ361" s="28" t="str">
        <f aca="false">IF(N(E361)=0,"",IF(E361&lt;65,"Under 65","≥65"))</f>
        <v/>
      </c>
      <c r="CA361" s="28" t="str">
        <f aca="false">IF(OR(AC361="Yes",AC361="No"),AC361,"")</f>
        <v/>
      </c>
      <c r="CB361" s="28" t="str">
        <f aca="false">IF(OR(AD361="Yes",AD361="No"),AD361,"")</f>
        <v/>
      </c>
      <c r="CC361" s="28" t="str">
        <f aca="false">IF(F361="","",F361)</f>
        <v/>
      </c>
      <c r="CD361" s="27"/>
      <c r="CE361" s="27"/>
    </row>
    <row r="362" customFormat="false" ht="15" hidden="false" customHeight="false" outlineLevel="0" collapsed="false">
      <c r="A362" s="27"/>
      <c r="B362" s="27"/>
      <c r="C362" s="27"/>
      <c r="D362" s="27"/>
      <c r="E362" s="27"/>
      <c r="F362" s="27"/>
      <c r="G362" s="27"/>
      <c r="H362" s="27"/>
      <c r="I362" s="27"/>
      <c r="J362" s="28" t="str">
        <f aca="false">IF(AND(N(H362)&gt;0,N(I362)&gt;0),ROUND(I362/(H362/100)^2,1),"")</f>
        <v/>
      </c>
      <c r="K362" s="27"/>
      <c r="L362" s="27"/>
      <c r="M362" s="27"/>
      <c r="N362" s="27"/>
      <c r="O362" s="27"/>
      <c r="P362" s="27"/>
      <c r="Q362" s="27"/>
      <c r="R362" s="29"/>
      <c r="S362" s="29"/>
      <c r="T362" s="27"/>
      <c r="U362" s="28" t="str">
        <f aca="false">IF(N(T362)=0,"",IF(T362&lt;12,"Under 12 months",IF(T362&lt;36,"12-35 months",IF(T362&lt;60,"36-59 months","≥60 months"))))</f>
        <v/>
      </c>
      <c r="V362" s="27"/>
      <c r="W362" s="30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9"/>
      <c r="AT362" s="30"/>
      <c r="AU362" s="30"/>
      <c r="AV362" s="30"/>
      <c r="AW362" s="27"/>
      <c r="AX362" s="27"/>
      <c r="AY362" s="29"/>
      <c r="AZ362" s="27"/>
      <c r="BA362" s="27"/>
      <c r="BB362" s="29"/>
      <c r="BC362" s="30"/>
      <c r="BD362" s="30"/>
      <c r="BE362" s="30"/>
      <c r="BF362" s="27"/>
      <c r="BG362" s="27"/>
      <c r="BH362" s="28" t="str">
        <f aca="false">IF(COUNT(BC362:BE362)=0,"",IF(MIN(BC362:BE362)&lt;=-2.5,"Yes","No"))</f>
        <v/>
      </c>
      <c r="BI362" s="27"/>
      <c r="BJ362" s="29"/>
      <c r="BK362" s="27"/>
      <c r="BL362" s="27"/>
      <c r="BM362" s="27"/>
      <c r="BN362" s="28" t="str">
        <f aca="false">IF(OR(AX362="Yes",BI362="Yes"),"Yes",IF(AND(AX362="No",BI362="No"),"No",IF(AND(AX362="",BI362=""),"","Unknown")))</f>
        <v/>
      </c>
      <c r="BO362" s="31" t="str">
        <f aca="false">IF(COUNT(AY362,BJ362)=0,"",MIN(AY362,BJ362))</f>
        <v/>
      </c>
      <c r="BP362" s="29"/>
      <c r="BQ362" s="29"/>
      <c r="BR362" s="29"/>
      <c r="BS362" s="28" t="str">
        <f aca="false">IF(AND(N(BP362)&gt;0,N(BR362)&gt;0),BR362-BP362,"")</f>
        <v/>
      </c>
      <c r="BT362" s="28" t="str">
        <f aca="false">IF(BS362="","",ROUND(BS362/365.25,2))</f>
        <v/>
      </c>
      <c r="BU362" s="28" t="str">
        <f aca="false">IF(BS362="","",IF(BS362&gt;=730.5,"Yes","No"))</f>
        <v/>
      </c>
      <c r="BV362" s="27"/>
      <c r="BW362" s="29"/>
      <c r="BX362" s="27"/>
      <c r="BY362" s="27"/>
      <c r="BZ362" s="28" t="str">
        <f aca="false">IF(N(E362)=0,"",IF(E362&lt;65,"Under 65","≥65"))</f>
        <v/>
      </c>
      <c r="CA362" s="28" t="str">
        <f aca="false">IF(OR(AC362="Yes",AC362="No"),AC362,"")</f>
        <v/>
      </c>
      <c r="CB362" s="28" t="str">
        <f aca="false">IF(OR(AD362="Yes",AD362="No"),AD362,"")</f>
        <v/>
      </c>
      <c r="CC362" s="28" t="str">
        <f aca="false">IF(F362="","",F362)</f>
        <v/>
      </c>
      <c r="CD362" s="27"/>
      <c r="CE362" s="27"/>
    </row>
    <row r="363" customFormat="false" ht="15" hidden="false" customHeight="false" outlineLevel="0" collapsed="false">
      <c r="A363" s="27"/>
      <c r="B363" s="27"/>
      <c r="C363" s="27"/>
      <c r="D363" s="27"/>
      <c r="E363" s="27"/>
      <c r="F363" s="27"/>
      <c r="G363" s="27"/>
      <c r="H363" s="27"/>
      <c r="I363" s="27"/>
      <c r="J363" s="28" t="str">
        <f aca="false">IF(AND(N(H363)&gt;0,N(I363)&gt;0),ROUND(I363/(H363/100)^2,1),"")</f>
        <v/>
      </c>
      <c r="K363" s="27"/>
      <c r="L363" s="27"/>
      <c r="M363" s="27"/>
      <c r="N363" s="27"/>
      <c r="O363" s="27"/>
      <c r="P363" s="27"/>
      <c r="Q363" s="27"/>
      <c r="R363" s="29"/>
      <c r="S363" s="29"/>
      <c r="T363" s="27"/>
      <c r="U363" s="28" t="str">
        <f aca="false">IF(N(T363)=0,"",IF(T363&lt;12,"Under 12 months",IF(T363&lt;36,"12-35 months",IF(T363&lt;60,"36-59 months","≥60 months"))))</f>
        <v/>
      </c>
      <c r="V363" s="27"/>
      <c r="W363" s="30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9"/>
      <c r="AT363" s="30"/>
      <c r="AU363" s="30"/>
      <c r="AV363" s="30"/>
      <c r="AW363" s="27"/>
      <c r="AX363" s="27"/>
      <c r="AY363" s="29"/>
      <c r="AZ363" s="27"/>
      <c r="BA363" s="27"/>
      <c r="BB363" s="29"/>
      <c r="BC363" s="30"/>
      <c r="BD363" s="30"/>
      <c r="BE363" s="30"/>
      <c r="BF363" s="27"/>
      <c r="BG363" s="27"/>
      <c r="BH363" s="28" t="str">
        <f aca="false">IF(COUNT(BC363:BE363)=0,"",IF(MIN(BC363:BE363)&lt;=-2.5,"Yes","No"))</f>
        <v/>
      </c>
      <c r="BI363" s="27"/>
      <c r="BJ363" s="29"/>
      <c r="BK363" s="27"/>
      <c r="BL363" s="27"/>
      <c r="BM363" s="27"/>
      <c r="BN363" s="28" t="str">
        <f aca="false">IF(OR(AX363="Yes",BI363="Yes"),"Yes",IF(AND(AX363="No",BI363="No"),"No",IF(AND(AX363="",BI363=""),"","Unknown")))</f>
        <v/>
      </c>
      <c r="BO363" s="31" t="str">
        <f aca="false">IF(COUNT(AY363,BJ363)=0,"",MIN(AY363,BJ363))</f>
        <v/>
      </c>
      <c r="BP363" s="29"/>
      <c r="BQ363" s="29"/>
      <c r="BR363" s="29"/>
      <c r="BS363" s="28" t="str">
        <f aca="false">IF(AND(N(BP363)&gt;0,N(BR363)&gt;0),BR363-BP363,"")</f>
        <v/>
      </c>
      <c r="BT363" s="28" t="str">
        <f aca="false">IF(BS363="","",ROUND(BS363/365.25,2))</f>
        <v/>
      </c>
      <c r="BU363" s="28" t="str">
        <f aca="false">IF(BS363="","",IF(BS363&gt;=730.5,"Yes","No"))</f>
        <v/>
      </c>
      <c r="BV363" s="27"/>
      <c r="BW363" s="29"/>
      <c r="BX363" s="27"/>
      <c r="BY363" s="27"/>
      <c r="BZ363" s="28" t="str">
        <f aca="false">IF(N(E363)=0,"",IF(E363&lt;65,"Under 65","≥65"))</f>
        <v/>
      </c>
      <c r="CA363" s="28" t="str">
        <f aca="false">IF(OR(AC363="Yes",AC363="No"),AC363,"")</f>
        <v/>
      </c>
      <c r="CB363" s="28" t="str">
        <f aca="false">IF(OR(AD363="Yes",AD363="No"),AD363,"")</f>
        <v/>
      </c>
      <c r="CC363" s="28" t="str">
        <f aca="false">IF(F363="","",F363)</f>
        <v/>
      </c>
      <c r="CD363" s="27"/>
      <c r="CE363" s="27"/>
    </row>
    <row r="364" customFormat="false" ht="15" hidden="false" customHeight="false" outlineLevel="0" collapsed="false">
      <c r="A364" s="27"/>
      <c r="B364" s="27"/>
      <c r="C364" s="27"/>
      <c r="D364" s="27"/>
      <c r="E364" s="27"/>
      <c r="F364" s="27"/>
      <c r="G364" s="27"/>
      <c r="H364" s="27"/>
      <c r="I364" s="27"/>
      <c r="J364" s="28" t="str">
        <f aca="false">IF(AND(N(H364)&gt;0,N(I364)&gt;0),ROUND(I364/(H364/100)^2,1),"")</f>
        <v/>
      </c>
      <c r="K364" s="27"/>
      <c r="L364" s="27"/>
      <c r="M364" s="27"/>
      <c r="N364" s="27"/>
      <c r="O364" s="27"/>
      <c r="P364" s="27"/>
      <c r="Q364" s="27"/>
      <c r="R364" s="29"/>
      <c r="S364" s="29"/>
      <c r="T364" s="27"/>
      <c r="U364" s="28" t="str">
        <f aca="false">IF(N(T364)=0,"",IF(T364&lt;12,"Under 12 months",IF(T364&lt;36,"12-35 months",IF(T364&lt;60,"36-59 months","≥60 months"))))</f>
        <v/>
      </c>
      <c r="V364" s="27"/>
      <c r="W364" s="30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9"/>
      <c r="AT364" s="30"/>
      <c r="AU364" s="30"/>
      <c r="AV364" s="30"/>
      <c r="AW364" s="27"/>
      <c r="AX364" s="27"/>
      <c r="AY364" s="29"/>
      <c r="AZ364" s="27"/>
      <c r="BA364" s="27"/>
      <c r="BB364" s="29"/>
      <c r="BC364" s="30"/>
      <c r="BD364" s="30"/>
      <c r="BE364" s="30"/>
      <c r="BF364" s="27"/>
      <c r="BG364" s="27"/>
      <c r="BH364" s="28" t="str">
        <f aca="false">IF(COUNT(BC364:BE364)=0,"",IF(MIN(BC364:BE364)&lt;=-2.5,"Yes","No"))</f>
        <v/>
      </c>
      <c r="BI364" s="27"/>
      <c r="BJ364" s="29"/>
      <c r="BK364" s="27"/>
      <c r="BL364" s="27"/>
      <c r="BM364" s="27"/>
      <c r="BN364" s="28" t="str">
        <f aca="false">IF(OR(AX364="Yes",BI364="Yes"),"Yes",IF(AND(AX364="No",BI364="No"),"No",IF(AND(AX364="",BI364=""),"","Unknown")))</f>
        <v/>
      </c>
      <c r="BO364" s="31" t="str">
        <f aca="false">IF(COUNT(AY364,BJ364)=0,"",MIN(AY364,BJ364))</f>
        <v/>
      </c>
      <c r="BP364" s="29"/>
      <c r="BQ364" s="29"/>
      <c r="BR364" s="29"/>
      <c r="BS364" s="28" t="str">
        <f aca="false">IF(AND(N(BP364)&gt;0,N(BR364)&gt;0),BR364-BP364,"")</f>
        <v/>
      </c>
      <c r="BT364" s="28" t="str">
        <f aca="false">IF(BS364="","",ROUND(BS364/365.25,2))</f>
        <v/>
      </c>
      <c r="BU364" s="28" t="str">
        <f aca="false">IF(BS364="","",IF(BS364&gt;=730.5,"Yes","No"))</f>
        <v/>
      </c>
      <c r="BV364" s="27"/>
      <c r="BW364" s="29"/>
      <c r="BX364" s="27"/>
      <c r="BY364" s="27"/>
      <c r="BZ364" s="28" t="str">
        <f aca="false">IF(N(E364)=0,"",IF(E364&lt;65,"Under 65","≥65"))</f>
        <v/>
      </c>
      <c r="CA364" s="28" t="str">
        <f aca="false">IF(OR(AC364="Yes",AC364="No"),AC364,"")</f>
        <v/>
      </c>
      <c r="CB364" s="28" t="str">
        <f aca="false">IF(OR(AD364="Yes",AD364="No"),AD364,"")</f>
        <v/>
      </c>
      <c r="CC364" s="28" t="str">
        <f aca="false">IF(F364="","",F364)</f>
        <v/>
      </c>
      <c r="CD364" s="27"/>
      <c r="CE364" s="27"/>
    </row>
    <row r="365" customFormat="false" ht="15" hidden="false" customHeight="false" outlineLevel="0" collapsed="false">
      <c r="A365" s="27"/>
      <c r="B365" s="27"/>
      <c r="C365" s="27"/>
      <c r="D365" s="27"/>
      <c r="E365" s="27"/>
      <c r="F365" s="27"/>
      <c r="G365" s="27"/>
      <c r="H365" s="27"/>
      <c r="I365" s="27"/>
      <c r="J365" s="28" t="str">
        <f aca="false">IF(AND(N(H365)&gt;0,N(I365)&gt;0),ROUND(I365/(H365/100)^2,1),"")</f>
        <v/>
      </c>
      <c r="K365" s="27"/>
      <c r="L365" s="27"/>
      <c r="M365" s="27"/>
      <c r="N365" s="27"/>
      <c r="O365" s="27"/>
      <c r="P365" s="27"/>
      <c r="Q365" s="27"/>
      <c r="R365" s="29"/>
      <c r="S365" s="29"/>
      <c r="T365" s="27"/>
      <c r="U365" s="28" t="str">
        <f aca="false">IF(N(T365)=0,"",IF(T365&lt;12,"Under 12 months",IF(T365&lt;36,"12-35 months",IF(T365&lt;60,"36-59 months","≥60 months"))))</f>
        <v/>
      </c>
      <c r="V365" s="27"/>
      <c r="W365" s="30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9"/>
      <c r="AT365" s="30"/>
      <c r="AU365" s="30"/>
      <c r="AV365" s="30"/>
      <c r="AW365" s="27"/>
      <c r="AX365" s="27"/>
      <c r="AY365" s="29"/>
      <c r="AZ365" s="27"/>
      <c r="BA365" s="27"/>
      <c r="BB365" s="29"/>
      <c r="BC365" s="30"/>
      <c r="BD365" s="30"/>
      <c r="BE365" s="30"/>
      <c r="BF365" s="27"/>
      <c r="BG365" s="27"/>
      <c r="BH365" s="28" t="str">
        <f aca="false">IF(COUNT(BC365:BE365)=0,"",IF(MIN(BC365:BE365)&lt;=-2.5,"Yes","No"))</f>
        <v/>
      </c>
      <c r="BI365" s="27"/>
      <c r="BJ365" s="29"/>
      <c r="BK365" s="27"/>
      <c r="BL365" s="27"/>
      <c r="BM365" s="27"/>
      <c r="BN365" s="28" t="str">
        <f aca="false">IF(OR(AX365="Yes",BI365="Yes"),"Yes",IF(AND(AX365="No",BI365="No"),"No",IF(AND(AX365="",BI365=""),"","Unknown")))</f>
        <v/>
      </c>
      <c r="BO365" s="31" t="str">
        <f aca="false">IF(COUNT(AY365,BJ365)=0,"",MIN(AY365,BJ365))</f>
        <v/>
      </c>
      <c r="BP365" s="29"/>
      <c r="BQ365" s="29"/>
      <c r="BR365" s="29"/>
      <c r="BS365" s="28" t="str">
        <f aca="false">IF(AND(N(BP365)&gt;0,N(BR365)&gt;0),BR365-BP365,"")</f>
        <v/>
      </c>
      <c r="BT365" s="28" t="str">
        <f aca="false">IF(BS365="","",ROUND(BS365/365.25,2))</f>
        <v/>
      </c>
      <c r="BU365" s="28" t="str">
        <f aca="false">IF(BS365="","",IF(BS365&gt;=730.5,"Yes","No"))</f>
        <v/>
      </c>
      <c r="BV365" s="27"/>
      <c r="BW365" s="29"/>
      <c r="BX365" s="27"/>
      <c r="BY365" s="27"/>
      <c r="BZ365" s="28" t="str">
        <f aca="false">IF(N(E365)=0,"",IF(E365&lt;65,"Under 65","≥65"))</f>
        <v/>
      </c>
      <c r="CA365" s="28" t="str">
        <f aca="false">IF(OR(AC365="Yes",AC365="No"),AC365,"")</f>
        <v/>
      </c>
      <c r="CB365" s="28" t="str">
        <f aca="false">IF(OR(AD365="Yes",AD365="No"),AD365,"")</f>
        <v/>
      </c>
      <c r="CC365" s="28" t="str">
        <f aca="false">IF(F365="","",F365)</f>
        <v/>
      </c>
      <c r="CD365" s="27"/>
      <c r="CE365" s="27"/>
    </row>
    <row r="366" customFormat="false" ht="15" hidden="false" customHeight="false" outlineLevel="0" collapsed="false">
      <c r="A366" s="27"/>
      <c r="B366" s="27"/>
      <c r="C366" s="27"/>
      <c r="D366" s="27"/>
      <c r="E366" s="27"/>
      <c r="F366" s="27"/>
      <c r="G366" s="27"/>
      <c r="H366" s="27"/>
      <c r="I366" s="27"/>
      <c r="J366" s="28" t="str">
        <f aca="false">IF(AND(N(H366)&gt;0,N(I366)&gt;0),ROUND(I366/(H366/100)^2,1),"")</f>
        <v/>
      </c>
      <c r="K366" s="27"/>
      <c r="L366" s="27"/>
      <c r="M366" s="27"/>
      <c r="N366" s="27"/>
      <c r="O366" s="27"/>
      <c r="P366" s="27"/>
      <c r="Q366" s="27"/>
      <c r="R366" s="29"/>
      <c r="S366" s="29"/>
      <c r="T366" s="27"/>
      <c r="U366" s="28" t="str">
        <f aca="false">IF(N(T366)=0,"",IF(T366&lt;12,"Under 12 months",IF(T366&lt;36,"12-35 months",IF(T366&lt;60,"36-59 months","≥60 months"))))</f>
        <v/>
      </c>
      <c r="V366" s="27"/>
      <c r="W366" s="30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9"/>
      <c r="AT366" s="30"/>
      <c r="AU366" s="30"/>
      <c r="AV366" s="30"/>
      <c r="AW366" s="27"/>
      <c r="AX366" s="27"/>
      <c r="AY366" s="29"/>
      <c r="AZ366" s="27"/>
      <c r="BA366" s="27"/>
      <c r="BB366" s="29"/>
      <c r="BC366" s="30"/>
      <c r="BD366" s="30"/>
      <c r="BE366" s="30"/>
      <c r="BF366" s="27"/>
      <c r="BG366" s="27"/>
      <c r="BH366" s="28" t="str">
        <f aca="false">IF(COUNT(BC366:BE366)=0,"",IF(MIN(BC366:BE366)&lt;=-2.5,"Yes","No"))</f>
        <v/>
      </c>
      <c r="BI366" s="27"/>
      <c r="BJ366" s="29"/>
      <c r="BK366" s="27"/>
      <c r="BL366" s="27"/>
      <c r="BM366" s="27"/>
      <c r="BN366" s="28" t="str">
        <f aca="false">IF(OR(AX366="Yes",BI366="Yes"),"Yes",IF(AND(AX366="No",BI366="No"),"No",IF(AND(AX366="",BI366=""),"","Unknown")))</f>
        <v/>
      </c>
      <c r="BO366" s="31" t="str">
        <f aca="false">IF(COUNT(AY366,BJ366)=0,"",MIN(AY366,BJ366))</f>
        <v/>
      </c>
      <c r="BP366" s="29"/>
      <c r="BQ366" s="29"/>
      <c r="BR366" s="29"/>
      <c r="BS366" s="28" t="str">
        <f aca="false">IF(AND(N(BP366)&gt;0,N(BR366)&gt;0),BR366-BP366,"")</f>
        <v/>
      </c>
      <c r="BT366" s="28" t="str">
        <f aca="false">IF(BS366="","",ROUND(BS366/365.25,2))</f>
        <v/>
      </c>
      <c r="BU366" s="28" t="str">
        <f aca="false">IF(BS366="","",IF(BS366&gt;=730.5,"Yes","No"))</f>
        <v/>
      </c>
      <c r="BV366" s="27"/>
      <c r="BW366" s="29"/>
      <c r="BX366" s="27"/>
      <c r="BY366" s="27"/>
      <c r="BZ366" s="28" t="str">
        <f aca="false">IF(N(E366)=0,"",IF(E366&lt;65,"Under 65","≥65"))</f>
        <v/>
      </c>
      <c r="CA366" s="28" t="str">
        <f aca="false">IF(OR(AC366="Yes",AC366="No"),AC366,"")</f>
        <v/>
      </c>
      <c r="CB366" s="28" t="str">
        <f aca="false">IF(OR(AD366="Yes",AD366="No"),AD366,"")</f>
        <v/>
      </c>
      <c r="CC366" s="28" t="str">
        <f aca="false">IF(F366="","",F366)</f>
        <v/>
      </c>
      <c r="CD366" s="27"/>
      <c r="CE366" s="27"/>
    </row>
    <row r="367" customFormat="false" ht="15" hidden="false" customHeight="false" outlineLevel="0" collapsed="false">
      <c r="A367" s="27"/>
      <c r="B367" s="27"/>
      <c r="C367" s="27"/>
      <c r="D367" s="27"/>
      <c r="E367" s="27"/>
      <c r="F367" s="27"/>
      <c r="G367" s="27"/>
      <c r="H367" s="27"/>
      <c r="I367" s="27"/>
      <c r="J367" s="28" t="str">
        <f aca="false">IF(AND(N(H367)&gt;0,N(I367)&gt;0),ROUND(I367/(H367/100)^2,1),"")</f>
        <v/>
      </c>
      <c r="K367" s="27"/>
      <c r="L367" s="27"/>
      <c r="M367" s="27"/>
      <c r="N367" s="27"/>
      <c r="O367" s="27"/>
      <c r="P367" s="27"/>
      <c r="Q367" s="27"/>
      <c r="R367" s="29"/>
      <c r="S367" s="29"/>
      <c r="T367" s="27"/>
      <c r="U367" s="28" t="str">
        <f aca="false">IF(N(T367)=0,"",IF(T367&lt;12,"Under 12 months",IF(T367&lt;36,"12-35 months",IF(T367&lt;60,"36-59 months","≥60 months"))))</f>
        <v/>
      </c>
      <c r="V367" s="27"/>
      <c r="W367" s="30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9"/>
      <c r="AT367" s="30"/>
      <c r="AU367" s="30"/>
      <c r="AV367" s="30"/>
      <c r="AW367" s="27"/>
      <c r="AX367" s="27"/>
      <c r="AY367" s="29"/>
      <c r="AZ367" s="27"/>
      <c r="BA367" s="27"/>
      <c r="BB367" s="29"/>
      <c r="BC367" s="30"/>
      <c r="BD367" s="30"/>
      <c r="BE367" s="30"/>
      <c r="BF367" s="27"/>
      <c r="BG367" s="27"/>
      <c r="BH367" s="28" t="str">
        <f aca="false">IF(COUNT(BC367:BE367)=0,"",IF(MIN(BC367:BE367)&lt;=-2.5,"Yes","No"))</f>
        <v/>
      </c>
      <c r="BI367" s="27"/>
      <c r="BJ367" s="29"/>
      <c r="BK367" s="27"/>
      <c r="BL367" s="27"/>
      <c r="BM367" s="27"/>
      <c r="BN367" s="28" t="str">
        <f aca="false">IF(OR(AX367="Yes",BI367="Yes"),"Yes",IF(AND(AX367="No",BI367="No"),"No",IF(AND(AX367="",BI367=""),"","Unknown")))</f>
        <v/>
      </c>
      <c r="BO367" s="31" t="str">
        <f aca="false">IF(COUNT(AY367,BJ367)=0,"",MIN(AY367,BJ367))</f>
        <v/>
      </c>
      <c r="BP367" s="29"/>
      <c r="BQ367" s="29"/>
      <c r="BR367" s="29"/>
      <c r="BS367" s="28" t="str">
        <f aca="false">IF(AND(N(BP367)&gt;0,N(BR367)&gt;0),BR367-BP367,"")</f>
        <v/>
      </c>
      <c r="BT367" s="28" t="str">
        <f aca="false">IF(BS367="","",ROUND(BS367/365.25,2))</f>
        <v/>
      </c>
      <c r="BU367" s="28" t="str">
        <f aca="false">IF(BS367="","",IF(BS367&gt;=730.5,"Yes","No"))</f>
        <v/>
      </c>
      <c r="BV367" s="27"/>
      <c r="BW367" s="29"/>
      <c r="BX367" s="27"/>
      <c r="BY367" s="27"/>
      <c r="BZ367" s="28" t="str">
        <f aca="false">IF(N(E367)=0,"",IF(E367&lt;65,"Under 65","≥65"))</f>
        <v/>
      </c>
      <c r="CA367" s="28" t="str">
        <f aca="false">IF(OR(AC367="Yes",AC367="No"),AC367,"")</f>
        <v/>
      </c>
      <c r="CB367" s="28" t="str">
        <f aca="false">IF(OR(AD367="Yes",AD367="No"),AD367,"")</f>
        <v/>
      </c>
      <c r="CC367" s="28" t="str">
        <f aca="false">IF(F367="","",F367)</f>
        <v/>
      </c>
      <c r="CD367" s="27"/>
      <c r="CE367" s="27"/>
    </row>
    <row r="368" customFormat="false" ht="15" hidden="false" customHeight="false" outlineLevel="0" collapsed="false">
      <c r="A368" s="27"/>
      <c r="B368" s="27"/>
      <c r="C368" s="27"/>
      <c r="D368" s="27"/>
      <c r="E368" s="27"/>
      <c r="F368" s="27"/>
      <c r="G368" s="27"/>
      <c r="H368" s="27"/>
      <c r="I368" s="27"/>
      <c r="J368" s="28" t="str">
        <f aca="false">IF(AND(N(H368)&gt;0,N(I368)&gt;0),ROUND(I368/(H368/100)^2,1),"")</f>
        <v/>
      </c>
      <c r="K368" s="27"/>
      <c r="L368" s="27"/>
      <c r="M368" s="27"/>
      <c r="N368" s="27"/>
      <c r="O368" s="27"/>
      <c r="P368" s="27"/>
      <c r="Q368" s="27"/>
      <c r="R368" s="29"/>
      <c r="S368" s="29"/>
      <c r="T368" s="27"/>
      <c r="U368" s="28" t="str">
        <f aca="false">IF(N(T368)=0,"",IF(T368&lt;12,"Under 12 months",IF(T368&lt;36,"12-35 months",IF(T368&lt;60,"36-59 months","≥60 months"))))</f>
        <v/>
      </c>
      <c r="V368" s="27"/>
      <c r="W368" s="30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9"/>
      <c r="AT368" s="30"/>
      <c r="AU368" s="30"/>
      <c r="AV368" s="30"/>
      <c r="AW368" s="27"/>
      <c r="AX368" s="27"/>
      <c r="AY368" s="29"/>
      <c r="AZ368" s="27"/>
      <c r="BA368" s="27"/>
      <c r="BB368" s="29"/>
      <c r="BC368" s="30"/>
      <c r="BD368" s="30"/>
      <c r="BE368" s="30"/>
      <c r="BF368" s="27"/>
      <c r="BG368" s="27"/>
      <c r="BH368" s="28" t="str">
        <f aca="false">IF(COUNT(BC368:BE368)=0,"",IF(MIN(BC368:BE368)&lt;=-2.5,"Yes","No"))</f>
        <v/>
      </c>
      <c r="BI368" s="27"/>
      <c r="BJ368" s="29"/>
      <c r="BK368" s="27"/>
      <c r="BL368" s="27"/>
      <c r="BM368" s="27"/>
      <c r="BN368" s="28" t="str">
        <f aca="false">IF(OR(AX368="Yes",BI368="Yes"),"Yes",IF(AND(AX368="No",BI368="No"),"No",IF(AND(AX368="",BI368=""),"","Unknown")))</f>
        <v/>
      </c>
      <c r="BO368" s="31" t="str">
        <f aca="false">IF(COUNT(AY368,BJ368)=0,"",MIN(AY368,BJ368))</f>
        <v/>
      </c>
      <c r="BP368" s="29"/>
      <c r="BQ368" s="29"/>
      <c r="BR368" s="29"/>
      <c r="BS368" s="28" t="str">
        <f aca="false">IF(AND(N(BP368)&gt;0,N(BR368)&gt;0),BR368-BP368,"")</f>
        <v/>
      </c>
      <c r="BT368" s="28" t="str">
        <f aca="false">IF(BS368="","",ROUND(BS368/365.25,2))</f>
        <v/>
      </c>
      <c r="BU368" s="28" t="str">
        <f aca="false">IF(BS368="","",IF(BS368&gt;=730.5,"Yes","No"))</f>
        <v/>
      </c>
      <c r="BV368" s="27"/>
      <c r="BW368" s="29"/>
      <c r="BX368" s="27"/>
      <c r="BY368" s="27"/>
      <c r="BZ368" s="28" t="str">
        <f aca="false">IF(N(E368)=0,"",IF(E368&lt;65,"Under 65","≥65"))</f>
        <v/>
      </c>
      <c r="CA368" s="28" t="str">
        <f aca="false">IF(OR(AC368="Yes",AC368="No"),AC368,"")</f>
        <v/>
      </c>
      <c r="CB368" s="28" t="str">
        <f aca="false">IF(OR(AD368="Yes",AD368="No"),AD368,"")</f>
        <v/>
      </c>
      <c r="CC368" s="28" t="str">
        <f aca="false">IF(F368="","",F368)</f>
        <v/>
      </c>
      <c r="CD368" s="27"/>
      <c r="CE368" s="27"/>
    </row>
    <row r="369" customFormat="false" ht="15" hidden="false" customHeight="false" outlineLevel="0" collapsed="false">
      <c r="A369" s="27"/>
      <c r="B369" s="27"/>
      <c r="C369" s="27"/>
      <c r="D369" s="27"/>
      <c r="E369" s="27"/>
      <c r="F369" s="27"/>
      <c r="G369" s="27"/>
      <c r="H369" s="27"/>
      <c r="I369" s="27"/>
      <c r="J369" s="28" t="str">
        <f aca="false">IF(AND(N(H369)&gt;0,N(I369)&gt;0),ROUND(I369/(H369/100)^2,1),"")</f>
        <v/>
      </c>
      <c r="K369" s="27"/>
      <c r="L369" s="27"/>
      <c r="M369" s="27"/>
      <c r="N369" s="27"/>
      <c r="O369" s="27"/>
      <c r="P369" s="27"/>
      <c r="Q369" s="27"/>
      <c r="R369" s="29"/>
      <c r="S369" s="29"/>
      <c r="T369" s="27"/>
      <c r="U369" s="28" t="str">
        <f aca="false">IF(N(T369)=0,"",IF(T369&lt;12,"Under 12 months",IF(T369&lt;36,"12-35 months",IF(T369&lt;60,"36-59 months","≥60 months"))))</f>
        <v/>
      </c>
      <c r="V369" s="27"/>
      <c r="W369" s="30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9"/>
      <c r="AT369" s="30"/>
      <c r="AU369" s="30"/>
      <c r="AV369" s="30"/>
      <c r="AW369" s="27"/>
      <c r="AX369" s="27"/>
      <c r="AY369" s="29"/>
      <c r="AZ369" s="27"/>
      <c r="BA369" s="27"/>
      <c r="BB369" s="29"/>
      <c r="BC369" s="30"/>
      <c r="BD369" s="30"/>
      <c r="BE369" s="30"/>
      <c r="BF369" s="27"/>
      <c r="BG369" s="27"/>
      <c r="BH369" s="28" t="str">
        <f aca="false">IF(COUNT(BC369:BE369)=0,"",IF(MIN(BC369:BE369)&lt;=-2.5,"Yes","No"))</f>
        <v/>
      </c>
      <c r="BI369" s="27"/>
      <c r="BJ369" s="29"/>
      <c r="BK369" s="27"/>
      <c r="BL369" s="27"/>
      <c r="BM369" s="27"/>
      <c r="BN369" s="28" t="str">
        <f aca="false">IF(OR(AX369="Yes",BI369="Yes"),"Yes",IF(AND(AX369="No",BI369="No"),"No",IF(AND(AX369="",BI369=""),"","Unknown")))</f>
        <v/>
      </c>
      <c r="BO369" s="31" t="str">
        <f aca="false">IF(COUNT(AY369,BJ369)=0,"",MIN(AY369,BJ369))</f>
        <v/>
      </c>
      <c r="BP369" s="29"/>
      <c r="BQ369" s="29"/>
      <c r="BR369" s="29"/>
      <c r="BS369" s="28" t="str">
        <f aca="false">IF(AND(N(BP369)&gt;0,N(BR369)&gt;0),BR369-BP369,"")</f>
        <v/>
      </c>
      <c r="BT369" s="28" t="str">
        <f aca="false">IF(BS369="","",ROUND(BS369/365.25,2))</f>
        <v/>
      </c>
      <c r="BU369" s="28" t="str">
        <f aca="false">IF(BS369="","",IF(BS369&gt;=730.5,"Yes","No"))</f>
        <v/>
      </c>
      <c r="BV369" s="27"/>
      <c r="BW369" s="29"/>
      <c r="BX369" s="27"/>
      <c r="BY369" s="27"/>
      <c r="BZ369" s="28" t="str">
        <f aca="false">IF(N(E369)=0,"",IF(E369&lt;65,"Under 65","≥65"))</f>
        <v/>
      </c>
      <c r="CA369" s="28" t="str">
        <f aca="false">IF(OR(AC369="Yes",AC369="No"),AC369,"")</f>
        <v/>
      </c>
      <c r="CB369" s="28" t="str">
        <f aca="false">IF(OR(AD369="Yes",AD369="No"),AD369,"")</f>
        <v/>
      </c>
      <c r="CC369" s="28" t="str">
        <f aca="false">IF(F369="","",F369)</f>
        <v/>
      </c>
      <c r="CD369" s="27"/>
      <c r="CE369" s="27"/>
    </row>
    <row r="370" customFormat="false" ht="15" hidden="false" customHeight="false" outlineLevel="0" collapsed="false">
      <c r="A370" s="27"/>
      <c r="B370" s="27"/>
      <c r="C370" s="27"/>
      <c r="D370" s="27"/>
      <c r="E370" s="27"/>
      <c r="F370" s="27"/>
      <c r="G370" s="27"/>
      <c r="H370" s="27"/>
      <c r="I370" s="27"/>
      <c r="J370" s="28" t="str">
        <f aca="false">IF(AND(N(H370)&gt;0,N(I370)&gt;0),ROUND(I370/(H370/100)^2,1),"")</f>
        <v/>
      </c>
      <c r="K370" s="27"/>
      <c r="L370" s="27"/>
      <c r="M370" s="27"/>
      <c r="N370" s="27"/>
      <c r="O370" s="27"/>
      <c r="P370" s="27"/>
      <c r="Q370" s="27"/>
      <c r="R370" s="29"/>
      <c r="S370" s="29"/>
      <c r="T370" s="27"/>
      <c r="U370" s="28" t="str">
        <f aca="false">IF(N(T370)=0,"",IF(T370&lt;12,"Under 12 months",IF(T370&lt;36,"12-35 months",IF(T370&lt;60,"36-59 months","≥60 months"))))</f>
        <v/>
      </c>
      <c r="V370" s="27"/>
      <c r="W370" s="30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9"/>
      <c r="AT370" s="30"/>
      <c r="AU370" s="30"/>
      <c r="AV370" s="30"/>
      <c r="AW370" s="27"/>
      <c r="AX370" s="27"/>
      <c r="AY370" s="29"/>
      <c r="AZ370" s="27"/>
      <c r="BA370" s="27"/>
      <c r="BB370" s="29"/>
      <c r="BC370" s="30"/>
      <c r="BD370" s="30"/>
      <c r="BE370" s="30"/>
      <c r="BF370" s="27"/>
      <c r="BG370" s="27"/>
      <c r="BH370" s="28" t="str">
        <f aca="false">IF(COUNT(BC370:BE370)=0,"",IF(MIN(BC370:BE370)&lt;=-2.5,"Yes","No"))</f>
        <v/>
      </c>
      <c r="BI370" s="27"/>
      <c r="BJ370" s="29"/>
      <c r="BK370" s="27"/>
      <c r="BL370" s="27"/>
      <c r="BM370" s="27"/>
      <c r="BN370" s="28" t="str">
        <f aca="false">IF(OR(AX370="Yes",BI370="Yes"),"Yes",IF(AND(AX370="No",BI370="No"),"No",IF(AND(AX370="",BI370=""),"","Unknown")))</f>
        <v/>
      </c>
      <c r="BO370" s="31" t="str">
        <f aca="false">IF(COUNT(AY370,BJ370)=0,"",MIN(AY370,BJ370))</f>
        <v/>
      </c>
      <c r="BP370" s="29"/>
      <c r="BQ370" s="29"/>
      <c r="BR370" s="29"/>
      <c r="BS370" s="28" t="str">
        <f aca="false">IF(AND(N(BP370)&gt;0,N(BR370)&gt;0),BR370-BP370,"")</f>
        <v/>
      </c>
      <c r="BT370" s="28" t="str">
        <f aca="false">IF(BS370="","",ROUND(BS370/365.25,2))</f>
        <v/>
      </c>
      <c r="BU370" s="28" t="str">
        <f aca="false">IF(BS370="","",IF(BS370&gt;=730.5,"Yes","No"))</f>
        <v/>
      </c>
      <c r="BV370" s="27"/>
      <c r="BW370" s="29"/>
      <c r="BX370" s="27"/>
      <c r="BY370" s="27"/>
      <c r="BZ370" s="28" t="str">
        <f aca="false">IF(N(E370)=0,"",IF(E370&lt;65,"Under 65","≥65"))</f>
        <v/>
      </c>
      <c r="CA370" s="28" t="str">
        <f aca="false">IF(OR(AC370="Yes",AC370="No"),AC370,"")</f>
        <v/>
      </c>
      <c r="CB370" s="28" t="str">
        <f aca="false">IF(OR(AD370="Yes",AD370="No"),AD370,"")</f>
        <v/>
      </c>
      <c r="CC370" s="28" t="str">
        <f aca="false">IF(F370="","",F370)</f>
        <v/>
      </c>
      <c r="CD370" s="27"/>
      <c r="CE370" s="27"/>
    </row>
    <row r="371" customFormat="false" ht="15" hidden="false" customHeight="false" outlineLevel="0" collapsed="false">
      <c r="A371" s="27"/>
      <c r="B371" s="27"/>
      <c r="C371" s="27"/>
      <c r="D371" s="27"/>
      <c r="E371" s="27"/>
      <c r="F371" s="27"/>
      <c r="G371" s="27"/>
      <c r="H371" s="27"/>
      <c r="I371" s="27"/>
      <c r="J371" s="28" t="str">
        <f aca="false">IF(AND(N(H371)&gt;0,N(I371)&gt;0),ROUND(I371/(H371/100)^2,1),"")</f>
        <v/>
      </c>
      <c r="K371" s="27"/>
      <c r="L371" s="27"/>
      <c r="M371" s="27"/>
      <c r="N371" s="27"/>
      <c r="O371" s="27"/>
      <c r="P371" s="27"/>
      <c r="Q371" s="27"/>
      <c r="R371" s="29"/>
      <c r="S371" s="29"/>
      <c r="T371" s="27"/>
      <c r="U371" s="28" t="str">
        <f aca="false">IF(N(T371)=0,"",IF(T371&lt;12,"Under 12 months",IF(T371&lt;36,"12-35 months",IF(T371&lt;60,"36-59 months","≥60 months"))))</f>
        <v/>
      </c>
      <c r="V371" s="27"/>
      <c r="W371" s="30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9"/>
      <c r="AT371" s="30"/>
      <c r="AU371" s="30"/>
      <c r="AV371" s="30"/>
      <c r="AW371" s="27"/>
      <c r="AX371" s="27"/>
      <c r="AY371" s="29"/>
      <c r="AZ371" s="27"/>
      <c r="BA371" s="27"/>
      <c r="BB371" s="29"/>
      <c r="BC371" s="30"/>
      <c r="BD371" s="30"/>
      <c r="BE371" s="30"/>
      <c r="BF371" s="27"/>
      <c r="BG371" s="27"/>
      <c r="BH371" s="28" t="str">
        <f aca="false">IF(COUNT(BC371:BE371)=0,"",IF(MIN(BC371:BE371)&lt;=-2.5,"Yes","No"))</f>
        <v/>
      </c>
      <c r="BI371" s="27"/>
      <c r="BJ371" s="29"/>
      <c r="BK371" s="27"/>
      <c r="BL371" s="27"/>
      <c r="BM371" s="27"/>
      <c r="BN371" s="28" t="str">
        <f aca="false">IF(OR(AX371="Yes",BI371="Yes"),"Yes",IF(AND(AX371="No",BI371="No"),"No",IF(AND(AX371="",BI371=""),"","Unknown")))</f>
        <v/>
      </c>
      <c r="BO371" s="31" t="str">
        <f aca="false">IF(COUNT(AY371,BJ371)=0,"",MIN(AY371,BJ371))</f>
        <v/>
      </c>
      <c r="BP371" s="29"/>
      <c r="BQ371" s="29"/>
      <c r="BR371" s="29"/>
      <c r="BS371" s="28" t="str">
        <f aca="false">IF(AND(N(BP371)&gt;0,N(BR371)&gt;0),BR371-BP371,"")</f>
        <v/>
      </c>
      <c r="BT371" s="28" t="str">
        <f aca="false">IF(BS371="","",ROUND(BS371/365.25,2))</f>
        <v/>
      </c>
      <c r="BU371" s="28" t="str">
        <f aca="false">IF(BS371="","",IF(BS371&gt;=730.5,"Yes","No"))</f>
        <v/>
      </c>
      <c r="BV371" s="27"/>
      <c r="BW371" s="29"/>
      <c r="BX371" s="27"/>
      <c r="BY371" s="27"/>
      <c r="BZ371" s="28" t="str">
        <f aca="false">IF(N(E371)=0,"",IF(E371&lt;65,"Under 65","≥65"))</f>
        <v/>
      </c>
      <c r="CA371" s="28" t="str">
        <f aca="false">IF(OR(AC371="Yes",AC371="No"),AC371,"")</f>
        <v/>
      </c>
      <c r="CB371" s="28" t="str">
        <f aca="false">IF(OR(AD371="Yes",AD371="No"),AD371,"")</f>
        <v/>
      </c>
      <c r="CC371" s="28" t="str">
        <f aca="false">IF(F371="","",F371)</f>
        <v/>
      </c>
      <c r="CD371" s="27"/>
      <c r="CE371" s="27"/>
    </row>
    <row r="372" customFormat="false" ht="15" hidden="false" customHeight="false" outlineLevel="0" collapsed="false">
      <c r="A372" s="27"/>
      <c r="B372" s="27"/>
      <c r="C372" s="27"/>
      <c r="D372" s="27"/>
      <c r="E372" s="27"/>
      <c r="F372" s="27"/>
      <c r="G372" s="27"/>
      <c r="H372" s="27"/>
      <c r="I372" s="27"/>
      <c r="J372" s="28" t="str">
        <f aca="false">IF(AND(N(H372)&gt;0,N(I372)&gt;0),ROUND(I372/(H372/100)^2,1),"")</f>
        <v/>
      </c>
      <c r="K372" s="27"/>
      <c r="L372" s="27"/>
      <c r="M372" s="27"/>
      <c r="N372" s="27"/>
      <c r="O372" s="27"/>
      <c r="P372" s="27"/>
      <c r="Q372" s="27"/>
      <c r="R372" s="29"/>
      <c r="S372" s="29"/>
      <c r="T372" s="27"/>
      <c r="U372" s="28" t="str">
        <f aca="false">IF(N(T372)=0,"",IF(T372&lt;12,"Under 12 months",IF(T372&lt;36,"12-35 months",IF(T372&lt;60,"36-59 months","≥60 months"))))</f>
        <v/>
      </c>
      <c r="V372" s="27"/>
      <c r="W372" s="30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9"/>
      <c r="AT372" s="30"/>
      <c r="AU372" s="30"/>
      <c r="AV372" s="30"/>
      <c r="AW372" s="27"/>
      <c r="AX372" s="27"/>
      <c r="AY372" s="29"/>
      <c r="AZ372" s="27"/>
      <c r="BA372" s="27"/>
      <c r="BB372" s="29"/>
      <c r="BC372" s="30"/>
      <c r="BD372" s="30"/>
      <c r="BE372" s="30"/>
      <c r="BF372" s="27"/>
      <c r="BG372" s="27"/>
      <c r="BH372" s="28" t="str">
        <f aca="false">IF(COUNT(BC372:BE372)=0,"",IF(MIN(BC372:BE372)&lt;=-2.5,"Yes","No"))</f>
        <v/>
      </c>
      <c r="BI372" s="27"/>
      <c r="BJ372" s="29"/>
      <c r="BK372" s="27"/>
      <c r="BL372" s="27"/>
      <c r="BM372" s="27"/>
      <c r="BN372" s="28" t="str">
        <f aca="false">IF(OR(AX372="Yes",BI372="Yes"),"Yes",IF(AND(AX372="No",BI372="No"),"No",IF(AND(AX372="",BI372=""),"","Unknown")))</f>
        <v/>
      </c>
      <c r="BO372" s="31" t="str">
        <f aca="false">IF(COUNT(AY372,BJ372)=0,"",MIN(AY372,BJ372))</f>
        <v/>
      </c>
      <c r="BP372" s="29"/>
      <c r="BQ372" s="29"/>
      <c r="BR372" s="29"/>
      <c r="BS372" s="28" t="str">
        <f aca="false">IF(AND(N(BP372)&gt;0,N(BR372)&gt;0),BR372-BP372,"")</f>
        <v/>
      </c>
      <c r="BT372" s="28" t="str">
        <f aca="false">IF(BS372="","",ROUND(BS372/365.25,2))</f>
        <v/>
      </c>
      <c r="BU372" s="28" t="str">
        <f aca="false">IF(BS372="","",IF(BS372&gt;=730.5,"Yes","No"))</f>
        <v/>
      </c>
      <c r="BV372" s="27"/>
      <c r="BW372" s="29"/>
      <c r="BX372" s="27"/>
      <c r="BY372" s="27"/>
      <c r="BZ372" s="28" t="str">
        <f aca="false">IF(N(E372)=0,"",IF(E372&lt;65,"Under 65","≥65"))</f>
        <v/>
      </c>
      <c r="CA372" s="28" t="str">
        <f aca="false">IF(OR(AC372="Yes",AC372="No"),AC372,"")</f>
        <v/>
      </c>
      <c r="CB372" s="28" t="str">
        <f aca="false">IF(OR(AD372="Yes",AD372="No"),AD372,"")</f>
        <v/>
      </c>
      <c r="CC372" s="28" t="str">
        <f aca="false">IF(F372="","",F372)</f>
        <v/>
      </c>
      <c r="CD372" s="27"/>
      <c r="CE372" s="27"/>
    </row>
    <row r="373" customFormat="false" ht="15" hidden="false" customHeight="false" outlineLevel="0" collapsed="false">
      <c r="A373" s="27"/>
      <c r="B373" s="27"/>
      <c r="C373" s="27"/>
      <c r="D373" s="27"/>
      <c r="E373" s="27"/>
      <c r="F373" s="27"/>
      <c r="G373" s="27"/>
      <c r="H373" s="27"/>
      <c r="I373" s="27"/>
      <c r="J373" s="28" t="str">
        <f aca="false">IF(AND(N(H373)&gt;0,N(I373)&gt;0),ROUND(I373/(H373/100)^2,1),"")</f>
        <v/>
      </c>
      <c r="K373" s="27"/>
      <c r="L373" s="27"/>
      <c r="M373" s="27"/>
      <c r="N373" s="27"/>
      <c r="O373" s="27"/>
      <c r="P373" s="27"/>
      <c r="Q373" s="27"/>
      <c r="R373" s="29"/>
      <c r="S373" s="29"/>
      <c r="T373" s="27"/>
      <c r="U373" s="28" t="str">
        <f aca="false">IF(N(T373)=0,"",IF(T373&lt;12,"Under 12 months",IF(T373&lt;36,"12-35 months",IF(T373&lt;60,"36-59 months","≥60 months"))))</f>
        <v/>
      </c>
      <c r="V373" s="27"/>
      <c r="W373" s="30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9"/>
      <c r="AT373" s="30"/>
      <c r="AU373" s="30"/>
      <c r="AV373" s="30"/>
      <c r="AW373" s="27"/>
      <c r="AX373" s="27"/>
      <c r="AY373" s="29"/>
      <c r="AZ373" s="27"/>
      <c r="BA373" s="27"/>
      <c r="BB373" s="29"/>
      <c r="BC373" s="30"/>
      <c r="BD373" s="30"/>
      <c r="BE373" s="30"/>
      <c r="BF373" s="27"/>
      <c r="BG373" s="27"/>
      <c r="BH373" s="28" t="str">
        <f aca="false">IF(COUNT(BC373:BE373)=0,"",IF(MIN(BC373:BE373)&lt;=-2.5,"Yes","No"))</f>
        <v/>
      </c>
      <c r="BI373" s="27"/>
      <c r="BJ373" s="29"/>
      <c r="BK373" s="27"/>
      <c r="BL373" s="27"/>
      <c r="BM373" s="27"/>
      <c r="BN373" s="28" t="str">
        <f aca="false">IF(OR(AX373="Yes",BI373="Yes"),"Yes",IF(AND(AX373="No",BI373="No"),"No",IF(AND(AX373="",BI373=""),"","Unknown")))</f>
        <v/>
      </c>
      <c r="BO373" s="31" t="str">
        <f aca="false">IF(COUNT(AY373,BJ373)=0,"",MIN(AY373,BJ373))</f>
        <v/>
      </c>
      <c r="BP373" s="29"/>
      <c r="BQ373" s="29"/>
      <c r="BR373" s="29"/>
      <c r="BS373" s="28" t="str">
        <f aca="false">IF(AND(N(BP373)&gt;0,N(BR373)&gt;0),BR373-BP373,"")</f>
        <v/>
      </c>
      <c r="BT373" s="28" t="str">
        <f aca="false">IF(BS373="","",ROUND(BS373/365.25,2))</f>
        <v/>
      </c>
      <c r="BU373" s="28" t="str">
        <f aca="false">IF(BS373="","",IF(BS373&gt;=730.5,"Yes","No"))</f>
        <v/>
      </c>
      <c r="BV373" s="27"/>
      <c r="BW373" s="29"/>
      <c r="BX373" s="27"/>
      <c r="BY373" s="27"/>
      <c r="BZ373" s="28" t="str">
        <f aca="false">IF(N(E373)=0,"",IF(E373&lt;65,"Under 65","≥65"))</f>
        <v/>
      </c>
      <c r="CA373" s="28" t="str">
        <f aca="false">IF(OR(AC373="Yes",AC373="No"),AC373,"")</f>
        <v/>
      </c>
      <c r="CB373" s="28" t="str">
        <f aca="false">IF(OR(AD373="Yes",AD373="No"),AD373,"")</f>
        <v/>
      </c>
      <c r="CC373" s="28" t="str">
        <f aca="false">IF(F373="","",F373)</f>
        <v/>
      </c>
      <c r="CD373" s="27"/>
      <c r="CE373" s="27"/>
    </row>
    <row r="374" customFormat="false" ht="15" hidden="false" customHeight="false" outlineLevel="0" collapsed="false">
      <c r="A374" s="27"/>
      <c r="B374" s="27"/>
      <c r="C374" s="27"/>
      <c r="D374" s="27"/>
      <c r="E374" s="27"/>
      <c r="F374" s="27"/>
      <c r="G374" s="27"/>
      <c r="H374" s="27"/>
      <c r="I374" s="27"/>
      <c r="J374" s="28" t="str">
        <f aca="false">IF(AND(N(H374)&gt;0,N(I374)&gt;0),ROUND(I374/(H374/100)^2,1),"")</f>
        <v/>
      </c>
      <c r="K374" s="27"/>
      <c r="L374" s="27"/>
      <c r="M374" s="27"/>
      <c r="N374" s="27"/>
      <c r="O374" s="27"/>
      <c r="P374" s="27"/>
      <c r="Q374" s="27"/>
      <c r="R374" s="29"/>
      <c r="S374" s="29"/>
      <c r="T374" s="27"/>
      <c r="U374" s="28" t="str">
        <f aca="false">IF(N(T374)=0,"",IF(T374&lt;12,"Under 12 months",IF(T374&lt;36,"12-35 months",IF(T374&lt;60,"36-59 months","≥60 months"))))</f>
        <v/>
      </c>
      <c r="V374" s="27"/>
      <c r="W374" s="30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9"/>
      <c r="AT374" s="30"/>
      <c r="AU374" s="30"/>
      <c r="AV374" s="30"/>
      <c r="AW374" s="27"/>
      <c r="AX374" s="27"/>
      <c r="AY374" s="29"/>
      <c r="AZ374" s="27"/>
      <c r="BA374" s="27"/>
      <c r="BB374" s="29"/>
      <c r="BC374" s="30"/>
      <c r="BD374" s="30"/>
      <c r="BE374" s="30"/>
      <c r="BF374" s="27"/>
      <c r="BG374" s="27"/>
      <c r="BH374" s="28" t="str">
        <f aca="false">IF(COUNT(BC374:BE374)=0,"",IF(MIN(BC374:BE374)&lt;=-2.5,"Yes","No"))</f>
        <v/>
      </c>
      <c r="BI374" s="27"/>
      <c r="BJ374" s="29"/>
      <c r="BK374" s="27"/>
      <c r="BL374" s="27"/>
      <c r="BM374" s="27"/>
      <c r="BN374" s="28" t="str">
        <f aca="false">IF(OR(AX374="Yes",BI374="Yes"),"Yes",IF(AND(AX374="No",BI374="No"),"No",IF(AND(AX374="",BI374=""),"","Unknown")))</f>
        <v/>
      </c>
      <c r="BO374" s="31" t="str">
        <f aca="false">IF(COUNT(AY374,BJ374)=0,"",MIN(AY374,BJ374))</f>
        <v/>
      </c>
      <c r="BP374" s="29"/>
      <c r="BQ374" s="29"/>
      <c r="BR374" s="29"/>
      <c r="BS374" s="28" t="str">
        <f aca="false">IF(AND(N(BP374)&gt;0,N(BR374)&gt;0),BR374-BP374,"")</f>
        <v/>
      </c>
      <c r="BT374" s="28" t="str">
        <f aca="false">IF(BS374="","",ROUND(BS374/365.25,2))</f>
        <v/>
      </c>
      <c r="BU374" s="28" t="str">
        <f aca="false">IF(BS374="","",IF(BS374&gt;=730.5,"Yes","No"))</f>
        <v/>
      </c>
      <c r="BV374" s="27"/>
      <c r="BW374" s="29"/>
      <c r="BX374" s="27"/>
      <c r="BY374" s="27"/>
      <c r="BZ374" s="28" t="str">
        <f aca="false">IF(N(E374)=0,"",IF(E374&lt;65,"Under 65","≥65"))</f>
        <v/>
      </c>
      <c r="CA374" s="28" t="str">
        <f aca="false">IF(OR(AC374="Yes",AC374="No"),AC374,"")</f>
        <v/>
      </c>
      <c r="CB374" s="28" t="str">
        <f aca="false">IF(OR(AD374="Yes",AD374="No"),AD374,"")</f>
        <v/>
      </c>
      <c r="CC374" s="28" t="str">
        <f aca="false">IF(F374="","",F374)</f>
        <v/>
      </c>
      <c r="CD374" s="27"/>
      <c r="CE374" s="27"/>
    </row>
    <row r="375" customFormat="false" ht="15" hidden="false" customHeight="false" outlineLevel="0" collapsed="false">
      <c r="A375" s="27"/>
      <c r="B375" s="27"/>
      <c r="C375" s="27"/>
      <c r="D375" s="27"/>
      <c r="E375" s="27"/>
      <c r="F375" s="27"/>
      <c r="G375" s="27"/>
      <c r="H375" s="27"/>
      <c r="I375" s="27"/>
      <c r="J375" s="28" t="str">
        <f aca="false">IF(AND(N(H375)&gt;0,N(I375)&gt;0),ROUND(I375/(H375/100)^2,1),"")</f>
        <v/>
      </c>
      <c r="K375" s="27"/>
      <c r="L375" s="27"/>
      <c r="M375" s="27"/>
      <c r="N375" s="27"/>
      <c r="O375" s="27"/>
      <c r="P375" s="27"/>
      <c r="Q375" s="27"/>
      <c r="R375" s="29"/>
      <c r="S375" s="29"/>
      <c r="T375" s="27"/>
      <c r="U375" s="28" t="str">
        <f aca="false">IF(N(T375)=0,"",IF(T375&lt;12,"Under 12 months",IF(T375&lt;36,"12-35 months",IF(T375&lt;60,"36-59 months","≥60 months"))))</f>
        <v/>
      </c>
      <c r="V375" s="27"/>
      <c r="W375" s="30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9"/>
      <c r="AT375" s="30"/>
      <c r="AU375" s="30"/>
      <c r="AV375" s="30"/>
      <c r="AW375" s="27"/>
      <c r="AX375" s="27"/>
      <c r="AY375" s="29"/>
      <c r="AZ375" s="27"/>
      <c r="BA375" s="27"/>
      <c r="BB375" s="29"/>
      <c r="BC375" s="30"/>
      <c r="BD375" s="30"/>
      <c r="BE375" s="30"/>
      <c r="BF375" s="27"/>
      <c r="BG375" s="27"/>
      <c r="BH375" s="28" t="str">
        <f aca="false">IF(COUNT(BC375:BE375)=0,"",IF(MIN(BC375:BE375)&lt;=-2.5,"Yes","No"))</f>
        <v/>
      </c>
      <c r="BI375" s="27"/>
      <c r="BJ375" s="29"/>
      <c r="BK375" s="27"/>
      <c r="BL375" s="27"/>
      <c r="BM375" s="27"/>
      <c r="BN375" s="28" t="str">
        <f aca="false">IF(OR(AX375="Yes",BI375="Yes"),"Yes",IF(AND(AX375="No",BI375="No"),"No",IF(AND(AX375="",BI375=""),"","Unknown")))</f>
        <v/>
      </c>
      <c r="BO375" s="31" t="str">
        <f aca="false">IF(COUNT(AY375,BJ375)=0,"",MIN(AY375,BJ375))</f>
        <v/>
      </c>
      <c r="BP375" s="29"/>
      <c r="BQ375" s="29"/>
      <c r="BR375" s="29"/>
      <c r="BS375" s="28" t="str">
        <f aca="false">IF(AND(N(BP375)&gt;0,N(BR375)&gt;0),BR375-BP375,"")</f>
        <v/>
      </c>
      <c r="BT375" s="28" t="str">
        <f aca="false">IF(BS375="","",ROUND(BS375/365.25,2))</f>
        <v/>
      </c>
      <c r="BU375" s="28" t="str">
        <f aca="false">IF(BS375="","",IF(BS375&gt;=730.5,"Yes","No"))</f>
        <v/>
      </c>
      <c r="BV375" s="27"/>
      <c r="BW375" s="29"/>
      <c r="BX375" s="27"/>
      <c r="BY375" s="27"/>
      <c r="BZ375" s="28" t="str">
        <f aca="false">IF(N(E375)=0,"",IF(E375&lt;65,"Under 65","≥65"))</f>
        <v/>
      </c>
      <c r="CA375" s="28" t="str">
        <f aca="false">IF(OR(AC375="Yes",AC375="No"),AC375,"")</f>
        <v/>
      </c>
      <c r="CB375" s="28" t="str">
        <f aca="false">IF(OR(AD375="Yes",AD375="No"),AD375,"")</f>
        <v/>
      </c>
      <c r="CC375" s="28" t="str">
        <f aca="false">IF(F375="","",F375)</f>
        <v/>
      </c>
      <c r="CD375" s="27"/>
      <c r="CE375" s="27"/>
    </row>
    <row r="376" customFormat="false" ht="15" hidden="false" customHeight="false" outlineLevel="0" collapsed="false">
      <c r="A376" s="27"/>
      <c r="B376" s="27"/>
      <c r="C376" s="27"/>
      <c r="D376" s="27"/>
      <c r="E376" s="27"/>
      <c r="F376" s="27"/>
      <c r="G376" s="27"/>
      <c r="H376" s="27"/>
      <c r="I376" s="27"/>
      <c r="J376" s="28" t="str">
        <f aca="false">IF(AND(N(H376)&gt;0,N(I376)&gt;0),ROUND(I376/(H376/100)^2,1),"")</f>
        <v/>
      </c>
      <c r="K376" s="27"/>
      <c r="L376" s="27"/>
      <c r="M376" s="27"/>
      <c r="N376" s="27"/>
      <c r="O376" s="27"/>
      <c r="P376" s="27"/>
      <c r="Q376" s="27"/>
      <c r="R376" s="29"/>
      <c r="S376" s="29"/>
      <c r="T376" s="27"/>
      <c r="U376" s="28" t="str">
        <f aca="false">IF(N(T376)=0,"",IF(T376&lt;12,"Under 12 months",IF(T376&lt;36,"12-35 months",IF(T376&lt;60,"36-59 months","≥60 months"))))</f>
        <v/>
      </c>
      <c r="V376" s="27"/>
      <c r="W376" s="30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9"/>
      <c r="AT376" s="30"/>
      <c r="AU376" s="30"/>
      <c r="AV376" s="30"/>
      <c r="AW376" s="27"/>
      <c r="AX376" s="27"/>
      <c r="AY376" s="29"/>
      <c r="AZ376" s="27"/>
      <c r="BA376" s="27"/>
      <c r="BB376" s="29"/>
      <c r="BC376" s="30"/>
      <c r="BD376" s="30"/>
      <c r="BE376" s="30"/>
      <c r="BF376" s="27"/>
      <c r="BG376" s="27"/>
      <c r="BH376" s="28" t="str">
        <f aca="false">IF(COUNT(BC376:BE376)=0,"",IF(MIN(BC376:BE376)&lt;=-2.5,"Yes","No"))</f>
        <v/>
      </c>
      <c r="BI376" s="27"/>
      <c r="BJ376" s="29"/>
      <c r="BK376" s="27"/>
      <c r="BL376" s="27"/>
      <c r="BM376" s="27"/>
      <c r="BN376" s="28" t="str">
        <f aca="false">IF(OR(AX376="Yes",BI376="Yes"),"Yes",IF(AND(AX376="No",BI376="No"),"No",IF(AND(AX376="",BI376=""),"","Unknown")))</f>
        <v/>
      </c>
      <c r="BO376" s="31" t="str">
        <f aca="false">IF(COUNT(AY376,BJ376)=0,"",MIN(AY376,BJ376))</f>
        <v/>
      </c>
      <c r="BP376" s="29"/>
      <c r="BQ376" s="29"/>
      <c r="BR376" s="29"/>
      <c r="BS376" s="28" t="str">
        <f aca="false">IF(AND(N(BP376)&gt;0,N(BR376)&gt;0),BR376-BP376,"")</f>
        <v/>
      </c>
      <c r="BT376" s="28" t="str">
        <f aca="false">IF(BS376="","",ROUND(BS376/365.25,2))</f>
        <v/>
      </c>
      <c r="BU376" s="28" t="str">
        <f aca="false">IF(BS376="","",IF(BS376&gt;=730.5,"Yes","No"))</f>
        <v/>
      </c>
      <c r="BV376" s="27"/>
      <c r="BW376" s="29"/>
      <c r="BX376" s="27"/>
      <c r="BY376" s="27"/>
      <c r="BZ376" s="28" t="str">
        <f aca="false">IF(N(E376)=0,"",IF(E376&lt;65,"Under 65","≥65"))</f>
        <v/>
      </c>
      <c r="CA376" s="28" t="str">
        <f aca="false">IF(OR(AC376="Yes",AC376="No"),AC376,"")</f>
        <v/>
      </c>
      <c r="CB376" s="28" t="str">
        <f aca="false">IF(OR(AD376="Yes",AD376="No"),AD376,"")</f>
        <v/>
      </c>
      <c r="CC376" s="28" t="str">
        <f aca="false">IF(F376="","",F376)</f>
        <v/>
      </c>
      <c r="CD376" s="27"/>
      <c r="CE376" s="27"/>
    </row>
    <row r="377" customFormat="false" ht="15" hidden="false" customHeight="false" outlineLevel="0" collapsed="false">
      <c r="A377" s="27"/>
      <c r="B377" s="27"/>
      <c r="C377" s="27"/>
      <c r="D377" s="27"/>
      <c r="E377" s="27"/>
      <c r="F377" s="27"/>
      <c r="G377" s="27"/>
      <c r="H377" s="27"/>
      <c r="I377" s="27"/>
      <c r="J377" s="28" t="str">
        <f aca="false">IF(AND(N(H377)&gt;0,N(I377)&gt;0),ROUND(I377/(H377/100)^2,1),"")</f>
        <v/>
      </c>
      <c r="K377" s="27"/>
      <c r="L377" s="27"/>
      <c r="M377" s="27"/>
      <c r="N377" s="27"/>
      <c r="O377" s="27"/>
      <c r="P377" s="27"/>
      <c r="Q377" s="27"/>
      <c r="R377" s="29"/>
      <c r="S377" s="29"/>
      <c r="T377" s="27"/>
      <c r="U377" s="28" t="str">
        <f aca="false">IF(N(T377)=0,"",IF(T377&lt;12,"Under 12 months",IF(T377&lt;36,"12-35 months",IF(T377&lt;60,"36-59 months","≥60 months"))))</f>
        <v/>
      </c>
      <c r="V377" s="27"/>
      <c r="W377" s="30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9"/>
      <c r="AT377" s="30"/>
      <c r="AU377" s="30"/>
      <c r="AV377" s="30"/>
      <c r="AW377" s="27"/>
      <c r="AX377" s="27"/>
      <c r="AY377" s="29"/>
      <c r="AZ377" s="27"/>
      <c r="BA377" s="27"/>
      <c r="BB377" s="29"/>
      <c r="BC377" s="30"/>
      <c r="BD377" s="30"/>
      <c r="BE377" s="30"/>
      <c r="BF377" s="27"/>
      <c r="BG377" s="27"/>
      <c r="BH377" s="28" t="str">
        <f aca="false">IF(COUNT(BC377:BE377)=0,"",IF(MIN(BC377:BE377)&lt;=-2.5,"Yes","No"))</f>
        <v/>
      </c>
      <c r="BI377" s="27"/>
      <c r="BJ377" s="29"/>
      <c r="BK377" s="27"/>
      <c r="BL377" s="27"/>
      <c r="BM377" s="27"/>
      <c r="BN377" s="28" t="str">
        <f aca="false">IF(OR(AX377="Yes",BI377="Yes"),"Yes",IF(AND(AX377="No",BI377="No"),"No",IF(AND(AX377="",BI377=""),"","Unknown")))</f>
        <v/>
      </c>
      <c r="BO377" s="31" t="str">
        <f aca="false">IF(COUNT(AY377,BJ377)=0,"",MIN(AY377,BJ377))</f>
        <v/>
      </c>
      <c r="BP377" s="29"/>
      <c r="BQ377" s="29"/>
      <c r="BR377" s="29"/>
      <c r="BS377" s="28" t="str">
        <f aca="false">IF(AND(N(BP377)&gt;0,N(BR377)&gt;0),BR377-BP377,"")</f>
        <v/>
      </c>
      <c r="BT377" s="28" t="str">
        <f aca="false">IF(BS377="","",ROUND(BS377/365.25,2))</f>
        <v/>
      </c>
      <c r="BU377" s="28" t="str">
        <f aca="false">IF(BS377="","",IF(BS377&gt;=730.5,"Yes","No"))</f>
        <v/>
      </c>
      <c r="BV377" s="27"/>
      <c r="BW377" s="29"/>
      <c r="BX377" s="27"/>
      <c r="BY377" s="27"/>
      <c r="BZ377" s="28" t="str">
        <f aca="false">IF(N(E377)=0,"",IF(E377&lt;65,"Under 65","≥65"))</f>
        <v/>
      </c>
      <c r="CA377" s="28" t="str">
        <f aca="false">IF(OR(AC377="Yes",AC377="No"),AC377,"")</f>
        <v/>
      </c>
      <c r="CB377" s="28" t="str">
        <f aca="false">IF(OR(AD377="Yes",AD377="No"),AD377,"")</f>
        <v/>
      </c>
      <c r="CC377" s="28" t="str">
        <f aca="false">IF(F377="","",F377)</f>
        <v/>
      </c>
      <c r="CD377" s="27"/>
      <c r="CE377" s="27"/>
    </row>
    <row r="378" customFormat="false" ht="15" hidden="false" customHeight="false" outlineLevel="0" collapsed="false">
      <c r="A378" s="27"/>
      <c r="B378" s="27"/>
      <c r="C378" s="27"/>
      <c r="D378" s="27"/>
      <c r="E378" s="27"/>
      <c r="F378" s="27"/>
      <c r="G378" s="27"/>
      <c r="H378" s="27"/>
      <c r="I378" s="27"/>
      <c r="J378" s="28" t="str">
        <f aca="false">IF(AND(N(H378)&gt;0,N(I378)&gt;0),ROUND(I378/(H378/100)^2,1),"")</f>
        <v/>
      </c>
      <c r="K378" s="27"/>
      <c r="L378" s="27"/>
      <c r="M378" s="27"/>
      <c r="N378" s="27"/>
      <c r="O378" s="27"/>
      <c r="P378" s="27"/>
      <c r="Q378" s="27"/>
      <c r="R378" s="29"/>
      <c r="S378" s="29"/>
      <c r="T378" s="27"/>
      <c r="U378" s="28" t="str">
        <f aca="false">IF(N(T378)=0,"",IF(T378&lt;12,"Under 12 months",IF(T378&lt;36,"12-35 months",IF(T378&lt;60,"36-59 months","≥60 months"))))</f>
        <v/>
      </c>
      <c r="V378" s="27"/>
      <c r="W378" s="30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9"/>
      <c r="AT378" s="30"/>
      <c r="AU378" s="30"/>
      <c r="AV378" s="30"/>
      <c r="AW378" s="27"/>
      <c r="AX378" s="27"/>
      <c r="AY378" s="29"/>
      <c r="AZ378" s="27"/>
      <c r="BA378" s="27"/>
      <c r="BB378" s="29"/>
      <c r="BC378" s="30"/>
      <c r="BD378" s="30"/>
      <c r="BE378" s="30"/>
      <c r="BF378" s="27"/>
      <c r="BG378" s="27"/>
      <c r="BH378" s="28" t="str">
        <f aca="false">IF(COUNT(BC378:BE378)=0,"",IF(MIN(BC378:BE378)&lt;=-2.5,"Yes","No"))</f>
        <v/>
      </c>
      <c r="BI378" s="27"/>
      <c r="BJ378" s="29"/>
      <c r="BK378" s="27"/>
      <c r="BL378" s="27"/>
      <c r="BM378" s="27"/>
      <c r="BN378" s="28" t="str">
        <f aca="false">IF(OR(AX378="Yes",BI378="Yes"),"Yes",IF(AND(AX378="No",BI378="No"),"No",IF(AND(AX378="",BI378=""),"","Unknown")))</f>
        <v/>
      </c>
      <c r="BO378" s="31" t="str">
        <f aca="false">IF(COUNT(AY378,BJ378)=0,"",MIN(AY378,BJ378))</f>
        <v/>
      </c>
      <c r="BP378" s="29"/>
      <c r="BQ378" s="29"/>
      <c r="BR378" s="29"/>
      <c r="BS378" s="28" t="str">
        <f aca="false">IF(AND(N(BP378)&gt;0,N(BR378)&gt;0),BR378-BP378,"")</f>
        <v/>
      </c>
      <c r="BT378" s="28" t="str">
        <f aca="false">IF(BS378="","",ROUND(BS378/365.25,2))</f>
        <v/>
      </c>
      <c r="BU378" s="28" t="str">
        <f aca="false">IF(BS378="","",IF(BS378&gt;=730.5,"Yes","No"))</f>
        <v/>
      </c>
      <c r="BV378" s="27"/>
      <c r="BW378" s="29"/>
      <c r="BX378" s="27"/>
      <c r="BY378" s="27"/>
      <c r="BZ378" s="28" t="str">
        <f aca="false">IF(N(E378)=0,"",IF(E378&lt;65,"Under 65","≥65"))</f>
        <v/>
      </c>
      <c r="CA378" s="28" t="str">
        <f aca="false">IF(OR(AC378="Yes",AC378="No"),AC378,"")</f>
        <v/>
      </c>
      <c r="CB378" s="28" t="str">
        <f aca="false">IF(OR(AD378="Yes",AD378="No"),AD378,"")</f>
        <v/>
      </c>
      <c r="CC378" s="28" t="str">
        <f aca="false">IF(F378="","",F378)</f>
        <v/>
      </c>
      <c r="CD378" s="27"/>
      <c r="CE378" s="27"/>
    </row>
    <row r="379" customFormat="false" ht="15" hidden="false" customHeight="false" outlineLevel="0" collapsed="false">
      <c r="A379" s="27"/>
      <c r="B379" s="27"/>
      <c r="C379" s="27"/>
      <c r="D379" s="27"/>
      <c r="E379" s="27"/>
      <c r="F379" s="27"/>
      <c r="G379" s="27"/>
      <c r="H379" s="27"/>
      <c r="I379" s="27"/>
      <c r="J379" s="28" t="str">
        <f aca="false">IF(AND(N(H379)&gt;0,N(I379)&gt;0),ROUND(I379/(H379/100)^2,1),"")</f>
        <v/>
      </c>
      <c r="K379" s="27"/>
      <c r="L379" s="27"/>
      <c r="M379" s="27"/>
      <c r="N379" s="27"/>
      <c r="O379" s="27"/>
      <c r="P379" s="27"/>
      <c r="Q379" s="27"/>
      <c r="R379" s="29"/>
      <c r="S379" s="29"/>
      <c r="T379" s="27"/>
      <c r="U379" s="28" t="str">
        <f aca="false">IF(N(T379)=0,"",IF(T379&lt;12,"Under 12 months",IF(T379&lt;36,"12-35 months",IF(T379&lt;60,"36-59 months","≥60 months"))))</f>
        <v/>
      </c>
      <c r="V379" s="27"/>
      <c r="W379" s="30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9"/>
      <c r="AT379" s="30"/>
      <c r="AU379" s="30"/>
      <c r="AV379" s="30"/>
      <c r="AW379" s="27"/>
      <c r="AX379" s="27"/>
      <c r="AY379" s="29"/>
      <c r="AZ379" s="27"/>
      <c r="BA379" s="27"/>
      <c r="BB379" s="29"/>
      <c r="BC379" s="30"/>
      <c r="BD379" s="30"/>
      <c r="BE379" s="30"/>
      <c r="BF379" s="27"/>
      <c r="BG379" s="27"/>
      <c r="BH379" s="28" t="str">
        <f aca="false">IF(COUNT(BC379:BE379)=0,"",IF(MIN(BC379:BE379)&lt;=-2.5,"Yes","No"))</f>
        <v/>
      </c>
      <c r="BI379" s="27"/>
      <c r="BJ379" s="29"/>
      <c r="BK379" s="27"/>
      <c r="BL379" s="27"/>
      <c r="BM379" s="27"/>
      <c r="BN379" s="28" t="str">
        <f aca="false">IF(OR(AX379="Yes",BI379="Yes"),"Yes",IF(AND(AX379="No",BI379="No"),"No",IF(AND(AX379="",BI379=""),"","Unknown")))</f>
        <v/>
      </c>
      <c r="BO379" s="31" t="str">
        <f aca="false">IF(COUNT(AY379,BJ379)=0,"",MIN(AY379,BJ379))</f>
        <v/>
      </c>
      <c r="BP379" s="29"/>
      <c r="BQ379" s="29"/>
      <c r="BR379" s="29"/>
      <c r="BS379" s="28" t="str">
        <f aca="false">IF(AND(N(BP379)&gt;0,N(BR379)&gt;0),BR379-BP379,"")</f>
        <v/>
      </c>
      <c r="BT379" s="28" t="str">
        <f aca="false">IF(BS379="","",ROUND(BS379/365.25,2))</f>
        <v/>
      </c>
      <c r="BU379" s="28" t="str">
        <f aca="false">IF(BS379="","",IF(BS379&gt;=730.5,"Yes","No"))</f>
        <v/>
      </c>
      <c r="BV379" s="27"/>
      <c r="BW379" s="29"/>
      <c r="BX379" s="27"/>
      <c r="BY379" s="27"/>
      <c r="BZ379" s="28" t="str">
        <f aca="false">IF(N(E379)=0,"",IF(E379&lt;65,"Under 65","≥65"))</f>
        <v/>
      </c>
      <c r="CA379" s="28" t="str">
        <f aca="false">IF(OR(AC379="Yes",AC379="No"),AC379,"")</f>
        <v/>
      </c>
      <c r="CB379" s="28" t="str">
        <f aca="false">IF(OR(AD379="Yes",AD379="No"),AD379,"")</f>
        <v/>
      </c>
      <c r="CC379" s="28" t="str">
        <f aca="false">IF(F379="","",F379)</f>
        <v/>
      </c>
      <c r="CD379" s="27"/>
      <c r="CE379" s="27"/>
    </row>
    <row r="380" customFormat="false" ht="15" hidden="false" customHeight="false" outlineLevel="0" collapsed="false">
      <c r="A380" s="27"/>
      <c r="B380" s="27"/>
      <c r="C380" s="27"/>
      <c r="D380" s="27"/>
      <c r="E380" s="27"/>
      <c r="F380" s="27"/>
      <c r="G380" s="27"/>
      <c r="H380" s="27"/>
      <c r="I380" s="27"/>
      <c r="J380" s="28" t="str">
        <f aca="false">IF(AND(N(H380)&gt;0,N(I380)&gt;0),ROUND(I380/(H380/100)^2,1),"")</f>
        <v/>
      </c>
      <c r="K380" s="27"/>
      <c r="L380" s="27"/>
      <c r="M380" s="27"/>
      <c r="N380" s="27"/>
      <c r="O380" s="27"/>
      <c r="P380" s="27"/>
      <c r="Q380" s="27"/>
      <c r="R380" s="29"/>
      <c r="S380" s="29"/>
      <c r="T380" s="27"/>
      <c r="U380" s="28" t="str">
        <f aca="false">IF(N(T380)=0,"",IF(T380&lt;12,"Under 12 months",IF(T380&lt;36,"12-35 months",IF(T380&lt;60,"36-59 months","≥60 months"))))</f>
        <v/>
      </c>
      <c r="V380" s="27"/>
      <c r="W380" s="30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9"/>
      <c r="AT380" s="30"/>
      <c r="AU380" s="30"/>
      <c r="AV380" s="30"/>
      <c r="AW380" s="27"/>
      <c r="AX380" s="27"/>
      <c r="AY380" s="29"/>
      <c r="AZ380" s="27"/>
      <c r="BA380" s="27"/>
      <c r="BB380" s="29"/>
      <c r="BC380" s="30"/>
      <c r="BD380" s="30"/>
      <c r="BE380" s="30"/>
      <c r="BF380" s="27"/>
      <c r="BG380" s="27"/>
      <c r="BH380" s="28" t="str">
        <f aca="false">IF(COUNT(BC380:BE380)=0,"",IF(MIN(BC380:BE380)&lt;=-2.5,"Yes","No"))</f>
        <v/>
      </c>
      <c r="BI380" s="27"/>
      <c r="BJ380" s="29"/>
      <c r="BK380" s="27"/>
      <c r="BL380" s="27"/>
      <c r="BM380" s="27"/>
      <c r="BN380" s="28" t="str">
        <f aca="false">IF(OR(AX380="Yes",BI380="Yes"),"Yes",IF(AND(AX380="No",BI380="No"),"No",IF(AND(AX380="",BI380=""),"","Unknown")))</f>
        <v/>
      </c>
      <c r="BO380" s="31" t="str">
        <f aca="false">IF(COUNT(AY380,BJ380)=0,"",MIN(AY380,BJ380))</f>
        <v/>
      </c>
      <c r="BP380" s="29"/>
      <c r="BQ380" s="29"/>
      <c r="BR380" s="29"/>
      <c r="BS380" s="28" t="str">
        <f aca="false">IF(AND(N(BP380)&gt;0,N(BR380)&gt;0),BR380-BP380,"")</f>
        <v/>
      </c>
      <c r="BT380" s="28" t="str">
        <f aca="false">IF(BS380="","",ROUND(BS380/365.25,2))</f>
        <v/>
      </c>
      <c r="BU380" s="28" t="str">
        <f aca="false">IF(BS380="","",IF(BS380&gt;=730.5,"Yes","No"))</f>
        <v/>
      </c>
      <c r="BV380" s="27"/>
      <c r="BW380" s="29"/>
      <c r="BX380" s="27"/>
      <c r="BY380" s="27"/>
      <c r="BZ380" s="28" t="str">
        <f aca="false">IF(N(E380)=0,"",IF(E380&lt;65,"Under 65","≥65"))</f>
        <v/>
      </c>
      <c r="CA380" s="28" t="str">
        <f aca="false">IF(OR(AC380="Yes",AC380="No"),AC380,"")</f>
        <v/>
      </c>
      <c r="CB380" s="28" t="str">
        <f aca="false">IF(OR(AD380="Yes",AD380="No"),AD380,"")</f>
        <v/>
      </c>
      <c r="CC380" s="28" t="str">
        <f aca="false">IF(F380="","",F380)</f>
        <v/>
      </c>
      <c r="CD380" s="27"/>
      <c r="CE380" s="27"/>
    </row>
    <row r="381" customFormat="false" ht="15" hidden="false" customHeight="false" outlineLevel="0" collapsed="false">
      <c r="A381" s="27"/>
      <c r="B381" s="27"/>
      <c r="C381" s="27"/>
      <c r="D381" s="27"/>
      <c r="E381" s="27"/>
      <c r="F381" s="27"/>
      <c r="G381" s="27"/>
      <c r="H381" s="27"/>
      <c r="I381" s="27"/>
      <c r="J381" s="28" t="str">
        <f aca="false">IF(AND(N(H381)&gt;0,N(I381)&gt;0),ROUND(I381/(H381/100)^2,1),"")</f>
        <v/>
      </c>
      <c r="K381" s="27"/>
      <c r="L381" s="27"/>
      <c r="M381" s="27"/>
      <c r="N381" s="27"/>
      <c r="O381" s="27"/>
      <c r="P381" s="27"/>
      <c r="Q381" s="27"/>
      <c r="R381" s="29"/>
      <c r="S381" s="29"/>
      <c r="T381" s="27"/>
      <c r="U381" s="28" t="str">
        <f aca="false">IF(N(T381)=0,"",IF(T381&lt;12,"Under 12 months",IF(T381&lt;36,"12-35 months",IF(T381&lt;60,"36-59 months","≥60 months"))))</f>
        <v/>
      </c>
      <c r="V381" s="27"/>
      <c r="W381" s="30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9"/>
      <c r="AT381" s="30"/>
      <c r="AU381" s="30"/>
      <c r="AV381" s="30"/>
      <c r="AW381" s="27"/>
      <c r="AX381" s="27"/>
      <c r="AY381" s="29"/>
      <c r="AZ381" s="27"/>
      <c r="BA381" s="27"/>
      <c r="BB381" s="29"/>
      <c r="BC381" s="30"/>
      <c r="BD381" s="30"/>
      <c r="BE381" s="30"/>
      <c r="BF381" s="27"/>
      <c r="BG381" s="27"/>
      <c r="BH381" s="28" t="str">
        <f aca="false">IF(COUNT(BC381:BE381)=0,"",IF(MIN(BC381:BE381)&lt;=-2.5,"Yes","No"))</f>
        <v/>
      </c>
      <c r="BI381" s="27"/>
      <c r="BJ381" s="29"/>
      <c r="BK381" s="27"/>
      <c r="BL381" s="27"/>
      <c r="BM381" s="27"/>
      <c r="BN381" s="28" t="str">
        <f aca="false">IF(OR(AX381="Yes",BI381="Yes"),"Yes",IF(AND(AX381="No",BI381="No"),"No",IF(AND(AX381="",BI381=""),"","Unknown")))</f>
        <v/>
      </c>
      <c r="BO381" s="31" t="str">
        <f aca="false">IF(COUNT(AY381,BJ381)=0,"",MIN(AY381,BJ381))</f>
        <v/>
      </c>
      <c r="BP381" s="29"/>
      <c r="BQ381" s="29"/>
      <c r="BR381" s="29"/>
      <c r="BS381" s="28" t="str">
        <f aca="false">IF(AND(N(BP381)&gt;0,N(BR381)&gt;0),BR381-BP381,"")</f>
        <v/>
      </c>
      <c r="BT381" s="28" t="str">
        <f aca="false">IF(BS381="","",ROUND(BS381/365.25,2))</f>
        <v/>
      </c>
      <c r="BU381" s="28" t="str">
        <f aca="false">IF(BS381="","",IF(BS381&gt;=730.5,"Yes","No"))</f>
        <v/>
      </c>
      <c r="BV381" s="27"/>
      <c r="BW381" s="29"/>
      <c r="BX381" s="27"/>
      <c r="BY381" s="27"/>
      <c r="BZ381" s="28" t="str">
        <f aca="false">IF(N(E381)=0,"",IF(E381&lt;65,"Under 65","≥65"))</f>
        <v/>
      </c>
      <c r="CA381" s="28" t="str">
        <f aca="false">IF(OR(AC381="Yes",AC381="No"),AC381,"")</f>
        <v/>
      </c>
      <c r="CB381" s="28" t="str">
        <f aca="false">IF(OR(AD381="Yes",AD381="No"),AD381,"")</f>
        <v/>
      </c>
      <c r="CC381" s="28" t="str">
        <f aca="false">IF(F381="","",F381)</f>
        <v/>
      </c>
      <c r="CD381" s="27"/>
      <c r="CE381" s="27"/>
    </row>
    <row r="382" customFormat="false" ht="15" hidden="false" customHeight="false" outlineLevel="0" collapsed="false">
      <c r="A382" s="27"/>
      <c r="B382" s="27"/>
      <c r="C382" s="27"/>
      <c r="D382" s="27"/>
      <c r="E382" s="27"/>
      <c r="F382" s="27"/>
      <c r="G382" s="27"/>
      <c r="H382" s="27"/>
      <c r="I382" s="27"/>
      <c r="J382" s="28" t="str">
        <f aca="false">IF(AND(N(H382)&gt;0,N(I382)&gt;0),ROUND(I382/(H382/100)^2,1),"")</f>
        <v/>
      </c>
      <c r="K382" s="27"/>
      <c r="L382" s="27"/>
      <c r="M382" s="27"/>
      <c r="N382" s="27"/>
      <c r="O382" s="27"/>
      <c r="P382" s="27"/>
      <c r="Q382" s="27"/>
      <c r="R382" s="29"/>
      <c r="S382" s="29"/>
      <c r="T382" s="27"/>
      <c r="U382" s="28" t="str">
        <f aca="false">IF(N(T382)=0,"",IF(T382&lt;12,"Under 12 months",IF(T382&lt;36,"12-35 months",IF(T382&lt;60,"36-59 months","≥60 months"))))</f>
        <v/>
      </c>
      <c r="V382" s="27"/>
      <c r="W382" s="30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9"/>
      <c r="AT382" s="30"/>
      <c r="AU382" s="30"/>
      <c r="AV382" s="30"/>
      <c r="AW382" s="27"/>
      <c r="AX382" s="27"/>
      <c r="AY382" s="29"/>
      <c r="AZ382" s="27"/>
      <c r="BA382" s="27"/>
      <c r="BB382" s="29"/>
      <c r="BC382" s="30"/>
      <c r="BD382" s="30"/>
      <c r="BE382" s="30"/>
      <c r="BF382" s="27"/>
      <c r="BG382" s="27"/>
      <c r="BH382" s="28" t="str">
        <f aca="false">IF(COUNT(BC382:BE382)=0,"",IF(MIN(BC382:BE382)&lt;=-2.5,"Yes","No"))</f>
        <v/>
      </c>
      <c r="BI382" s="27"/>
      <c r="BJ382" s="29"/>
      <c r="BK382" s="27"/>
      <c r="BL382" s="27"/>
      <c r="BM382" s="27"/>
      <c r="BN382" s="28" t="str">
        <f aca="false">IF(OR(AX382="Yes",BI382="Yes"),"Yes",IF(AND(AX382="No",BI382="No"),"No",IF(AND(AX382="",BI382=""),"","Unknown")))</f>
        <v/>
      </c>
      <c r="BO382" s="31" t="str">
        <f aca="false">IF(COUNT(AY382,BJ382)=0,"",MIN(AY382,BJ382))</f>
        <v/>
      </c>
      <c r="BP382" s="29"/>
      <c r="BQ382" s="29"/>
      <c r="BR382" s="29"/>
      <c r="BS382" s="28" t="str">
        <f aca="false">IF(AND(N(BP382)&gt;0,N(BR382)&gt;0),BR382-BP382,"")</f>
        <v/>
      </c>
      <c r="BT382" s="28" t="str">
        <f aca="false">IF(BS382="","",ROUND(BS382/365.25,2))</f>
        <v/>
      </c>
      <c r="BU382" s="28" t="str">
        <f aca="false">IF(BS382="","",IF(BS382&gt;=730.5,"Yes","No"))</f>
        <v/>
      </c>
      <c r="BV382" s="27"/>
      <c r="BW382" s="29"/>
      <c r="BX382" s="27"/>
      <c r="BY382" s="27"/>
      <c r="BZ382" s="28" t="str">
        <f aca="false">IF(N(E382)=0,"",IF(E382&lt;65,"Under 65","≥65"))</f>
        <v/>
      </c>
      <c r="CA382" s="28" t="str">
        <f aca="false">IF(OR(AC382="Yes",AC382="No"),AC382,"")</f>
        <v/>
      </c>
      <c r="CB382" s="28" t="str">
        <f aca="false">IF(OR(AD382="Yes",AD382="No"),AD382,"")</f>
        <v/>
      </c>
      <c r="CC382" s="28" t="str">
        <f aca="false">IF(F382="","",F382)</f>
        <v/>
      </c>
      <c r="CD382" s="27"/>
      <c r="CE382" s="27"/>
    </row>
    <row r="383" customFormat="false" ht="15" hidden="false" customHeight="false" outlineLevel="0" collapsed="false">
      <c r="A383" s="27"/>
      <c r="B383" s="27"/>
      <c r="C383" s="27"/>
      <c r="D383" s="27"/>
      <c r="E383" s="27"/>
      <c r="F383" s="27"/>
      <c r="G383" s="27"/>
      <c r="H383" s="27"/>
      <c r="I383" s="27"/>
      <c r="J383" s="28" t="str">
        <f aca="false">IF(AND(N(H383)&gt;0,N(I383)&gt;0),ROUND(I383/(H383/100)^2,1),"")</f>
        <v/>
      </c>
      <c r="K383" s="27"/>
      <c r="L383" s="27"/>
      <c r="M383" s="27"/>
      <c r="N383" s="27"/>
      <c r="O383" s="27"/>
      <c r="P383" s="27"/>
      <c r="Q383" s="27"/>
      <c r="R383" s="29"/>
      <c r="S383" s="29"/>
      <c r="T383" s="27"/>
      <c r="U383" s="28" t="str">
        <f aca="false">IF(N(T383)=0,"",IF(T383&lt;12,"Under 12 months",IF(T383&lt;36,"12-35 months",IF(T383&lt;60,"36-59 months","≥60 months"))))</f>
        <v/>
      </c>
      <c r="V383" s="27"/>
      <c r="W383" s="30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9"/>
      <c r="AT383" s="30"/>
      <c r="AU383" s="30"/>
      <c r="AV383" s="30"/>
      <c r="AW383" s="27"/>
      <c r="AX383" s="27"/>
      <c r="AY383" s="29"/>
      <c r="AZ383" s="27"/>
      <c r="BA383" s="27"/>
      <c r="BB383" s="29"/>
      <c r="BC383" s="30"/>
      <c r="BD383" s="30"/>
      <c r="BE383" s="30"/>
      <c r="BF383" s="27"/>
      <c r="BG383" s="27"/>
      <c r="BH383" s="28" t="str">
        <f aca="false">IF(COUNT(BC383:BE383)=0,"",IF(MIN(BC383:BE383)&lt;=-2.5,"Yes","No"))</f>
        <v/>
      </c>
      <c r="BI383" s="27"/>
      <c r="BJ383" s="29"/>
      <c r="BK383" s="27"/>
      <c r="BL383" s="27"/>
      <c r="BM383" s="27"/>
      <c r="BN383" s="28" t="str">
        <f aca="false">IF(OR(AX383="Yes",BI383="Yes"),"Yes",IF(AND(AX383="No",BI383="No"),"No",IF(AND(AX383="",BI383=""),"","Unknown")))</f>
        <v/>
      </c>
      <c r="BO383" s="31" t="str">
        <f aca="false">IF(COUNT(AY383,BJ383)=0,"",MIN(AY383,BJ383))</f>
        <v/>
      </c>
      <c r="BP383" s="29"/>
      <c r="BQ383" s="29"/>
      <c r="BR383" s="29"/>
      <c r="BS383" s="28" t="str">
        <f aca="false">IF(AND(N(BP383)&gt;0,N(BR383)&gt;0),BR383-BP383,"")</f>
        <v/>
      </c>
      <c r="BT383" s="28" t="str">
        <f aca="false">IF(BS383="","",ROUND(BS383/365.25,2))</f>
        <v/>
      </c>
      <c r="BU383" s="28" t="str">
        <f aca="false">IF(BS383="","",IF(BS383&gt;=730.5,"Yes","No"))</f>
        <v/>
      </c>
      <c r="BV383" s="27"/>
      <c r="BW383" s="29"/>
      <c r="BX383" s="27"/>
      <c r="BY383" s="27"/>
      <c r="BZ383" s="28" t="str">
        <f aca="false">IF(N(E383)=0,"",IF(E383&lt;65,"Under 65","≥65"))</f>
        <v/>
      </c>
      <c r="CA383" s="28" t="str">
        <f aca="false">IF(OR(AC383="Yes",AC383="No"),AC383,"")</f>
        <v/>
      </c>
      <c r="CB383" s="28" t="str">
        <f aca="false">IF(OR(AD383="Yes",AD383="No"),AD383,"")</f>
        <v/>
      </c>
      <c r="CC383" s="28" t="str">
        <f aca="false">IF(F383="","",F383)</f>
        <v/>
      </c>
      <c r="CD383" s="27"/>
      <c r="CE383" s="27"/>
    </row>
    <row r="384" customFormat="false" ht="15" hidden="false" customHeight="false" outlineLevel="0" collapsed="false">
      <c r="A384" s="27"/>
      <c r="B384" s="27"/>
      <c r="C384" s="27"/>
      <c r="D384" s="27"/>
      <c r="E384" s="27"/>
      <c r="F384" s="27"/>
      <c r="G384" s="27"/>
      <c r="H384" s="27"/>
      <c r="I384" s="27"/>
      <c r="J384" s="28" t="str">
        <f aca="false">IF(AND(N(H384)&gt;0,N(I384)&gt;0),ROUND(I384/(H384/100)^2,1),"")</f>
        <v/>
      </c>
      <c r="K384" s="27"/>
      <c r="L384" s="27"/>
      <c r="M384" s="27"/>
      <c r="N384" s="27"/>
      <c r="O384" s="27"/>
      <c r="P384" s="27"/>
      <c r="Q384" s="27"/>
      <c r="R384" s="29"/>
      <c r="S384" s="29"/>
      <c r="T384" s="27"/>
      <c r="U384" s="28" t="str">
        <f aca="false">IF(N(T384)=0,"",IF(T384&lt;12,"Under 12 months",IF(T384&lt;36,"12-35 months",IF(T384&lt;60,"36-59 months","≥60 months"))))</f>
        <v/>
      </c>
      <c r="V384" s="27"/>
      <c r="W384" s="30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9"/>
      <c r="AT384" s="30"/>
      <c r="AU384" s="30"/>
      <c r="AV384" s="30"/>
      <c r="AW384" s="27"/>
      <c r="AX384" s="27"/>
      <c r="AY384" s="29"/>
      <c r="AZ384" s="27"/>
      <c r="BA384" s="27"/>
      <c r="BB384" s="29"/>
      <c r="BC384" s="30"/>
      <c r="BD384" s="30"/>
      <c r="BE384" s="30"/>
      <c r="BF384" s="27"/>
      <c r="BG384" s="27"/>
      <c r="BH384" s="28" t="str">
        <f aca="false">IF(COUNT(BC384:BE384)=0,"",IF(MIN(BC384:BE384)&lt;=-2.5,"Yes","No"))</f>
        <v/>
      </c>
      <c r="BI384" s="27"/>
      <c r="BJ384" s="29"/>
      <c r="BK384" s="27"/>
      <c r="BL384" s="27"/>
      <c r="BM384" s="27"/>
      <c r="BN384" s="28" t="str">
        <f aca="false">IF(OR(AX384="Yes",BI384="Yes"),"Yes",IF(AND(AX384="No",BI384="No"),"No",IF(AND(AX384="",BI384=""),"","Unknown")))</f>
        <v/>
      </c>
      <c r="BO384" s="31" t="str">
        <f aca="false">IF(COUNT(AY384,BJ384)=0,"",MIN(AY384,BJ384))</f>
        <v/>
      </c>
      <c r="BP384" s="29"/>
      <c r="BQ384" s="29"/>
      <c r="BR384" s="29"/>
      <c r="BS384" s="28" t="str">
        <f aca="false">IF(AND(N(BP384)&gt;0,N(BR384)&gt;0),BR384-BP384,"")</f>
        <v/>
      </c>
      <c r="BT384" s="28" t="str">
        <f aca="false">IF(BS384="","",ROUND(BS384/365.25,2))</f>
        <v/>
      </c>
      <c r="BU384" s="28" t="str">
        <f aca="false">IF(BS384="","",IF(BS384&gt;=730.5,"Yes","No"))</f>
        <v/>
      </c>
      <c r="BV384" s="27"/>
      <c r="BW384" s="29"/>
      <c r="BX384" s="27"/>
      <c r="BY384" s="27"/>
      <c r="BZ384" s="28" t="str">
        <f aca="false">IF(N(E384)=0,"",IF(E384&lt;65,"Under 65","≥65"))</f>
        <v/>
      </c>
      <c r="CA384" s="28" t="str">
        <f aca="false">IF(OR(AC384="Yes",AC384="No"),AC384,"")</f>
        <v/>
      </c>
      <c r="CB384" s="28" t="str">
        <f aca="false">IF(OR(AD384="Yes",AD384="No"),AD384,"")</f>
        <v/>
      </c>
      <c r="CC384" s="28" t="str">
        <f aca="false">IF(F384="","",F384)</f>
        <v/>
      </c>
      <c r="CD384" s="27"/>
      <c r="CE384" s="27"/>
    </row>
    <row r="385" customFormat="false" ht="15" hidden="false" customHeight="false" outlineLevel="0" collapsed="false">
      <c r="A385" s="27"/>
      <c r="B385" s="27"/>
      <c r="C385" s="27"/>
      <c r="D385" s="27"/>
      <c r="E385" s="27"/>
      <c r="F385" s="27"/>
      <c r="G385" s="27"/>
      <c r="H385" s="27"/>
      <c r="I385" s="27"/>
      <c r="J385" s="28" t="str">
        <f aca="false">IF(AND(N(H385)&gt;0,N(I385)&gt;0),ROUND(I385/(H385/100)^2,1),"")</f>
        <v/>
      </c>
      <c r="K385" s="27"/>
      <c r="L385" s="27"/>
      <c r="M385" s="27"/>
      <c r="N385" s="27"/>
      <c r="O385" s="27"/>
      <c r="P385" s="27"/>
      <c r="Q385" s="27"/>
      <c r="R385" s="29"/>
      <c r="S385" s="29"/>
      <c r="T385" s="27"/>
      <c r="U385" s="28" t="str">
        <f aca="false">IF(N(T385)=0,"",IF(T385&lt;12,"Under 12 months",IF(T385&lt;36,"12-35 months",IF(T385&lt;60,"36-59 months","≥60 months"))))</f>
        <v/>
      </c>
      <c r="V385" s="27"/>
      <c r="W385" s="30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9"/>
      <c r="AT385" s="30"/>
      <c r="AU385" s="30"/>
      <c r="AV385" s="30"/>
      <c r="AW385" s="27"/>
      <c r="AX385" s="27"/>
      <c r="AY385" s="29"/>
      <c r="AZ385" s="27"/>
      <c r="BA385" s="27"/>
      <c r="BB385" s="29"/>
      <c r="BC385" s="30"/>
      <c r="BD385" s="30"/>
      <c r="BE385" s="30"/>
      <c r="BF385" s="27"/>
      <c r="BG385" s="27"/>
      <c r="BH385" s="28" t="str">
        <f aca="false">IF(COUNT(BC385:BE385)=0,"",IF(MIN(BC385:BE385)&lt;=-2.5,"Yes","No"))</f>
        <v/>
      </c>
      <c r="BI385" s="27"/>
      <c r="BJ385" s="29"/>
      <c r="BK385" s="27"/>
      <c r="BL385" s="27"/>
      <c r="BM385" s="27"/>
      <c r="BN385" s="28" t="str">
        <f aca="false">IF(OR(AX385="Yes",BI385="Yes"),"Yes",IF(AND(AX385="No",BI385="No"),"No",IF(AND(AX385="",BI385=""),"","Unknown")))</f>
        <v/>
      </c>
      <c r="BO385" s="31" t="str">
        <f aca="false">IF(COUNT(AY385,BJ385)=0,"",MIN(AY385,BJ385))</f>
        <v/>
      </c>
      <c r="BP385" s="29"/>
      <c r="BQ385" s="29"/>
      <c r="BR385" s="29"/>
      <c r="BS385" s="28" t="str">
        <f aca="false">IF(AND(N(BP385)&gt;0,N(BR385)&gt;0),BR385-BP385,"")</f>
        <v/>
      </c>
      <c r="BT385" s="28" t="str">
        <f aca="false">IF(BS385="","",ROUND(BS385/365.25,2))</f>
        <v/>
      </c>
      <c r="BU385" s="28" t="str">
        <f aca="false">IF(BS385="","",IF(BS385&gt;=730.5,"Yes","No"))</f>
        <v/>
      </c>
      <c r="BV385" s="27"/>
      <c r="BW385" s="29"/>
      <c r="BX385" s="27"/>
      <c r="BY385" s="27"/>
      <c r="BZ385" s="28" t="str">
        <f aca="false">IF(N(E385)=0,"",IF(E385&lt;65,"Under 65","≥65"))</f>
        <v/>
      </c>
      <c r="CA385" s="28" t="str">
        <f aca="false">IF(OR(AC385="Yes",AC385="No"),AC385,"")</f>
        <v/>
      </c>
      <c r="CB385" s="28" t="str">
        <f aca="false">IF(OR(AD385="Yes",AD385="No"),AD385,"")</f>
        <v/>
      </c>
      <c r="CC385" s="28" t="str">
        <f aca="false">IF(F385="","",F385)</f>
        <v/>
      </c>
      <c r="CD385" s="27"/>
      <c r="CE385" s="27"/>
    </row>
    <row r="386" customFormat="false" ht="15" hidden="false" customHeight="false" outlineLevel="0" collapsed="false">
      <c r="A386" s="27"/>
      <c r="B386" s="27"/>
      <c r="C386" s="27"/>
      <c r="D386" s="27"/>
      <c r="E386" s="27"/>
      <c r="F386" s="27"/>
      <c r="G386" s="27"/>
      <c r="H386" s="27"/>
      <c r="I386" s="27"/>
      <c r="J386" s="28" t="str">
        <f aca="false">IF(AND(N(H386)&gt;0,N(I386)&gt;0),ROUND(I386/(H386/100)^2,1),"")</f>
        <v/>
      </c>
      <c r="K386" s="27"/>
      <c r="L386" s="27"/>
      <c r="M386" s="27"/>
      <c r="N386" s="27"/>
      <c r="O386" s="27"/>
      <c r="P386" s="27"/>
      <c r="Q386" s="27"/>
      <c r="R386" s="29"/>
      <c r="S386" s="29"/>
      <c r="T386" s="27"/>
      <c r="U386" s="28" t="str">
        <f aca="false">IF(N(T386)=0,"",IF(T386&lt;12,"Under 12 months",IF(T386&lt;36,"12-35 months",IF(T386&lt;60,"36-59 months","≥60 months"))))</f>
        <v/>
      </c>
      <c r="V386" s="27"/>
      <c r="W386" s="30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9"/>
      <c r="AT386" s="30"/>
      <c r="AU386" s="30"/>
      <c r="AV386" s="30"/>
      <c r="AW386" s="27"/>
      <c r="AX386" s="27"/>
      <c r="AY386" s="29"/>
      <c r="AZ386" s="27"/>
      <c r="BA386" s="27"/>
      <c r="BB386" s="29"/>
      <c r="BC386" s="30"/>
      <c r="BD386" s="30"/>
      <c r="BE386" s="30"/>
      <c r="BF386" s="27"/>
      <c r="BG386" s="27"/>
      <c r="BH386" s="28" t="str">
        <f aca="false">IF(COUNT(BC386:BE386)=0,"",IF(MIN(BC386:BE386)&lt;=-2.5,"Yes","No"))</f>
        <v/>
      </c>
      <c r="BI386" s="27"/>
      <c r="BJ386" s="29"/>
      <c r="BK386" s="27"/>
      <c r="BL386" s="27"/>
      <c r="BM386" s="27"/>
      <c r="BN386" s="28" t="str">
        <f aca="false">IF(OR(AX386="Yes",BI386="Yes"),"Yes",IF(AND(AX386="No",BI386="No"),"No",IF(AND(AX386="",BI386=""),"","Unknown")))</f>
        <v/>
      </c>
      <c r="BO386" s="31" t="str">
        <f aca="false">IF(COUNT(AY386,BJ386)=0,"",MIN(AY386,BJ386))</f>
        <v/>
      </c>
      <c r="BP386" s="29"/>
      <c r="BQ386" s="29"/>
      <c r="BR386" s="29"/>
      <c r="BS386" s="28" t="str">
        <f aca="false">IF(AND(N(BP386)&gt;0,N(BR386)&gt;0),BR386-BP386,"")</f>
        <v/>
      </c>
      <c r="BT386" s="28" t="str">
        <f aca="false">IF(BS386="","",ROUND(BS386/365.25,2))</f>
        <v/>
      </c>
      <c r="BU386" s="28" t="str">
        <f aca="false">IF(BS386="","",IF(BS386&gt;=730.5,"Yes","No"))</f>
        <v/>
      </c>
      <c r="BV386" s="27"/>
      <c r="BW386" s="29"/>
      <c r="BX386" s="27"/>
      <c r="BY386" s="27"/>
      <c r="BZ386" s="28" t="str">
        <f aca="false">IF(N(E386)=0,"",IF(E386&lt;65,"Under 65","≥65"))</f>
        <v/>
      </c>
      <c r="CA386" s="28" t="str">
        <f aca="false">IF(OR(AC386="Yes",AC386="No"),AC386,"")</f>
        <v/>
      </c>
      <c r="CB386" s="28" t="str">
        <f aca="false">IF(OR(AD386="Yes",AD386="No"),AD386,"")</f>
        <v/>
      </c>
      <c r="CC386" s="28" t="str">
        <f aca="false">IF(F386="","",F386)</f>
        <v/>
      </c>
      <c r="CD386" s="27"/>
      <c r="CE386" s="27"/>
    </row>
    <row r="387" customFormat="false" ht="15" hidden="false" customHeight="false" outlineLevel="0" collapsed="false">
      <c r="A387" s="27"/>
      <c r="B387" s="27"/>
      <c r="C387" s="27"/>
      <c r="D387" s="27"/>
      <c r="E387" s="27"/>
      <c r="F387" s="27"/>
      <c r="G387" s="27"/>
      <c r="H387" s="27"/>
      <c r="I387" s="27"/>
      <c r="J387" s="28" t="str">
        <f aca="false">IF(AND(N(H387)&gt;0,N(I387)&gt;0),ROUND(I387/(H387/100)^2,1),"")</f>
        <v/>
      </c>
      <c r="K387" s="27"/>
      <c r="L387" s="27"/>
      <c r="M387" s="27"/>
      <c r="N387" s="27"/>
      <c r="O387" s="27"/>
      <c r="P387" s="27"/>
      <c r="Q387" s="27"/>
      <c r="R387" s="29"/>
      <c r="S387" s="29"/>
      <c r="T387" s="27"/>
      <c r="U387" s="28" t="str">
        <f aca="false">IF(N(T387)=0,"",IF(T387&lt;12,"Under 12 months",IF(T387&lt;36,"12-35 months",IF(T387&lt;60,"36-59 months","≥60 months"))))</f>
        <v/>
      </c>
      <c r="V387" s="27"/>
      <c r="W387" s="30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9"/>
      <c r="AT387" s="30"/>
      <c r="AU387" s="30"/>
      <c r="AV387" s="30"/>
      <c r="AW387" s="27"/>
      <c r="AX387" s="27"/>
      <c r="AY387" s="29"/>
      <c r="AZ387" s="27"/>
      <c r="BA387" s="27"/>
      <c r="BB387" s="29"/>
      <c r="BC387" s="30"/>
      <c r="BD387" s="30"/>
      <c r="BE387" s="30"/>
      <c r="BF387" s="27"/>
      <c r="BG387" s="27"/>
      <c r="BH387" s="28" t="str">
        <f aca="false">IF(COUNT(BC387:BE387)=0,"",IF(MIN(BC387:BE387)&lt;=-2.5,"Yes","No"))</f>
        <v/>
      </c>
      <c r="BI387" s="27"/>
      <c r="BJ387" s="29"/>
      <c r="BK387" s="27"/>
      <c r="BL387" s="27"/>
      <c r="BM387" s="27"/>
      <c r="BN387" s="28" t="str">
        <f aca="false">IF(OR(AX387="Yes",BI387="Yes"),"Yes",IF(AND(AX387="No",BI387="No"),"No",IF(AND(AX387="",BI387=""),"","Unknown")))</f>
        <v/>
      </c>
      <c r="BO387" s="31" t="str">
        <f aca="false">IF(COUNT(AY387,BJ387)=0,"",MIN(AY387,BJ387))</f>
        <v/>
      </c>
      <c r="BP387" s="29"/>
      <c r="BQ387" s="29"/>
      <c r="BR387" s="29"/>
      <c r="BS387" s="28" t="str">
        <f aca="false">IF(AND(N(BP387)&gt;0,N(BR387)&gt;0),BR387-BP387,"")</f>
        <v/>
      </c>
      <c r="BT387" s="28" t="str">
        <f aca="false">IF(BS387="","",ROUND(BS387/365.25,2))</f>
        <v/>
      </c>
      <c r="BU387" s="28" t="str">
        <f aca="false">IF(BS387="","",IF(BS387&gt;=730.5,"Yes","No"))</f>
        <v/>
      </c>
      <c r="BV387" s="27"/>
      <c r="BW387" s="29"/>
      <c r="BX387" s="27"/>
      <c r="BY387" s="27"/>
      <c r="BZ387" s="28" t="str">
        <f aca="false">IF(N(E387)=0,"",IF(E387&lt;65,"Under 65","≥65"))</f>
        <v/>
      </c>
      <c r="CA387" s="28" t="str">
        <f aca="false">IF(OR(AC387="Yes",AC387="No"),AC387,"")</f>
        <v/>
      </c>
      <c r="CB387" s="28" t="str">
        <f aca="false">IF(OR(AD387="Yes",AD387="No"),AD387,"")</f>
        <v/>
      </c>
      <c r="CC387" s="28" t="str">
        <f aca="false">IF(F387="","",F387)</f>
        <v/>
      </c>
      <c r="CD387" s="27"/>
      <c r="CE387" s="27"/>
    </row>
    <row r="388" customFormat="false" ht="15" hidden="false" customHeight="false" outlineLevel="0" collapsed="false">
      <c r="A388" s="27"/>
      <c r="B388" s="27"/>
      <c r="C388" s="27"/>
      <c r="D388" s="27"/>
      <c r="E388" s="27"/>
      <c r="F388" s="27"/>
      <c r="G388" s="27"/>
      <c r="H388" s="27"/>
      <c r="I388" s="27"/>
      <c r="J388" s="28" t="str">
        <f aca="false">IF(AND(N(H388)&gt;0,N(I388)&gt;0),ROUND(I388/(H388/100)^2,1),"")</f>
        <v/>
      </c>
      <c r="K388" s="27"/>
      <c r="L388" s="27"/>
      <c r="M388" s="27"/>
      <c r="N388" s="27"/>
      <c r="O388" s="27"/>
      <c r="P388" s="27"/>
      <c r="Q388" s="27"/>
      <c r="R388" s="29"/>
      <c r="S388" s="29"/>
      <c r="T388" s="27"/>
      <c r="U388" s="28" t="str">
        <f aca="false">IF(N(T388)=0,"",IF(T388&lt;12,"Under 12 months",IF(T388&lt;36,"12-35 months",IF(T388&lt;60,"36-59 months","≥60 months"))))</f>
        <v/>
      </c>
      <c r="V388" s="27"/>
      <c r="W388" s="30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9"/>
      <c r="AT388" s="30"/>
      <c r="AU388" s="30"/>
      <c r="AV388" s="30"/>
      <c r="AW388" s="27"/>
      <c r="AX388" s="27"/>
      <c r="AY388" s="29"/>
      <c r="AZ388" s="27"/>
      <c r="BA388" s="27"/>
      <c r="BB388" s="29"/>
      <c r="BC388" s="30"/>
      <c r="BD388" s="30"/>
      <c r="BE388" s="30"/>
      <c r="BF388" s="27"/>
      <c r="BG388" s="27"/>
      <c r="BH388" s="28" t="str">
        <f aca="false">IF(COUNT(BC388:BE388)=0,"",IF(MIN(BC388:BE388)&lt;=-2.5,"Yes","No"))</f>
        <v/>
      </c>
      <c r="BI388" s="27"/>
      <c r="BJ388" s="29"/>
      <c r="BK388" s="27"/>
      <c r="BL388" s="27"/>
      <c r="BM388" s="27"/>
      <c r="BN388" s="28" t="str">
        <f aca="false">IF(OR(AX388="Yes",BI388="Yes"),"Yes",IF(AND(AX388="No",BI388="No"),"No",IF(AND(AX388="",BI388=""),"","Unknown")))</f>
        <v/>
      </c>
      <c r="BO388" s="31" t="str">
        <f aca="false">IF(COUNT(AY388,BJ388)=0,"",MIN(AY388,BJ388))</f>
        <v/>
      </c>
      <c r="BP388" s="29"/>
      <c r="BQ388" s="29"/>
      <c r="BR388" s="29"/>
      <c r="BS388" s="28" t="str">
        <f aca="false">IF(AND(N(BP388)&gt;0,N(BR388)&gt;0),BR388-BP388,"")</f>
        <v/>
      </c>
      <c r="BT388" s="28" t="str">
        <f aca="false">IF(BS388="","",ROUND(BS388/365.25,2))</f>
        <v/>
      </c>
      <c r="BU388" s="28" t="str">
        <f aca="false">IF(BS388="","",IF(BS388&gt;=730.5,"Yes","No"))</f>
        <v/>
      </c>
      <c r="BV388" s="27"/>
      <c r="BW388" s="29"/>
      <c r="BX388" s="27"/>
      <c r="BY388" s="27"/>
      <c r="BZ388" s="28" t="str">
        <f aca="false">IF(N(E388)=0,"",IF(E388&lt;65,"Under 65","≥65"))</f>
        <v/>
      </c>
      <c r="CA388" s="28" t="str">
        <f aca="false">IF(OR(AC388="Yes",AC388="No"),AC388,"")</f>
        <v/>
      </c>
      <c r="CB388" s="28" t="str">
        <f aca="false">IF(OR(AD388="Yes",AD388="No"),AD388,"")</f>
        <v/>
      </c>
      <c r="CC388" s="28" t="str">
        <f aca="false">IF(F388="","",F388)</f>
        <v/>
      </c>
      <c r="CD388" s="27"/>
      <c r="CE388" s="27"/>
    </row>
    <row r="389" customFormat="false" ht="15" hidden="false" customHeight="false" outlineLevel="0" collapsed="false">
      <c r="A389" s="27"/>
      <c r="B389" s="27"/>
      <c r="C389" s="27"/>
      <c r="D389" s="27"/>
      <c r="E389" s="27"/>
      <c r="F389" s="27"/>
      <c r="G389" s="27"/>
      <c r="H389" s="27"/>
      <c r="I389" s="27"/>
      <c r="J389" s="28" t="str">
        <f aca="false">IF(AND(N(H389)&gt;0,N(I389)&gt;0),ROUND(I389/(H389/100)^2,1),"")</f>
        <v/>
      </c>
      <c r="K389" s="27"/>
      <c r="L389" s="27"/>
      <c r="M389" s="27"/>
      <c r="N389" s="27"/>
      <c r="O389" s="27"/>
      <c r="P389" s="27"/>
      <c r="Q389" s="27"/>
      <c r="R389" s="29"/>
      <c r="S389" s="29"/>
      <c r="T389" s="27"/>
      <c r="U389" s="28" t="str">
        <f aca="false">IF(N(T389)=0,"",IF(T389&lt;12,"Under 12 months",IF(T389&lt;36,"12-35 months",IF(T389&lt;60,"36-59 months","≥60 months"))))</f>
        <v/>
      </c>
      <c r="V389" s="27"/>
      <c r="W389" s="30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9"/>
      <c r="AT389" s="30"/>
      <c r="AU389" s="30"/>
      <c r="AV389" s="30"/>
      <c r="AW389" s="27"/>
      <c r="AX389" s="27"/>
      <c r="AY389" s="29"/>
      <c r="AZ389" s="27"/>
      <c r="BA389" s="27"/>
      <c r="BB389" s="29"/>
      <c r="BC389" s="30"/>
      <c r="BD389" s="30"/>
      <c r="BE389" s="30"/>
      <c r="BF389" s="27"/>
      <c r="BG389" s="27"/>
      <c r="BH389" s="28" t="str">
        <f aca="false">IF(COUNT(BC389:BE389)=0,"",IF(MIN(BC389:BE389)&lt;=-2.5,"Yes","No"))</f>
        <v/>
      </c>
      <c r="BI389" s="27"/>
      <c r="BJ389" s="29"/>
      <c r="BK389" s="27"/>
      <c r="BL389" s="27"/>
      <c r="BM389" s="27"/>
      <c r="BN389" s="28" t="str">
        <f aca="false">IF(OR(AX389="Yes",BI389="Yes"),"Yes",IF(AND(AX389="No",BI389="No"),"No",IF(AND(AX389="",BI389=""),"","Unknown")))</f>
        <v/>
      </c>
      <c r="BO389" s="31" t="str">
        <f aca="false">IF(COUNT(AY389,BJ389)=0,"",MIN(AY389,BJ389))</f>
        <v/>
      </c>
      <c r="BP389" s="29"/>
      <c r="BQ389" s="29"/>
      <c r="BR389" s="29"/>
      <c r="BS389" s="28" t="str">
        <f aca="false">IF(AND(N(BP389)&gt;0,N(BR389)&gt;0),BR389-BP389,"")</f>
        <v/>
      </c>
      <c r="BT389" s="28" t="str">
        <f aca="false">IF(BS389="","",ROUND(BS389/365.25,2))</f>
        <v/>
      </c>
      <c r="BU389" s="28" t="str">
        <f aca="false">IF(BS389="","",IF(BS389&gt;=730.5,"Yes","No"))</f>
        <v/>
      </c>
      <c r="BV389" s="27"/>
      <c r="BW389" s="29"/>
      <c r="BX389" s="27"/>
      <c r="BY389" s="27"/>
      <c r="BZ389" s="28" t="str">
        <f aca="false">IF(N(E389)=0,"",IF(E389&lt;65,"Under 65","≥65"))</f>
        <v/>
      </c>
      <c r="CA389" s="28" t="str">
        <f aca="false">IF(OR(AC389="Yes",AC389="No"),AC389,"")</f>
        <v/>
      </c>
      <c r="CB389" s="28" t="str">
        <f aca="false">IF(OR(AD389="Yes",AD389="No"),AD389,"")</f>
        <v/>
      </c>
      <c r="CC389" s="28" t="str">
        <f aca="false">IF(F389="","",F389)</f>
        <v/>
      </c>
      <c r="CD389" s="27"/>
      <c r="CE389" s="27"/>
    </row>
    <row r="390" customFormat="false" ht="15" hidden="false" customHeight="false" outlineLevel="0" collapsed="false">
      <c r="A390" s="27"/>
      <c r="B390" s="27"/>
      <c r="C390" s="27"/>
      <c r="D390" s="27"/>
      <c r="E390" s="27"/>
      <c r="F390" s="27"/>
      <c r="G390" s="27"/>
      <c r="H390" s="27"/>
      <c r="I390" s="27"/>
      <c r="J390" s="28" t="str">
        <f aca="false">IF(AND(N(H390)&gt;0,N(I390)&gt;0),ROUND(I390/(H390/100)^2,1),"")</f>
        <v/>
      </c>
      <c r="K390" s="27"/>
      <c r="L390" s="27"/>
      <c r="M390" s="27"/>
      <c r="N390" s="27"/>
      <c r="O390" s="27"/>
      <c r="P390" s="27"/>
      <c r="Q390" s="27"/>
      <c r="R390" s="29"/>
      <c r="S390" s="29"/>
      <c r="T390" s="27"/>
      <c r="U390" s="28" t="str">
        <f aca="false">IF(N(T390)=0,"",IF(T390&lt;12,"Under 12 months",IF(T390&lt;36,"12-35 months",IF(T390&lt;60,"36-59 months","≥60 months"))))</f>
        <v/>
      </c>
      <c r="V390" s="27"/>
      <c r="W390" s="30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9"/>
      <c r="AT390" s="30"/>
      <c r="AU390" s="30"/>
      <c r="AV390" s="30"/>
      <c r="AW390" s="27"/>
      <c r="AX390" s="27"/>
      <c r="AY390" s="29"/>
      <c r="AZ390" s="27"/>
      <c r="BA390" s="27"/>
      <c r="BB390" s="29"/>
      <c r="BC390" s="30"/>
      <c r="BD390" s="30"/>
      <c r="BE390" s="30"/>
      <c r="BF390" s="27"/>
      <c r="BG390" s="27"/>
      <c r="BH390" s="28" t="str">
        <f aca="false">IF(COUNT(BC390:BE390)=0,"",IF(MIN(BC390:BE390)&lt;=-2.5,"Yes","No"))</f>
        <v/>
      </c>
      <c r="BI390" s="27"/>
      <c r="BJ390" s="29"/>
      <c r="BK390" s="27"/>
      <c r="BL390" s="27"/>
      <c r="BM390" s="27"/>
      <c r="BN390" s="28" t="str">
        <f aca="false">IF(OR(AX390="Yes",BI390="Yes"),"Yes",IF(AND(AX390="No",BI390="No"),"No",IF(AND(AX390="",BI390=""),"","Unknown")))</f>
        <v/>
      </c>
      <c r="BO390" s="31" t="str">
        <f aca="false">IF(COUNT(AY390,BJ390)=0,"",MIN(AY390,BJ390))</f>
        <v/>
      </c>
      <c r="BP390" s="29"/>
      <c r="BQ390" s="29"/>
      <c r="BR390" s="29"/>
      <c r="BS390" s="28" t="str">
        <f aca="false">IF(AND(N(BP390)&gt;0,N(BR390)&gt;0),BR390-BP390,"")</f>
        <v/>
      </c>
      <c r="BT390" s="28" t="str">
        <f aca="false">IF(BS390="","",ROUND(BS390/365.25,2))</f>
        <v/>
      </c>
      <c r="BU390" s="28" t="str">
        <f aca="false">IF(BS390="","",IF(BS390&gt;=730.5,"Yes","No"))</f>
        <v/>
      </c>
      <c r="BV390" s="27"/>
      <c r="BW390" s="29"/>
      <c r="BX390" s="27"/>
      <c r="BY390" s="27"/>
      <c r="BZ390" s="28" t="str">
        <f aca="false">IF(N(E390)=0,"",IF(E390&lt;65,"Under 65","≥65"))</f>
        <v/>
      </c>
      <c r="CA390" s="28" t="str">
        <f aca="false">IF(OR(AC390="Yes",AC390="No"),AC390,"")</f>
        <v/>
      </c>
      <c r="CB390" s="28" t="str">
        <f aca="false">IF(OR(AD390="Yes",AD390="No"),AD390,"")</f>
        <v/>
      </c>
      <c r="CC390" s="28" t="str">
        <f aca="false">IF(F390="","",F390)</f>
        <v/>
      </c>
      <c r="CD390" s="27"/>
      <c r="CE390" s="27"/>
    </row>
    <row r="391" customFormat="false" ht="15" hidden="false" customHeight="false" outlineLevel="0" collapsed="false">
      <c r="A391" s="27"/>
      <c r="B391" s="27"/>
      <c r="C391" s="27"/>
      <c r="D391" s="27"/>
      <c r="E391" s="27"/>
      <c r="F391" s="27"/>
      <c r="G391" s="27"/>
      <c r="H391" s="27"/>
      <c r="I391" s="27"/>
      <c r="J391" s="28" t="str">
        <f aca="false">IF(AND(N(H391)&gt;0,N(I391)&gt;0),ROUND(I391/(H391/100)^2,1),"")</f>
        <v/>
      </c>
      <c r="K391" s="27"/>
      <c r="L391" s="27"/>
      <c r="M391" s="27"/>
      <c r="N391" s="27"/>
      <c r="O391" s="27"/>
      <c r="P391" s="27"/>
      <c r="Q391" s="27"/>
      <c r="R391" s="29"/>
      <c r="S391" s="29"/>
      <c r="T391" s="27"/>
      <c r="U391" s="28" t="str">
        <f aca="false">IF(N(T391)=0,"",IF(T391&lt;12,"Under 12 months",IF(T391&lt;36,"12-35 months",IF(T391&lt;60,"36-59 months","≥60 months"))))</f>
        <v/>
      </c>
      <c r="V391" s="27"/>
      <c r="W391" s="30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9"/>
      <c r="AT391" s="30"/>
      <c r="AU391" s="30"/>
      <c r="AV391" s="30"/>
      <c r="AW391" s="27"/>
      <c r="AX391" s="27"/>
      <c r="AY391" s="29"/>
      <c r="AZ391" s="27"/>
      <c r="BA391" s="27"/>
      <c r="BB391" s="29"/>
      <c r="BC391" s="30"/>
      <c r="BD391" s="30"/>
      <c r="BE391" s="30"/>
      <c r="BF391" s="27"/>
      <c r="BG391" s="27"/>
      <c r="BH391" s="28" t="str">
        <f aca="false">IF(COUNT(BC391:BE391)=0,"",IF(MIN(BC391:BE391)&lt;=-2.5,"Yes","No"))</f>
        <v/>
      </c>
      <c r="BI391" s="27"/>
      <c r="BJ391" s="29"/>
      <c r="BK391" s="27"/>
      <c r="BL391" s="27"/>
      <c r="BM391" s="27"/>
      <c r="BN391" s="28" t="str">
        <f aca="false">IF(OR(AX391="Yes",BI391="Yes"),"Yes",IF(AND(AX391="No",BI391="No"),"No",IF(AND(AX391="",BI391=""),"","Unknown")))</f>
        <v/>
      </c>
      <c r="BO391" s="31" t="str">
        <f aca="false">IF(COUNT(AY391,BJ391)=0,"",MIN(AY391,BJ391))</f>
        <v/>
      </c>
      <c r="BP391" s="29"/>
      <c r="BQ391" s="29"/>
      <c r="BR391" s="29"/>
      <c r="BS391" s="28" t="str">
        <f aca="false">IF(AND(N(BP391)&gt;0,N(BR391)&gt;0),BR391-BP391,"")</f>
        <v/>
      </c>
      <c r="BT391" s="28" t="str">
        <f aca="false">IF(BS391="","",ROUND(BS391/365.25,2))</f>
        <v/>
      </c>
      <c r="BU391" s="28" t="str">
        <f aca="false">IF(BS391="","",IF(BS391&gt;=730.5,"Yes","No"))</f>
        <v/>
      </c>
      <c r="BV391" s="27"/>
      <c r="BW391" s="29"/>
      <c r="BX391" s="27"/>
      <c r="BY391" s="27"/>
      <c r="BZ391" s="28" t="str">
        <f aca="false">IF(N(E391)=0,"",IF(E391&lt;65,"Under 65","≥65"))</f>
        <v/>
      </c>
      <c r="CA391" s="28" t="str">
        <f aca="false">IF(OR(AC391="Yes",AC391="No"),AC391,"")</f>
        <v/>
      </c>
      <c r="CB391" s="28" t="str">
        <f aca="false">IF(OR(AD391="Yes",AD391="No"),AD391,"")</f>
        <v/>
      </c>
      <c r="CC391" s="28" t="str">
        <f aca="false">IF(F391="","",F391)</f>
        <v/>
      </c>
      <c r="CD391" s="27"/>
      <c r="CE391" s="27"/>
    </row>
    <row r="392" customFormat="false" ht="15" hidden="false" customHeight="false" outlineLevel="0" collapsed="false">
      <c r="A392" s="27"/>
      <c r="B392" s="27"/>
      <c r="C392" s="27"/>
      <c r="D392" s="27"/>
      <c r="E392" s="27"/>
      <c r="F392" s="27"/>
      <c r="G392" s="27"/>
      <c r="H392" s="27"/>
      <c r="I392" s="27"/>
      <c r="J392" s="28" t="str">
        <f aca="false">IF(AND(N(H392)&gt;0,N(I392)&gt;0),ROUND(I392/(H392/100)^2,1),"")</f>
        <v/>
      </c>
      <c r="K392" s="27"/>
      <c r="L392" s="27"/>
      <c r="M392" s="27"/>
      <c r="N392" s="27"/>
      <c r="O392" s="27"/>
      <c r="P392" s="27"/>
      <c r="Q392" s="27"/>
      <c r="R392" s="29"/>
      <c r="S392" s="29"/>
      <c r="T392" s="27"/>
      <c r="U392" s="28" t="str">
        <f aca="false">IF(N(T392)=0,"",IF(T392&lt;12,"Under 12 months",IF(T392&lt;36,"12-35 months",IF(T392&lt;60,"36-59 months","≥60 months"))))</f>
        <v/>
      </c>
      <c r="V392" s="27"/>
      <c r="W392" s="30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9"/>
      <c r="AT392" s="30"/>
      <c r="AU392" s="30"/>
      <c r="AV392" s="30"/>
      <c r="AW392" s="27"/>
      <c r="AX392" s="27"/>
      <c r="AY392" s="29"/>
      <c r="AZ392" s="27"/>
      <c r="BA392" s="27"/>
      <c r="BB392" s="29"/>
      <c r="BC392" s="30"/>
      <c r="BD392" s="30"/>
      <c r="BE392" s="30"/>
      <c r="BF392" s="27"/>
      <c r="BG392" s="27"/>
      <c r="BH392" s="28" t="str">
        <f aca="false">IF(COUNT(BC392:BE392)=0,"",IF(MIN(BC392:BE392)&lt;=-2.5,"Yes","No"))</f>
        <v/>
      </c>
      <c r="BI392" s="27"/>
      <c r="BJ392" s="29"/>
      <c r="BK392" s="27"/>
      <c r="BL392" s="27"/>
      <c r="BM392" s="27"/>
      <c r="BN392" s="28" t="str">
        <f aca="false">IF(OR(AX392="Yes",BI392="Yes"),"Yes",IF(AND(AX392="No",BI392="No"),"No",IF(AND(AX392="",BI392=""),"","Unknown")))</f>
        <v/>
      </c>
      <c r="BO392" s="31" t="str">
        <f aca="false">IF(COUNT(AY392,BJ392)=0,"",MIN(AY392,BJ392))</f>
        <v/>
      </c>
      <c r="BP392" s="29"/>
      <c r="BQ392" s="29"/>
      <c r="BR392" s="29"/>
      <c r="BS392" s="28" t="str">
        <f aca="false">IF(AND(N(BP392)&gt;0,N(BR392)&gt;0),BR392-BP392,"")</f>
        <v/>
      </c>
      <c r="BT392" s="28" t="str">
        <f aca="false">IF(BS392="","",ROUND(BS392/365.25,2))</f>
        <v/>
      </c>
      <c r="BU392" s="28" t="str">
        <f aca="false">IF(BS392="","",IF(BS392&gt;=730.5,"Yes","No"))</f>
        <v/>
      </c>
      <c r="BV392" s="27"/>
      <c r="BW392" s="29"/>
      <c r="BX392" s="27"/>
      <c r="BY392" s="27"/>
      <c r="BZ392" s="28" t="str">
        <f aca="false">IF(N(E392)=0,"",IF(E392&lt;65,"Under 65","≥65"))</f>
        <v/>
      </c>
      <c r="CA392" s="28" t="str">
        <f aca="false">IF(OR(AC392="Yes",AC392="No"),AC392,"")</f>
        <v/>
      </c>
      <c r="CB392" s="28" t="str">
        <f aca="false">IF(OR(AD392="Yes",AD392="No"),AD392,"")</f>
        <v/>
      </c>
      <c r="CC392" s="28" t="str">
        <f aca="false">IF(F392="","",F392)</f>
        <v/>
      </c>
      <c r="CD392" s="27"/>
      <c r="CE392" s="27"/>
    </row>
    <row r="393" customFormat="false" ht="15" hidden="false" customHeight="false" outlineLevel="0" collapsed="false">
      <c r="A393" s="27"/>
      <c r="B393" s="27"/>
      <c r="C393" s="27"/>
      <c r="D393" s="27"/>
      <c r="E393" s="27"/>
      <c r="F393" s="27"/>
      <c r="G393" s="27"/>
      <c r="H393" s="27"/>
      <c r="I393" s="27"/>
      <c r="J393" s="28" t="str">
        <f aca="false">IF(AND(N(H393)&gt;0,N(I393)&gt;0),ROUND(I393/(H393/100)^2,1),"")</f>
        <v/>
      </c>
      <c r="K393" s="27"/>
      <c r="L393" s="27"/>
      <c r="M393" s="27"/>
      <c r="N393" s="27"/>
      <c r="O393" s="27"/>
      <c r="P393" s="27"/>
      <c r="Q393" s="27"/>
      <c r="R393" s="29"/>
      <c r="S393" s="29"/>
      <c r="T393" s="27"/>
      <c r="U393" s="28" t="str">
        <f aca="false">IF(N(T393)=0,"",IF(T393&lt;12,"Under 12 months",IF(T393&lt;36,"12-35 months",IF(T393&lt;60,"36-59 months","≥60 months"))))</f>
        <v/>
      </c>
      <c r="V393" s="27"/>
      <c r="W393" s="30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9"/>
      <c r="AT393" s="30"/>
      <c r="AU393" s="30"/>
      <c r="AV393" s="30"/>
      <c r="AW393" s="27"/>
      <c r="AX393" s="27"/>
      <c r="AY393" s="29"/>
      <c r="AZ393" s="27"/>
      <c r="BA393" s="27"/>
      <c r="BB393" s="29"/>
      <c r="BC393" s="30"/>
      <c r="BD393" s="30"/>
      <c r="BE393" s="30"/>
      <c r="BF393" s="27"/>
      <c r="BG393" s="27"/>
      <c r="BH393" s="28" t="str">
        <f aca="false">IF(COUNT(BC393:BE393)=0,"",IF(MIN(BC393:BE393)&lt;=-2.5,"Yes","No"))</f>
        <v/>
      </c>
      <c r="BI393" s="27"/>
      <c r="BJ393" s="29"/>
      <c r="BK393" s="27"/>
      <c r="BL393" s="27"/>
      <c r="BM393" s="27"/>
      <c r="BN393" s="28" t="str">
        <f aca="false">IF(OR(AX393="Yes",BI393="Yes"),"Yes",IF(AND(AX393="No",BI393="No"),"No",IF(AND(AX393="",BI393=""),"","Unknown")))</f>
        <v/>
      </c>
      <c r="BO393" s="31" t="str">
        <f aca="false">IF(COUNT(AY393,BJ393)=0,"",MIN(AY393,BJ393))</f>
        <v/>
      </c>
      <c r="BP393" s="29"/>
      <c r="BQ393" s="29"/>
      <c r="BR393" s="29"/>
      <c r="BS393" s="28" t="str">
        <f aca="false">IF(AND(N(BP393)&gt;0,N(BR393)&gt;0),BR393-BP393,"")</f>
        <v/>
      </c>
      <c r="BT393" s="28" t="str">
        <f aca="false">IF(BS393="","",ROUND(BS393/365.25,2))</f>
        <v/>
      </c>
      <c r="BU393" s="28" t="str">
        <f aca="false">IF(BS393="","",IF(BS393&gt;=730.5,"Yes","No"))</f>
        <v/>
      </c>
      <c r="BV393" s="27"/>
      <c r="BW393" s="29"/>
      <c r="BX393" s="27"/>
      <c r="BY393" s="27"/>
      <c r="BZ393" s="28" t="str">
        <f aca="false">IF(N(E393)=0,"",IF(E393&lt;65,"Under 65","≥65"))</f>
        <v/>
      </c>
      <c r="CA393" s="28" t="str">
        <f aca="false">IF(OR(AC393="Yes",AC393="No"),AC393,"")</f>
        <v/>
      </c>
      <c r="CB393" s="28" t="str">
        <f aca="false">IF(OR(AD393="Yes",AD393="No"),AD393,"")</f>
        <v/>
      </c>
      <c r="CC393" s="28" t="str">
        <f aca="false">IF(F393="","",F393)</f>
        <v/>
      </c>
      <c r="CD393" s="27"/>
      <c r="CE393" s="27"/>
    </row>
    <row r="394" customFormat="false" ht="15" hidden="false" customHeight="false" outlineLevel="0" collapsed="false">
      <c r="A394" s="27"/>
      <c r="B394" s="27"/>
      <c r="C394" s="27"/>
      <c r="D394" s="27"/>
      <c r="E394" s="27"/>
      <c r="F394" s="27"/>
      <c r="G394" s="27"/>
      <c r="H394" s="27"/>
      <c r="I394" s="27"/>
      <c r="J394" s="28" t="str">
        <f aca="false">IF(AND(N(H394)&gt;0,N(I394)&gt;0),ROUND(I394/(H394/100)^2,1),"")</f>
        <v/>
      </c>
      <c r="K394" s="27"/>
      <c r="L394" s="27"/>
      <c r="M394" s="27"/>
      <c r="N394" s="27"/>
      <c r="O394" s="27"/>
      <c r="P394" s="27"/>
      <c r="Q394" s="27"/>
      <c r="R394" s="29"/>
      <c r="S394" s="29"/>
      <c r="T394" s="27"/>
      <c r="U394" s="28" t="str">
        <f aca="false">IF(N(T394)=0,"",IF(T394&lt;12,"Under 12 months",IF(T394&lt;36,"12-35 months",IF(T394&lt;60,"36-59 months","≥60 months"))))</f>
        <v/>
      </c>
      <c r="V394" s="27"/>
      <c r="W394" s="30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9"/>
      <c r="AT394" s="30"/>
      <c r="AU394" s="30"/>
      <c r="AV394" s="30"/>
      <c r="AW394" s="27"/>
      <c r="AX394" s="27"/>
      <c r="AY394" s="29"/>
      <c r="AZ394" s="27"/>
      <c r="BA394" s="27"/>
      <c r="BB394" s="29"/>
      <c r="BC394" s="30"/>
      <c r="BD394" s="30"/>
      <c r="BE394" s="30"/>
      <c r="BF394" s="27"/>
      <c r="BG394" s="27"/>
      <c r="BH394" s="28" t="str">
        <f aca="false">IF(COUNT(BC394:BE394)=0,"",IF(MIN(BC394:BE394)&lt;=-2.5,"Yes","No"))</f>
        <v/>
      </c>
      <c r="BI394" s="27"/>
      <c r="BJ394" s="29"/>
      <c r="BK394" s="27"/>
      <c r="BL394" s="27"/>
      <c r="BM394" s="27"/>
      <c r="BN394" s="28" t="str">
        <f aca="false">IF(OR(AX394="Yes",BI394="Yes"),"Yes",IF(AND(AX394="No",BI394="No"),"No",IF(AND(AX394="",BI394=""),"","Unknown")))</f>
        <v/>
      </c>
      <c r="BO394" s="31" t="str">
        <f aca="false">IF(COUNT(AY394,BJ394)=0,"",MIN(AY394,BJ394))</f>
        <v/>
      </c>
      <c r="BP394" s="29"/>
      <c r="BQ394" s="29"/>
      <c r="BR394" s="29"/>
      <c r="BS394" s="28" t="str">
        <f aca="false">IF(AND(N(BP394)&gt;0,N(BR394)&gt;0),BR394-BP394,"")</f>
        <v/>
      </c>
      <c r="BT394" s="28" t="str">
        <f aca="false">IF(BS394="","",ROUND(BS394/365.25,2))</f>
        <v/>
      </c>
      <c r="BU394" s="28" t="str">
        <f aca="false">IF(BS394="","",IF(BS394&gt;=730.5,"Yes","No"))</f>
        <v/>
      </c>
      <c r="BV394" s="27"/>
      <c r="BW394" s="29"/>
      <c r="BX394" s="27"/>
      <c r="BY394" s="27"/>
      <c r="BZ394" s="28" t="str">
        <f aca="false">IF(N(E394)=0,"",IF(E394&lt;65,"Under 65","≥65"))</f>
        <v/>
      </c>
      <c r="CA394" s="28" t="str">
        <f aca="false">IF(OR(AC394="Yes",AC394="No"),AC394,"")</f>
        <v/>
      </c>
      <c r="CB394" s="28" t="str">
        <f aca="false">IF(OR(AD394="Yes",AD394="No"),AD394,"")</f>
        <v/>
      </c>
      <c r="CC394" s="28" t="str">
        <f aca="false">IF(F394="","",F394)</f>
        <v/>
      </c>
      <c r="CD394" s="27"/>
      <c r="CE394" s="27"/>
    </row>
    <row r="395" customFormat="false" ht="15" hidden="false" customHeight="false" outlineLevel="0" collapsed="false">
      <c r="A395" s="27"/>
      <c r="B395" s="27"/>
      <c r="C395" s="27"/>
      <c r="D395" s="27"/>
      <c r="E395" s="27"/>
      <c r="F395" s="27"/>
      <c r="G395" s="27"/>
      <c r="H395" s="27"/>
      <c r="I395" s="27"/>
      <c r="J395" s="28" t="str">
        <f aca="false">IF(AND(N(H395)&gt;0,N(I395)&gt;0),ROUND(I395/(H395/100)^2,1),"")</f>
        <v/>
      </c>
      <c r="K395" s="27"/>
      <c r="L395" s="27"/>
      <c r="M395" s="27"/>
      <c r="N395" s="27"/>
      <c r="O395" s="27"/>
      <c r="P395" s="27"/>
      <c r="Q395" s="27"/>
      <c r="R395" s="29"/>
      <c r="S395" s="29"/>
      <c r="T395" s="27"/>
      <c r="U395" s="28" t="str">
        <f aca="false">IF(N(T395)=0,"",IF(T395&lt;12,"Under 12 months",IF(T395&lt;36,"12-35 months",IF(T395&lt;60,"36-59 months","≥60 months"))))</f>
        <v/>
      </c>
      <c r="V395" s="27"/>
      <c r="W395" s="30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9"/>
      <c r="AT395" s="30"/>
      <c r="AU395" s="30"/>
      <c r="AV395" s="30"/>
      <c r="AW395" s="27"/>
      <c r="AX395" s="27"/>
      <c r="AY395" s="29"/>
      <c r="AZ395" s="27"/>
      <c r="BA395" s="27"/>
      <c r="BB395" s="29"/>
      <c r="BC395" s="30"/>
      <c r="BD395" s="30"/>
      <c r="BE395" s="30"/>
      <c r="BF395" s="27"/>
      <c r="BG395" s="27"/>
      <c r="BH395" s="28" t="str">
        <f aca="false">IF(COUNT(BC395:BE395)=0,"",IF(MIN(BC395:BE395)&lt;=-2.5,"Yes","No"))</f>
        <v/>
      </c>
      <c r="BI395" s="27"/>
      <c r="BJ395" s="29"/>
      <c r="BK395" s="27"/>
      <c r="BL395" s="27"/>
      <c r="BM395" s="27"/>
      <c r="BN395" s="28" t="str">
        <f aca="false">IF(OR(AX395="Yes",BI395="Yes"),"Yes",IF(AND(AX395="No",BI395="No"),"No",IF(AND(AX395="",BI395=""),"","Unknown")))</f>
        <v/>
      </c>
      <c r="BO395" s="31" t="str">
        <f aca="false">IF(COUNT(AY395,BJ395)=0,"",MIN(AY395,BJ395))</f>
        <v/>
      </c>
      <c r="BP395" s="29"/>
      <c r="BQ395" s="29"/>
      <c r="BR395" s="29"/>
      <c r="BS395" s="28" t="str">
        <f aca="false">IF(AND(N(BP395)&gt;0,N(BR395)&gt;0),BR395-BP395,"")</f>
        <v/>
      </c>
      <c r="BT395" s="28" t="str">
        <f aca="false">IF(BS395="","",ROUND(BS395/365.25,2))</f>
        <v/>
      </c>
      <c r="BU395" s="28" t="str">
        <f aca="false">IF(BS395="","",IF(BS395&gt;=730.5,"Yes","No"))</f>
        <v/>
      </c>
      <c r="BV395" s="27"/>
      <c r="BW395" s="29"/>
      <c r="BX395" s="27"/>
      <c r="BY395" s="27"/>
      <c r="BZ395" s="28" t="str">
        <f aca="false">IF(N(E395)=0,"",IF(E395&lt;65,"Under 65","≥65"))</f>
        <v/>
      </c>
      <c r="CA395" s="28" t="str">
        <f aca="false">IF(OR(AC395="Yes",AC395="No"),AC395,"")</f>
        <v/>
      </c>
      <c r="CB395" s="28" t="str">
        <f aca="false">IF(OR(AD395="Yes",AD395="No"),AD395,"")</f>
        <v/>
      </c>
      <c r="CC395" s="28" t="str">
        <f aca="false">IF(F395="","",F395)</f>
        <v/>
      </c>
      <c r="CD395" s="27"/>
      <c r="CE395" s="27"/>
    </row>
    <row r="396" customFormat="false" ht="15" hidden="false" customHeight="false" outlineLevel="0" collapsed="false">
      <c r="A396" s="27"/>
      <c r="B396" s="27"/>
      <c r="C396" s="27"/>
      <c r="D396" s="27"/>
      <c r="E396" s="27"/>
      <c r="F396" s="27"/>
      <c r="G396" s="27"/>
      <c r="H396" s="27"/>
      <c r="I396" s="27"/>
      <c r="J396" s="28" t="str">
        <f aca="false">IF(AND(N(H396)&gt;0,N(I396)&gt;0),ROUND(I396/(H396/100)^2,1),"")</f>
        <v/>
      </c>
      <c r="K396" s="27"/>
      <c r="L396" s="27"/>
      <c r="M396" s="27"/>
      <c r="N396" s="27"/>
      <c r="O396" s="27"/>
      <c r="P396" s="27"/>
      <c r="Q396" s="27"/>
      <c r="R396" s="29"/>
      <c r="S396" s="29"/>
      <c r="T396" s="27"/>
      <c r="U396" s="28" t="str">
        <f aca="false">IF(N(T396)=0,"",IF(T396&lt;12,"Under 12 months",IF(T396&lt;36,"12-35 months",IF(T396&lt;60,"36-59 months","≥60 months"))))</f>
        <v/>
      </c>
      <c r="V396" s="27"/>
      <c r="W396" s="30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9"/>
      <c r="AT396" s="30"/>
      <c r="AU396" s="30"/>
      <c r="AV396" s="30"/>
      <c r="AW396" s="27"/>
      <c r="AX396" s="27"/>
      <c r="AY396" s="29"/>
      <c r="AZ396" s="27"/>
      <c r="BA396" s="27"/>
      <c r="BB396" s="29"/>
      <c r="BC396" s="30"/>
      <c r="BD396" s="30"/>
      <c r="BE396" s="30"/>
      <c r="BF396" s="27"/>
      <c r="BG396" s="27"/>
      <c r="BH396" s="28" t="str">
        <f aca="false">IF(COUNT(BC396:BE396)=0,"",IF(MIN(BC396:BE396)&lt;=-2.5,"Yes","No"))</f>
        <v/>
      </c>
      <c r="BI396" s="27"/>
      <c r="BJ396" s="29"/>
      <c r="BK396" s="27"/>
      <c r="BL396" s="27"/>
      <c r="BM396" s="27"/>
      <c r="BN396" s="28" t="str">
        <f aca="false">IF(OR(AX396="Yes",BI396="Yes"),"Yes",IF(AND(AX396="No",BI396="No"),"No",IF(AND(AX396="",BI396=""),"","Unknown")))</f>
        <v/>
      </c>
      <c r="BO396" s="31" t="str">
        <f aca="false">IF(COUNT(AY396,BJ396)=0,"",MIN(AY396,BJ396))</f>
        <v/>
      </c>
      <c r="BP396" s="29"/>
      <c r="BQ396" s="29"/>
      <c r="BR396" s="29"/>
      <c r="BS396" s="28" t="str">
        <f aca="false">IF(AND(N(BP396)&gt;0,N(BR396)&gt;0),BR396-BP396,"")</f>
        <v/>
      </c>
      <c r="BT396" s="28" t="str">
        <f aca="false">IF(BS396="","",ROUND(BS396/365.25,2))</f>
        <v/>
      </c>
      <c r="BU396" s="28" t="str">
        <f aca="false">IF(BS396="","",IF(BS396&gt;=730.5,"Yes","No"))</f>
        <v/>
      </c>
      <c r="BV396" s="27"/>
      <c r="BW396" s="29"/>
      <c r="BX396" s="27"/>
      <c r="BY396" s="27"/>
      <c r="BZ396" s="28" t="str">
        <f aca="false">IF(N(E396)=0,"",IF(E396&lt;65,"Under 65","≥65"))</f>
        <v/>
      </c>
      <c r="CA396" s="28" t="str">
        <f aca="false">IF(OR(AC396="Yes",AC396="No"),AC396,"")</f>
        <v/>
      </c>
      <c r="CB396" s="28" t="str">
        <f aca="false">IF(OR(AD396="Yes",AD396="No"),AD396,"")</f>
        <v/>
      </c>
      <c r="CC396" s="28" t="str">
        <f aca="false">IF(F396="","",F396)</f>
        <v/>
      </c>
      <c r="CD396" s="27"/>
      <c r="CE396" s="27"/>
    </row>
    <row r="397" customFormat="false" ht="15" hidden="false" customHeight="false" outlineLevel="0" collapsed="false">
      <c r="A397" s="27"/>
      <c r="B397" s="27"/>
      <c r="C397" s="27"/>
      <c r="D397" s="27"/>
      <c r="E397" s="27"/>
      <c r="F397" s="27"/>
      <c r="G397" s="27"/>
      <c r="H397" s="27"/>
      <c r="I397" s="27"/>
      <c r="J397" s="28" t="str">
        <f aca="false">IF(AND(N(H397)&gt;0,N(I397)&gt;0),ROUND(I397/(H397/100)^2,1),"")</f>
        <v/>
      </c>
      <c r="K397" s="27"/>
      <c r="L397" s="27"/>
      <c r="M397" s="27"/>
      <c r="N397" s="27"/>
      <c r="O397" s="27"/>
      <c r="P397" s="27"/>
      <c r="Q397" s="27"/>
      <c r="R397" s="29"/>
      <c r="S397" s="29"/>
      <c r="T397" s="27"/>
      <c r="U397" s="28" t="str">
        <f aca="false">IF(N(T397)=0,"",IF(T397&lt;12,"Under 12 months",IF(T397&lt;36,"12-35 months",IF(T397&lt;60,"36-59 months","≥60 months"))))</f>
        <v/>
      </c>
      <c r="V397" s="27"/>
      <c r="W397" s="30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9"/>
      <c r="AT397" s="30"/>
      <c r="AU397" s="30"/>
      <c r="AV397" s="30"/>
      <c r="AW397" s="27"/>
      <c r="AX397" s="27"/>
      <c r="AY397" s="29"/>
      <c r="AZ397" s="27"/>
      <c r="BA397" s="27"/>
      <c r="BB397" s="29"/>
      <c r="BC397" s="30"/>
      <c r="BD397" s="30"/>
      <c r="BE397" s="30"/>
      <c r="BF397" s="27"/>
      <c r="BG397" s="27"/>
      <c r="BH397" s="28" t="str">
        <f aca="false">IF(COUNT(BC397:BE397)=0,"",IF(MIN(BC397:BE397)&lt;=-2.5,"Yes","No"))</f>
        <v/>
      </c>
      <c r="BI397" s="27"/>
      <c r="BJ397" s="29"/>
      <c r="BK397" s="27"/>
      <c r="BL397" s="27"/>
      <c r="BM397" s="27"/>
      <c r="BN397" s="28" t="str">
        <f aca="false">IF(OR(AX397="Yes",BI397="Yes"),"Yes",IF(AND(AX397="No",BI397="No"),"No",IF(AND(AX397="",BI397=""),"","Unknown")))</f>
        <v/>
      </c>
      <c r="BO397" s="31" t="str">
        <f aca="false">IF(COUNT(AY397,BJ397)=0,"",MIN(AY397,BJ397))</f>
        <v/>
      </c>
      <c r="BP397" s="29"/>
      <c r="BQ397" s="29"/>
      <c r="BR397" s="29"/>
      <c r="BS397" s="28" t="str">
        <f aca="false">IF(AND(N(BP397)&gt;0,N(BR397)&gt;0),BR397-BP397,"")</f>
        <v/>
      </c>
      <c r="BT397" s="28" t="str">
        <f aca="false">IF(BS397="","",ROUND(BS397/365.25,2))</f>
        <v/>
      </c>
      <c r="BU397" s="28" t="str">
        <f aca="false">IF(BS397="","",IF(BS397&gt;=730.5,"Yes","No"))</f>
        <v/>
      </c>
      <c r="BV397" s="27"/>
      <c r="BW397" s="29"/>
      <c r="BX397" s="27"/>
      <c r="BY397" s="27"/>
      <c r="BZ397" s="28" t="str">
        <f aca="false">IF(N(E397)=0,"",IF(E397&lt;65,"Under 65","≥65"))</f>
        <v/>
      </c>
      <c r="CA397" s="28" t="str">
        <f aca="false">IF(OR(AC397="Yes",AC397="No"),AC397,"")</f>
        <v/>
      </c>
      <c r="CB397" s="28" t="str">
        <f aca="false">IF(OR(AD397="Yes",AD397="No"),AD397,"")</f>
        <v/>
      </c>
      <c r="CC397" s="28" t="str">
        <f aca="false">IF(F397="","",F397)</f>
        <v/>
      </c>
      <c r="CD397" s="27"/>
      <c r="CE397" s="27"/>
    </row>
    <row r="398" customFormat="false" ht="15" hidden="false" customHeight="false" outlineLevel="0" collapsed="false">
      <c r="A398" s="27"/>
      <c r="B398" s="27"/>
      <c r="C398" s="27"/>
      <c r="D398" s="27"/>
      <c r="E398" s="27"/>
      <c r="F398" s="27"/>
      <c r="G398" s="27"/>
      <c r="H398" s="27"/>
      <c r="I398" s="27"/>
      <c r="J398" s="28" t="str">
        <f aca="false">IF(AND(N(H398)&gt;0,N(I398)&gt;0),ROUND(I398/(H398/100)^2,1),"")</f>
        <v/>
      </c>
      <c r="K398" s="27"/>
      <c r="L398" s="27"/>
      <c r="M398" s="27"/>
      <c r="N398" s="27"/>
      <c r="O398" s="27"/>
      <c r="P398" s="27"/>
      <c r="Q398" s="27"/>
      <c r="R398" s="29"/>
      <c r="S398" s="29"/>
      <c r="T398" s="27"/>
      <c r="U398" s="28" t="str">
        <f aca="false">IF(N(T398)=0,"",IF(T398&lt;12,"Under 12 months",IF(T398&lt;36,"12-35 months",IF(T398&lt;60,"36-59 months","≥60 months"))))</f>
        <v/>
      </c>
      <c r="V398" s="27"/>
      <c r="W398" s="30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9"/>
      <c r="AT398" s="30"/>
      <c r="AU398" s="30"/>
      <c r="AV398" s="30"/>
      <c r="AW398" s="27"/>
      <c r="AX398" s="27"/>
      <c r="AY398" s="29"/>
      <c r="AZ398" s="27"/>
      <c r="BA398" s="27"/>
      <c r="BB398" s="29"/>
      <c r="BC398" s="30"/>
      <c r="BD398" s="30"/>
      <c r="BE398" s="30"/>
      <c r="BF398" s="27"/>
      <c r="BG398" s="27"/>
      <c r="BH398" s="28" t="str">
        <f aca="false">IF(COUNT(BC398:BE398)=0,"",IF(MIN(BC398:BE398)&lt;=-2.5,"Yes","No"))</f>
        <v/>
      </c>
      <c r="BI398" s="27"/>
      <c r="BJ398" s="29"/>
      <c r="BK398" s="27"/>
      <c r="BL398" s="27"/>
      <c r="BM398" s="27"/>
      <c r="BN398" s="28" t="str">
        <f aca="false">IF(OR(AX398="Yes",BI398="Yes"),"Yes",IF(AND(AX398="No",BI398="No"),"No",IF(AND(AX398="",BI398=""),"","Unknown")))</f>
        <v/>
      </c>
      <c r="BO398" s="31" t="str">
        <f aca="false">IF(COUNT(AY398,BJ398)=0,"",MIN(AY398,BJ398))</f>
        <v/>
      </c>
      <c r="BP398" s="29"/>
      <c r="BQ398" s="29"/>
      <c r="BR398" s="29"/>
      <c r="BS398" s="28" t="str">
        <f aca="false">IF(AND(N(BP398)&gt;0,N(BR398)&gt;0),BR398-BP398,"")</f>
        <v/>
      </c>
      <c r="BT398" s="28" t="str">
        <f aca="false">IF(BS398="","",ROUND(BS398/365.25,2))</f>
        <v/>
      </c>
      <c r="BU398" s="28" t="str">
        <f aca="false">IF(BS398="","",IF(BS398&gt;=730.5,"Yes","No"))</f>
        <v/>
      </c>
      <c r="BV398" s="27"/>
      <c r="BW398" s="29"/>
      <c r="BX398" s="27"/>
      <c r="BY398" s="27"/>
      <c r="BZ398" s="28" t="str">
        <f aca="false">IF(N(E398)=0,"",IF(E398&lt;65,"Under 65","≥65"))</f>
        <v/>
      </c>
      <c r="CA398" s="28" t="str">
        <f aca="false">IF(OR(AC398="Yes",AC398="No"),AC398,"")</f>
        <v/>
      </c>
      <c r="CB398" s="28" t="str">
        <f aca="false">IF(OR(AD398="Yes",AD398="No"),AD398,"")</f>
        <v/>
      </c>
      <c r="CC398" s="28" t="str">
        <f aca="false">IF(F398="","",F398)</f>
        <v/>
      </c>
      <c r="CD398" s="27"/>
      <c r="CE398" s="27"/>
    </row>
    <row r="399" customFormat="false" ht="15" hidden="false" customHeight="false" outlineLevel="0" collapsed="false">
      <c r="A399" s="27"/>
      <c r="B399" s="27"/>
      <c r="C399" s="27"/>
      <c r="D399" s="27"/>
      <c r="E399" s="27"/>
      <c r="F399" s="27"/>
      <c r="G399" s="27"/>
      <c r="H399" s="27"/>
      <c r="I399" s="27"/>
      <c r="J399" s="28" t="str">
        <f aca="false">IF(AND(N(H399)&gt;0,N(I399)&gt;0),ROUND(I399/(H399/100)^2,1),"")</f>
        <v/>
      </c>
      <c r="K399" s="27"/>
      <c r="L399" s="27"/>
      <c r="M399" s="27"/>
      <c r="N399" s="27"/>
      <c r="O399" s="27"/>
      <c r="P399" s="27"/>
      <c r="Q399" s="27"/>
      <c r="R399" s="29"/>
      <c r="S399" s="29"/>
      <c r="T399" s="27"/>
      <c r="U399" s="28" t="str">
        <f aca="false">IF(N(T399)=0,"",IF(T399&lt;12,"Under 12 months",IF(T399&lt;36,"12-35 months",IF(T399&lt;60,"36-59 months","≥60 months"))))</f>
        <v/>
      </c>
      <c r="V399" s="27"/>
      <c r="W399" s="30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9"/>
      <c r="AT399" s="30"/>
      <c r="AU399" s="30"/>
      <c r="AV399" s="30"/>
      <c r="AW399" s="27"/>
      <c r="AX399" s="27"/>
      <c r="AY399" s="29"/>
      <c r="AZ399" s="27"/>
      <c r="BA399" s="27"/>
      <c r="BB399" s="29"/>
      <c r="BC399" s="30"/>
      <c r="BD399" s="30"/>
      <c r="BE399" s="30"/>
      <c r="BF399" s="27"/>
      <c r="BG399" s="27"/>
      <c r="BH399" s="28" t="str">
        <f aca="false">IF(COUNT(BC399:BE399)=0,"",IF(MIN(BC399:BE399)&lt;=-2.5,"Yes","No"))</f>
        <v/>
      </c>
      <c r="BI399" s="27"/>
      <c r="BJ399" s="29"/>
      <c r="BK399" s="27"/>
      <c r="BL399" s="27"/>
      <c r="BM399" s="27"/>
      <c r="BN399" s="28" t="str">
        <f aca="false">IF(OR(AX399="Yes",BI399="Yes"),"Yes",IF(AND(AX399="No",BI399="No"),"No",IF(AND(AX399="",BI399=""),"","Unknown")))</f>
        <v/>
      </c>
      <c r="BO399" s="31" t="str">
        <f aca="false">IF(COUNT(AY399,BJ399)=0,"",MIN(AY399,BJ399))</f>
        <v/>
      </c>
      <c r="BP399" s="29"/>
      <c r="BQ399" s="29"/>
      <c r="BR399" s="29"/>
      <c r="BS399" s="28" t="str">
        <f aca="false">IF(AND(N(BP399)&gt;0,N(BR399)&gt;0),BR399-BP399,"")</f>
        <v/>
      </c>
      <c r="BT399" s="28" t="str">
        <f aca="false">IF(BS399="","",ROUND(BS399/365.25,2))</f>
        <v/>
      </c>
      <c r="BU399" s="28" t="str">
        <f aca="false">IF(BS399="","",IF(BS399&gt;=730.5,"Yes","No"))</f>
        <v/>
      </c>
      <c r="BV399" s="27"/>
      <c r="BW399" s="29"/>
      <c r="BX399" s="27"/>
      <c r="BY399" s="27"/>
      <c r="BZ399" s="28" t="str">
        <f aca="false">IF(N(E399)=0,"",IF(E399&lt;65,"Under 65","≥65"))</f>
        <v/>
      </c>
      <c r="CA399" s="28" t="str">
        <f aca="false">IF(OR(AC399="Yes",AC399="No"),AC399,"")</f>
        <v/>
      </c>
      <c r="CB399" s="28" t="str">
        <f aca="false">IF(OR(AD399="Yes",AD399="No"),AD399,"")</f>
        <v/>
      </c>
      <c r="CC399" s="28" t="str">
        <f aca="false">IF(F399="","",F399)</f>
        <v/>
      </c>
      <c r="CD399" s="27"/>
      <c r="CE399" s="27"/>
    </row>
    <row r="400" customFormat="false" ht="15" hidden="false" customHeight="false" outlineLevel="0" collapsed="false">
      <c r="A400" s="27"/>
      <c r="B400" s="27"/>
      <c r="C400" s="27"/>
      <c r="D400" s="27"/>
      <c r="E400" s="27"/>
      <c r="F400" s="27"/>
      <c r="G400" s="27"/>
      <c r="H400" s="27"/>
      <c r="I400" s="27"/>
      <c r="J400" s="28" t="str">
        <f aca="false">IF(AND(N(H400)&gt;0,N(I400)&gt;0),ROUND(I400/(H400/100)^2,1),"")</f>
        <v/>
      </c>
      <c r="K400" s="27"/>
      <c r="L400" s="27"/>
      <c r="M400" s="27"/>
      <c r="N400" s="27"/>
      <c r="O400" s="27"/>
      <c r="P400" s="27"/>
      <c r="Q400" s="27"/>
      <c r="R400" s="29"/>
      <c r="S400" s="29"/>
      <c r="T400" s="27"/>
      <c r="U400" s="28" t="str">
        <f aca="false">IF(N(T400)=0,"",IF(T400&lt;12,"Under 12 months",IF(T400&lt;36,"12-35 months",IF(T400&lt;60,"36-59 months","≥60 months"))))</f>
        <v/>
      </c>
      <c r="V400" s="27"/>
      <c r="W400" s="30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9"/>
      <c r="AT400" s="30"/>
      <c r="AU400" s="30"/>
      <c r="AV400" s="30"/>
      <c r="AW400" s="27"/>
      <c r="AX400" s="27"/>
      <c r="AY400" s="29"/>
      <c r="AZ400" s="27"/>
      <c r="BA400" s="27"/>
      <c r="BB400" s="29"/>
      <c r="BC400" s="30"/>
      <c r="BD400" s="30"/>
      <c r="BE400" s="30"/>
      <c r="BF400" s="27"/>
      <c r="BG400" s="27"/>
      <c r="BH400" s="28" t="str">
        <f aca="false">IF(COUNT(BC400:BE400)=0,"",IF(MIN(BC400:BE400)&lt;=-2.5,"Yes","No"))</f>
        <v/>
      </c>
      <c r="BI400" s="27"/>
      <c r="BJ400" s="29"/>
      <c r="BK400" s="27"/>
      <c r="BL400" s="27"/>
      <c r="BM400" s="27"/>
      <c r="BN400" s="28" t="str">
        <f aca="false">IF(OR(AX400="Yes",BI400="Yes"),"Yes",IF(AND(AX400="No",BI400="No"),"No",IF(AND(AX400="",BI400=""),"","Unknown")))</f>
        <v/>
      </c>
      <c r="BO400" s="31" t="str">
        <f aca="false">IF(COUNT(AY400,BJ400)=0,"",MIN(AY400,BJ400))</f>
        <v/>
      </c>
      <c r="BP400" s="29"/>
      <c r="BQ400" s="29"/>
      <c r="BR400" s="29"/>
      <c r="BS400" s="28" t="str">
        <f aca="false">IF(AND(N(BP400)&gt;0,N(BR400)&gt;0),BR400-BP400,"")</f>
        <v/>
      </c>
      <c r="BT400" s="28" t="str">
        <f aca="false">IF(BS400="","",ROUND(BS400/365.25,2))</f>
        <v/>
      </c>
      <c r="BU400" s="28" t="str">
        <f aca="false">IF(BS400="","",IF(BS400&gt;=730.5,"Yes","No"))</f>
        <v/>
      </c>
      <c r="BV400" s="27"/>
      <c r="BW400" s="29"/>
      <c r="BX400" s="27"/>
      <c r="BY400" s="27"/>
      <c r="BZ400" s="28" t="str">
        <f aca="false">IF(N(E400)=0,"",IF(E400&lt;65,"Under 65","≥65"))</f>
        <v/>
      </c>
      <c r="CA400" s="28" t="str">
        <f aca="false">IF(OR(AC400="Yes",AC400="No"),AC400,"")</f>
        <v/>
      </c>
      <c r="CB400" s="28" t="str">
        <f aca="false">IF(OR(AD400="Yes",AD400="No"),AD400,"")</f>
        <v/>
      </c>
      <c r="CC400" s="28" t="str">
        <f aca="false">IF(F400="","",F400)</f>
        <v/>
      </c>
      <c r="CD400" s="27"/>
      <c r="CE400" s="27"/>
    </row>
    <row r="401" customFormat="false" ht="15" hidden="false" customHeight="false" outlineLevel="0" collapsed="false">
      <c r="A401" s="27"/>
      <c r="B401" s="27"/>
      <c r="C401" s="27"/>
      <c r="D401" s="27"/>
      <c r="E401" s="27"/>
      <c r="F401" s="27"/>
      <c r="G401" s="27"/>
      <c r="H401" s="27"/>
      <c r="I401" s="27"/>
      <c r="J401" s="28" t="str">
        <f aca="false">IF(AND(N(H401)&gt;0,N(I401)&gt;0),ROUND(I401/(H401/100)^2,1),"")</f>
        <v/>
      </c>
      <c r="K401" s="27"/>
      <c r="L401" s="27"/>
      <c r="M401" s="27"/>
      <c r="N401" s="27"/>
      <c r="O401" s="27"/>
      <c r="P401" s="27"/>
      <c r="Q401" s="27"/>
      <c r="R401" s="29"/>
      <c r="S401" s="29"/>
      <c r="T401" s="27"/>
      <c r="U401" s="28" t="str">
        <f aca="false">IF(N(T401)=0,"",IF(T401&lt;12,"Under 12 months",IF(T401&lt;36,"12-35 months",IF(T401&lt;60,"36-59 months","≥60 months"))))</f>
        <v/>
      </c>
      <c r="V401" s="27"/>
      <c r="W401" s="30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9"/>
      <c r="AT401" s="30"/>
      <c r="AU401" s="30"/>
      <c r="AV401" s="30"/>
      <c r="AW401" s="27"/>
      <c r="AX401" s="27"/>
      <c r="AY401" s="29"/>
      <c r="AZ401" s="27"/>
      <c r="BA401" s="27"/>
      <c r="BB401" s="29"/>
      <c r="BC401" s="30"/>
      <c r="BD401" s="30"/>
      <c r="BE401" s="30"/>
      <c r="BF401" s="27"/>
      <c r="BG401" s="27"/>
      <c r="BH401" s="28" t="str">
        <f aca="false">IF(COUNT(BC401:BE401)=0,"",IF(MIN(BC401:BE401)&lt;=-2.5,"Yes","No"))</f>
        <v/>
      </c>
      <c r="BI401" s="27"/>
      <c r="BJ401" s="29"/>
      <c r="BK401" s="27"/>
      <c r="BL401" s="27"/>
      <c r="BM401" s="27"/>
      <c r="BN401" s="28" t="str">
        <f aca="false">IF(OR(AX401="Yes",BI401="Yes"),"Yes",IF(AND(AX401="No",BI401="No"),"No",IF(AND(AX401="",BI401=""),"","Unknown")))</f>
        <v/>
      </c>
      <c r="BO401" s="31" t="str">
        <f aca="false">IF(COUNT(AY401,BJ401)=0,"",MIN(AY401,BJ401))</f>
        <v/>
      </c>
      <c r="BP401" s="29"/>
      <c r="BQ401" s="29"/>
      <c r="BR401" s="29"/>
      <c r="BS401" s="28" t="str">
        <f aca="false">IF(AND(N(BP401)&gt;0,N(BR401)&gt;0),BR401-BP401,"")</f>
        <v/>
      </c>
      <c r="BT401" s="28" t="str">
        <f aca="false">IF(BS401="","",ROUND(BS401/365.25,2))</f>
        <v/>
      </c>
      <c r="BU401" s="28" t="str">
        <f aca="false">IF(BS401="","",IF(BS401&gt;=730.5,"Yes","No"))</f>
        <v/>
      </c>
      <c r="BV401" s="27"/>
      <c r="BW401" s="29"/>
      <c r="BX401" s="27"/>
      <c r="BY401" s="27"/>
      <c r="BZ401" s="28" t="str">
        <f aca="false">IF(N(E401)=0,"",IF(E401&lt;65,"Under 65","≥65"))</f>
        <v/>
      </c>
      <c r="CA401" s="28" t="str">
        <f aca="false">IF(OR(AC401="Yes",AC401="No"),AC401,"")</f>
        <v/>
      </c>
      <c r="CB401" s="28" t="str">
        <f aca="false">IF(OR(AD401="Yes",AD401="No"),AD401,"")</f>
        <v/>
      </c>
      <c r="CC401" s="28" t="str">
        <f aca="false">IF(F401="","",F401)</f>
        <v/>
      </c>
      <c r="CD401" s="27"/>
      <c r="CE401" s="27"/>
    </row>
    <row r="402" customFormat="false" ht="15" hidden="false" customHeight="false" outlineLevel="0" collapsed="false">
      <c r="A402" s="27"/>
      <c r="B402" s="27"/>
      <c r="C402" s="27"/>
      <c r="D402" s="27"/>
      <c r="E402" s="27"/>
      <c r="F402" s="27"/>
      <c r="G402" s="27"/>
      <c r="H402" s="27"/>
      <c r="I402" s="27"/>
      <c r="J402" s="28" t="str">
        <f aca="false">IF(AND(N(H402)&gt;0,N(I402)&gt;0),ROUND(I402/(H402/100)^2,1),"")</f>
        <v/>
      </c>
      <c r="K402" s="27"/>
      <c r="L402" s="27"/>
      <c r="M402" s="27"/>
      <c r="N402" s="27"/>
      <c r="O402" s="27"/>
      <c r="P402" s="27"/>
      <c r="Q402" s="27"/>
      <c r="R402" s="29"/>
      <c r="S402" s="29"/>
      <c r="T402" s="27"/>
      <c r="U402" s="28" t="str">
        <f aca="false">IF(N(T402)=0,"",IF(T402&lt;12,"Under 12 months",IF(T402&lt;36,"12-35 months",IF(T402&lt;60,"36-59 months","≥60 months"))))</f>
        <v/>
      </c>
      <c r="V402" s="27"/>
      <c r="W402" s="30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9"/>
      <c r="AT402" s="30"/>
      <c r="AU402" s="30"/>
      <c r="AV402" s="30"/>
      <c r="AW402" s="27"/>
      <c r="AX402" s="27"/>
      <c r="AY402" s="29"/>
      <c r="AZ402" s="27"/>
      <c r="BA402" s="27"/>
      <c r="BB402" s="29"/>
      <c r="BC402" s="30"/>
      <c r="BD402" s="30"/>
      <c r="BE402" s="30"/>
      <c r="BF402" s="27"/>
      <c r="BG402" s="27"/>
      <c r="BH402" s="28" t="str">
        <f aca="false">IF(COUNT(BC402:BE402)=0,"",IF(MIN(BC402:BE402)&lt;=-2.5,"Yes","No"))</f>
        <v/>
      </c>
      <c r="BI402" s="27"/>
      <c r="BJ402" s="29"/>
      <c r="BK402" s="27"/>
      <c r="BL402" s="27"/>
      <c r="BM402" s="27"/>
      <c r="BN402" s="28" t="str">
        <f aca="false">IF(OR(AX402="Yes",BI402="Yes"),"Yes",IF(AND(AX402="No",BI402="No"),"No",IF(AND(AX402="",BI402=""),"","Unknown")))</f>
        <v/>
      </c>
      <c r="BO402" s="31" t="str">
        <f aca="false">IF(COUNT(AY402,BJ402)=0,"",MIN(AY402,BJ402))</f>
        <v/>
      </c>
      <c r="BP402" s="29"/>
      <c r="BQ402" s="29"/>
      <c r="BR402" s="29"/>
      <c r="BS402" s="28" t="str">
        <f aca="false">IF(AND(N(BP402)&gt;0,N(BR402)&gt;0),BR402-BP402,"")</f>
        <v/>
      </c>
      <c r="BT402" s="28" t="str">
        <f aca="false">IF(BS402="","",ROUND(BS402/365.25,2))</f>
        <v/>
      </c>
      <c r="BU402" s="28" t="str">
        <f aca="false">IF(BS402="","",IF(BS402&gt;=730.5,"Yes","No"))</f>
        <v/>
      </c>
      <c r="BV402" s="27"/>
      <c r="BW402" s="29"/>
      <c r="BX402" s="27"/>
      <c r="BY402" s="27"/>
      <c r="BZ402" s="28" t="str">
        <f aca="false">IF(N(E402)=0,"",IF(E402&lt;65,"Under 65","≥65"))</f>
        <v/>
      </c>
      <c r="CA402" s="28" t="str">
        <f aca="false">IF(OR(AC402="Yes",AC402="No"),AC402,"")</f>
        <v/>
      </c>
      <c r="CB402" s="28" t="str">
        <f aca="false">IF(OR(AD402="Yes",AD402="No"),AD402,"")</f>
        <v/>
      </c>
      <c r="CC402" s="28" t="str">
        <f aca="false">IF(F402="","",F402)</f>
        <v/>
      </c>
      <c r="CD402" s="27"/>
      <c r="CE402" s="27"/>
    </row>
    <row r="403" customFormat="false" ht="15" hidden="false" customHeight="false" outlineLevel="0" collapsed="false">
      <c r="A403" s="27"/>
      <c r="B403" s="27"/>
      <c r="C403" s="27"/>
      <c r="D403" s="27"/>
      <c r="E403" s="27"/>
      <c r="F403" s="27"/>
      <c r="G403" s="27"/>
      <c r="H403" s="27"/>
      <c r="I403" s="27"/>
      <c r="J403" s="28" t="str">
        <f aca="false">IF(AND(N(H403)&gt;0,N(I403)&gt;0),ROUND(I403/(H403/100)^2,1),"")</f>
        <v/>
      </c>
      <c r="K403" s="27"/>
      <c r="L403" s="27"/>
      <c r="M403" s="27"/>
      <c r="N403" s="27"/>
      <c r="O403" s="27"/>
      <c r="P403" s="27"/>
      <c r="Q403" s="27"/>
      <c r="R403" s="29"/>
      <c r="S403" s="29"/>
      <c r="T403" s="27"/>
      <c r="U403" s="28" t="str">
        <f aca="false">IF(N(T403)=0,"",IF(T403&lt;12,"Under 12 months",IF(T403&lt;36,"12-35 months",IF(T403&lt;60,"36-59 months","≥60 months"))))</f>
        <v/>
      </c>
      <c r="V403" s="27"/>
      <c r="W403" s="30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9"/>
      <c r="AT403" s="30"/>
      <c r="AU403" s="30"/>
      <c r="AV403" s="30"/>
      <c r="AW403" s="27"/>
      <c r="AX403" s="27"/>
      <c r="AY403" s="29"/>
      <c r="AZ403" s="27"/>
      <c r="BA403" s="27"/>
      <c r="BB403" s="29"/>
      <c r="BC403" s="30"/>
      <c r="BD403" s="30"/>
      <c r="BE403" s="30"/>
      <c r="BF403" s="27"/>
      <c r="BG403" s="27"/>
      <c r="BH403" s="28" t="str">
        <f aca="false">IF(COUNT(BC403:BE403)=0,"",IF(MIN(BC403:BE403)&lt;=-2.5,"Yes","No"))</f>
        <v/>
      </c>
      <c r="BI403" s="27"/>
      <c r="BJ403" s="29"/>
      <c r="BK403" s="27"/>
      <c r="BL403" s="27"/>
      <c r="BM403" s="27"/>
      <c r="BN403" s="28" t="str">
        <f aca="false">IF(OR(AX403="Yes",BI403="Yes"),"Yes",IF(AND(AX403="No",BI403="No"),"No",IF(AND(AX403="",BI403=""),"","Unknown")))</f>
        <v/>
      </c>
      <c r="BO403" s="31" t="str">
        <f aca="false">IF(COUNT(AY403,BJ403)=0,"",MIN(AY403,BJ403))</f>
        <v/>
      </c>
      <c r="BP403" s="29"/>
      <c r="BQ403" s="29"/>
      <c r="BR403" s="29"/>
      <c r="BS403" s="28" t="str">
        <f aca="false">IF(AND(N(BP403)&gt;0,N(BR403)&gt;0),BR403-BP403,"")</f>
        <v/>
      </c>
      <c r="BT403" s="28" t="str">
        <f aca="false">IF(BS403="","",ROUND(BS403/365.25,2))</f>
        <v/>
      </c>
      <c r="BU403" s="28" t="str">
        <f aca="false">IF(BS403="","",IF(BS403&gt;=730.5,"Yes","No"))</f>
        <v/>
      </c>
      <c r="BV403" s="27"/>
      <c r="BW403" s="29"/>
      <c r="BX403" s="27"/>
      <c r="BY403" s="27"/>
      <c r="BZ403" s="28" t="str">
        <f aca="false">IF(N(E403)=0,"",IF(E403&lt;65,"Under 65","≥65"))</f>
        <v/>
      </c>
      <c r="CA403" s="28" t="str">
        <f aca="false">IF(OR(AC403="Yes",AC403="No"),AC403,"")</f>
        <v/>
      </c>
      <c r="CB403" s="28" t="str">
        <f aca="false">IF(OR(AD403="Yes",AD403="No"),AD403,"")</f>
        <v/>
      </c>
      <c r="CC403" s="28" t="str">
        <f aca="false">IF(F403="","",F403)</f>
        <v/>
      </c>
      <c r="CD403" s="27"/>
      <c r="CE403" s="27"/>
    </row>
    <row r="404" customFormat="false" ht="15" hidden="false" customHeight="false" outlineLevel="0" collapsed="false">
      <c r="A404" s="27"/>
      <c r="B404" s="27"/>
      <c r="C404" s="27"/>
      <c r="D404" s="27"/>
      <c r="E404" s="27"/>
      <c r="F404" s="27"/>
      <c r="G404" s="27"/>
      <c r="H404" s="27"/>
      <c r="I404" s="27"/>
      <c r="J404" s="28" t="str">
        <f aca="false">IF(AND(N(H404)&gt;0,N(I404)&gt;0),ROUND(I404/(H404/100)^2,1),"")</f>
        <v/>
      </c>
      <c r="K404" s="27"/>
      <c r="L404" s="27"/>
      <c r="M404" s="27"/>
      <c r="N404" s="27"/>
      <c r="O404" s="27"/>
      <c r="P404" s="27"/>
      <c r="Q404" s="27"/>
      <c r="R404" s="29"/>
      <c r="S404" s="29"/>
      <c r="T404" s="27"/>
      <c r="U404" s="28" t="str">
        <f aca="false">IF(N(T404)=0,"",IF(T404&lt;12,"Under 12 months",IF(T404&lt;36,"12-35 months",IF(T404&lt;60,"36-59 months","≥60 months"))))</f>
        <v/>
      </c>
      <c r="V404" s="27"/>
      <c r="W404" s="30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9"/>
      <c r="AT404" s="30"/>
      <c r="AU404" s="30"/>
      <c r="AV404" s="30"/>
      <c r="AW404" s="27"/>
      <c r="AX404" s="27"/>
      <c r="AY404" s="29"/>
      <c r="AZ404" s="27"/>
      <c r="BA404" s="27"/>
      <c r="BB404" s="29"/>
      <c r="BC404" s="30"/>
      <c r="BD404" s="30"/>
      <c r="BE404" s="30"/>
      <c r="BF404" s="27"/>
      <c r="BG404" s="27"/>
      <c r="BH404" s="28" t="str">
        <f aca="false">IF(COUNT(BC404:BE404)=0,"",IF(MIN(BC404:BE404)&lt;=-2.5,"Yes","No"))</f>
        <v/>
      </c>
      <c r="BI404" s="27"/>
      <c r="BJ404" s="29"/>
      <c r="BK404" s="27"/>
      <c r="BL404" s="27"/>
      <c r="BM404" s="27"/>
      <c r="BN404" s="28" t="str">
        <f aca="false">IF(OR(AX404="Yes",BI404="Yes"),"Yes",IF(AND(AX404="No",BI404="No"),"No",IF(AND(AX404="",BI404=""),"","Unknown")))</f>
        <v/>
      </c>
      <c r="BO404" s="31" t="str">
        <f aca="false">IF(COUNT(AY404,BJ404)=0,"",MIN(AY404,BJ404))</f>
        <v/>
      </c>
      <c r="BP404" s="29"/>
      <c r="BQ404" s="29"/>
      <c r="BR404" s="29"/>
      <c r="BS404" s="28" t="str">
        <f aca="false">IF(AND(N(BP404)&gt;0,N(BR404)&gt;0),BR404-BP404,"")</f>
        <v/>
      </c>
      <c r="BT404" s="28" t="str">
        <f aca="false">IF(BS404="","",ROUND(BS404/365.25,2))</f>
        <v/>
      </c>
      <c r="BU404" s="28" t="str">
        <f aca="false">IF(BS404="","",IF(BS404&gt;=730.5,"Yes","No"))</f>
        <v/>
      </c>
      <c r="BV404" s="27"/>
      <c r="BW404" s="29"/>
      <c r="BX404" s="27"/>
      <c r="BY404" s="27"/>
      <c r="BZ404" s="28" t="str">
        <f aca="false">IF(N(E404)=0,"",IF(E404&lt;65,"Under 65","≥65"))</f>
        <v/>
      </c>
      <c r="CA404" s="28" t="str">
        <f aca="false">IF(OR(AC404="Yes",AC404="No"),AC404,"")</f>
        <v/>
      </c>
      <c r="CB404" s="28" t="str">
        <f aca="false">IF(OR(AD404="Yes",AD404="No"),AD404,"")</f>
        <v/>
      </c>
      <c r="CC404" s="28" t="str">
        <f aca="false">IF(F404="","",F404)</f>
        <v/>
      </c>
      <c r="CD404" s="27"/>
      <c r="CE404" s="27"/>
    </row>
    <row r="405" customFormat="false" ht="15" hidden="false" customHeight="false" outlineLevel="0" collapsed="false">
      <c r="A405" s="27"/>
      <c r="B405" s="27"/>
      <c r="C405" s="27"/>
      <c r="D405" s="27"/>
      <c r="E405" s="27"/>
      <c r="F405" s="27"/>
      <c r="G405" s="27"/>
      <c r="H405" s="27"/>
      <c r="I405" s="27"/>
      <c r="J405" s="28" t="str">
        <f aca="false">IF(AND(N(H405)&gt;0,N(I405)&gt;0),ROUND(I405/(H405/100)^2,1),"")</f>
        <v/>
      </c>
      <c r="K405" s="27"/>
      <c r="L405" s="27"/>
      <c r="M405" s="27"/>
      <c r="N405" s="27"/>
      <c r="O405" s="27"/>
      <c r="P405" s="27"/>
      <c r="Q405" s="27"/>
      <c r="R405" s="29"/>
      <c r="S405" s="29"/>
      <c r="T405" s="27"/>
      <c r="U405" s="28" t="str">
        <f aca="false">IF(N(T405)=0,"",IF(T405&lt;12,"Under 12 months",IF(T405&lt;36,"12-35 months",IF(T405&lt;60,"36-59 months","≥60 months"))))</f>
        <v/>
      </c>
      <c r="V405" s="27"/>
      <c r="W405" s="30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9"/>
      <c r="AT405" s="30"/>
      <c r="AU405" s="30"/>
      <c r="AV405" s="30"/>
      <c r="AW405" s="27"/>
      <c r="AX405" s="27"/>
      <c r="AY405" s="29"/>
      <c r="AZ405" s="27"/>
      <c r="BA405" s="27"/>
      <c r="BB405" s="29"/>
      <c r="BC405" s="30"/>
      <c r="BD405" s="30"/>
      <c r="BE405" s="30"/>
      <c r="BF405" s="27"/>
      <c r="BG405" s="27"/>
      <c r="BH405" s="28" t="str">
        <f aca="false">IF(COUNT(BC405:BE405)=0,"",IF(MIN(BC405:BE405)&lt;=-2.5,"Yes","No"))</f>
        <v/>
      </c>
      <c r="BI405" s="27"/>
      <c r="BJ405" s="29"/>
      <c r="BK405" s="27"/>
      <c r="BL405" s="27"/>
      <c r="BM405" s="27"/>
      <c r="BN405" s="28" t="str">
        <f aca="false">IF(OR(AX405="Yes",BI405="Yes"),"Yes",IF(AND(AX405="No",BI405="No"),"No",IF(AND(AX405="",BI405=""),"","Unknown")))</f>
        <v/>
      </c>
      <c r="BO405" s="31" t="str">
        <f aca="false">IF(COUNT(AY405,BJ405)=0,"",MIN(AY405,BJ405))</f>
        <v/>
      </c>
      <c r="BP405" s="29"/>
      <c r="BQ405" s="29"/>
      <c r="BR405" s="29"/>
      <c r="BS405" s="28" t="str">
        <f aca="false">IF(AND(N(BP405)&gt;0,N(BR405)&gt;0),BR405-BP405,"")</f>
        <v/>
      </c>
      <c r="BT405" s="28" t="str">
        <f aca="false">IF(BS405="","",ROUND(BS405/365.25,2))</f>
        <v/>
      </c>
      <c r="BU405" s="28" t="str">
        <f aca="false">IF(BS405="","",IF(BS405&gt;=730.5,"Yes","No"))</f>
        <v/>
      </c>
      <c r="BV405" s="27"/>
      <c r="BW405" s="29"/>
      <c r="BX405" s="27"/>
      <c r="BY405" s="27"/>
      <c r="BZ405" s="28" t="str">
        <f aca="false">IF(N(E405)=0,"",IF(E405&lt;65,"Under 65","≥65"))</f>
        <v/>
      </c>
      <c r="CA405" s="28" t="str">
        <f aca="false">IF(OR(AC405="Yes",AC405="No"),AC405,"")</f>
        <v/>
      </c>
      <c r="CB405" s="28" t="str">
        <f aca="false">IF(OR(AD405="Yes",AD405="No"),AD405,"")</f>
        <v/>
      </c>
      <c r="CC405" s="28" t="str">
        <f aca="false">IF(F405="","",F405)</f>
        <v/>
      </c>
      <c r="CD405" s="27"/>
      <c r="CE405" s="27"/>
    </row>
    <row r="406" customFormat="false" ht="15" hidden="false" customHeight="false" outlineLevel="0" collapsed="false">
      <c r="A406" s="27"/>
      <c r="B406" s="27"/>
      <c r="C406" s="27"/>
      <c r="D406" s="27"/>
      <c r="E406" s="27"/>
      <c r="F406" s="27"/>
      <c r="G406" s="27"/>
      <c r="H406" s="27"/>
      <c r="I406" s="27"/>
      <c r="J406" s="28" t="str">
        <f aca="false">IF(AND(N(H406)&gt;0,N(I406)&gt;0),ROUND(I406/(H406/100)^2,1),"")</f>
        <v/>
      </c>
      <c r="K406" s="27"/>
      <c r="L406" s="27"/>
      <c r="M406" s="27"/>
      <c r="N406" s="27"/>
      <c r="O406" s="27"/>
      <c r="P406" s="27"/>
      <c r="Q406" s="27"/>
      <c r="R406" s="29"/>
      <c r="S406" s="29"/>
      <c r="T406" s="27"/>
      <c r="U406" s="28" t="str">
        <f aca="false">IF(N(T406)=0,"",IF(T406&lt;12,"Under 12 months",IF(T406&lt;36,"12-35 months",IF(T406&lt;60,"36-59 months","≥60 months"))))</f>
        <v/>
      </c>
      <c r="V406" s="27"/>
      <c r="W406" s="30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9"/>
      <c r="AT406" s="30"/>
      <c r="AU406" s="30"/>
      <c r="AV406" s="30"/>
      <c r="AW406" s="27"/>
      <c r="AX406" s="27"/>
      <c r="AY406" s="29"/>
      <c r="AZ406" s="27"/>
      <c r="BA406" s="27"/>
      <c r="BB406" s="29"/>
      <c r="BC406" s="30"/>
      <c r="BD406" s="30"/>
      <c r="BE406" s="30"/>
      <c r="BF406" s="27"/>
      <c r="BG406" s="27"/>
      <c r="BH406" s="28" t="str">
        <f aca="false">IF(COUNT(BC406:BE406)=0,"",IF(MIN(BC406:BE406)&lt;=-2.5,"Yes","No"))</f>
        <v/>
      </c>
      <c r="BI406" s="27"/>
      <c r="BJ406" s="29"/>
      <c r="BK406" s="27"/>
      <c r="BL406" s="27"/>
      <c r="BM406" s="27"/>
      <c r="BN406" s="28" t="str">
        <f aca="false">IF(OR(AX406="Yes",BI406="Yes"),"Yes",IF(AND(AX406="No",BI406="No"),"No",IF(AND(AX406="",BI406=""),"","Unknown")))</f>
        <v/>
      </c>
      <c r="BO406" s="31" t="str">
        <f aca="false">IF(COUNT(AY406,BJ406)=0,"",MIN(AY406,BJ406))</f>
        <v/>
      </c>
      <c r="BP406" s="29"/>
      <c r="BQ406" s="29"/>
      <c r="BR406" s="29"/>
      <c r="BS406" s="28" t="str">
        <f aca="false">IF(AND(N(BP406)&gt;0,N(BR406)&gt;0),BR406-BP406,"")</f>
        <v/>
      </c>
      <c r="BT406" s="28" t="str">
        <f aca="false">IF(BS406="","",ROUND(BS406/365.25,2))</f>
        <v/>
      </c>
      <c r="BU406" s="28" t="str">
        <f aca="false">IF(BS406="","",IF(BS406&gt;=730.5,"Yes","No"))</f>
        <v/>
      </c>
      <c r="BV406" s="27"/>
      <c r="BW406" s="29"/>
      <c r="BX406" s="27"/>
      <c r="BY406" s="27"/>
      <c r="BZ406" s="28" t="str">
        <f aca="false">IF(N(E406)=0,"",IF(E406&lt;65,"Under 65","≥65"))</f>
        <v/>
      </c>
      <c r="CA406" s="28" t="str">
        <f aca="false">IF(OR(AC406="Yes",AC406="No"),AC406,"")</f>
        <v/>
      </c>
      <c r="CB406" s="28" t="str">
        <f aca="false">IF(OR(AD406="Yes",AD406="No"),AD406,"")</f>
        <v/>
      </c>
      <c r="CC406" s="28" t="str">
        <f aca="false">IF(F406="","",F406)</f>
        <v/>
      </c>
      <c r="CD406" s="27"/>
      <c r="CE406" s="27"/>
    </row>
    <row r="407" customFormat="false" ht="15" hidden="false" customHeight="false" outlineLevel="0" collapsed="false">
      <c r="A407" s="27"/>
      <c r="B407" s="27"/>
      <c r="C407" s="27"/>
      <c r="D407" s="27"/>
      <c r="E407" s="27"/>
      <c r="F407" s="27"/>
      <c r="G407" s="27"/>
      <c r="H407" s="27"/>
      <c r="I407" s="27"/>
      <c r="J407" s="28" t="str">
        <f aca="false">IF(AND(N(H407)&gt;0,N(I407)&gt;0),ROUND(I407/(H407/100)^2,1),"")</f>
        <v/>
      </c>
      <c r="K407" s="27"/>
      <c r="L407" s="27"/>
      <c r="M407" s="27"/>
      <c r="N407" s="27"/>
      <c r="O407" s="27"/>
      <c r="P407" s="27"/>
      <c r="Q407" s="27"/>
      <c r="R407" s="29"/>
      <c r="S407" s="29"/>
      <c r="T407" s="27"/>
      <c r="U407" s="28" t="str">
        <f aca="false">IF(N(T407)=0,"",IF(T407&lt;12,"Under 12 months",IF(T407&lt;36,"12-35 months",IF(T407&lt;60,"36-59 months","≥60 months"))))</f>
        <v/>
      </c>
      <c r="V407" s="27"/>
      <c r="W407" s="30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9"/>
      <c r="AT407" s="30"/>
      <c r="AU407" s="30"/>
      <c r="AV407" s="30"/>
      <c r="AW407" s="27"/>
      <c r="AX407" s="27"/>
      <c r="AY407" s="29"/>
      <c r="AZ407" s="27"/>
      <c r="BA407" s="27"/>
      <c r="BB407" s="29"/>
      <c r="BC407" s="30"/>
      <c r="BD407" s="30"/>
      <c r="BE407" s="30"/>
      <c r="BF407" s="27"/>
      <c r="BG407" s="27"/>
      <c r="BH407" s="28" t="str">
        <f aca="false">IF(COUNT(BC407:BE407)=0,"",IF(MIN(BC407:BE407)&lt;=-2.5,"Yes","No"))</f>
        <v/>
      </c>
      <c r="BI407" s="27"/>
      <c r="BJ407" s="29"/>
      <c r="BK407" s="27"/>
      <c r="BL407" s="27"/>
      <c r="BM407" s="27"/>
      <c r="BN407" s="28" t="str">
        <f aca="false">IF(OR(AX407="Yes",BI407="Yes"),"Yes",IF(AND(AX407="No",BI407="No"),"No",IF(AND(AX407="",BI407=""),"","Unknown")))</f>
        <v/>
      </c>
      <c r="BO407" s="31" t="str">
        <f aca="false">IF(COUNT(AY407,BJ407)=0,"",MIN(AY407,BJ407))</f>
        <v/>
      </c>
      <c r="BP407" s="29"/>
      <c r="BQ407" s="29"/>
      <c r="BR407" s="29"/>
      <c r="BS407" s="28" t="str">
        <f aca="false">IF(AND(N(BP407)&gt;0,N(BR407)&gt;0),BR407-BP407,"")</f>
        <v/>
      </c>
      <c r="BT407" s="28" t="str">
        <f aca="false">IF(BS407="","",ROUND(BS407/365.25,2))</f>
        <v/>
      </c>
      <c r="BU407" s="28" t="str">
        <f aca="false">IF(BS407="","",IF(BS407&gt;=730.5,"Yes","No"))</f>
        <v/>
      </c>
      <c r="BV407" s="27"/>
      <c r="BW407" s="29"/>
      <c r="BX407" s="27"/>
      <c r="BY407" s="27"/>
      <c r="BZ407" s="28" t="str">
        <f aca="false">IF(N(E407)=0,"",IF(E407&lt;65,"Under 65","≥65"))</f>
        <v/>
      </c>
      <c r="CA407" s="28" t="str">
        <f aca="false">IF(OR(AC407="Yes",AC407="No"),AC407,"")</f>
        <v/>
      </c>
      <c r="CB407" s="28" t="str">
        <f aca="false">IF(OR(AD407="Yes",AD407="No"),AD407,"")</f>
        <v/>
      </c>
      <c r="CC407" s="28" t="str">
        <f aca="false">IF(F407="","",F407)</f>
        <v/>
      </c>
      <c r="CD407" s="27"/>
      <c r="CE407" s="27"/>
    </row>
    <row r="408" customFormat="false" ht="15" hidden="false" customHeight="false" outlineLevel="0" collapsed="false">
      <c r="A408" s="27"/>
      <c r="B408" s="27"/>
      <c r="C408" s="27"/>
      <c r="D408" s="27"/>
      <c r="E408" s="27"/>
      <c r="F408" s="27"/>
      <c r="G408" s="27"/>
      <c r="H408" s="27"/>
      <c r="I408" s="27"/>
      <c r="J408" s="28" t="str">
        <f aca="false">IF(AND(N(H408)&gt;0,N(I408)&gt;0),ROUND(I408/(H408/100)^2,1),"")</f>
        <v/>
      </c>
      <c r="K408" s="27"/>
      <c r="L408" s="27"/>
      <c r="M408" s="27"/>
      <c r="N408" s="27"/>
      <c r="O408" s="27"/>
      <c r="P408" s="27"/>
      <c r="Q408" s="27"/>
      <c r="R408" s="29"/>
      <c r="S408" s="29"/>
      <c r="T408" s="27"/>
      <c r="U408" s="28" t="str">
        <f aca="false">IF(N(T408)=0,"",IF(T408&lt;12,"Under 12 months",IF(T408&lt;36,"12-35 months",IF(T408&lt;60,"36-59 months","≥60 months"))))</f>
        <v/>
      </c>
      <c r="V408" s="27"/>
      <c r="W408" s="30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9"/>
      <c r="AT408" s="30"/>
      <c r="AU408" s="30"/>
      <c r="AV408" s="30"/>
      <c r="AW408" s="27"/>
      <c r="AX408" s="27"/>
      <c r="AY408" s="29"/>
      <c r="AZ408" s="27"/>
      <c r="BA408" s="27"/>
      <c r="BB408" s="29"/>
      <c r="BC408" s="30"/>
      <c r="BD408" s="30"/>
      <c r="BE408" s="30"/>
      <c r="BF408" s="27"/>
      <c r="BG408" s="27"/>
      <c r="BH408" s="28" t="str">
        <f aca="false">IF(COUNT(BC408:BE408)=0,"",IF(MIN(BC408:BE408)&lt;=-2.5,"Yes","No"))</f>
        <v/>
      </c>
      <c r="BI408" s="27"/>
      <c r="BJ408" s="29"/>
      <c r="BK408" s="27"/>
      <c r="BL408" s="27"/>
      <c r="BM408" s="27"/>
      <c r="BN408" s="28" t="str">
        <f aca="false">IF(OR(AX408="Yes",BI408="Yes"),"Yes",IF(AND(AX408="No",BI408="No"),"No",IF(AND(AX408="",BI408=""),"","Unknown")))</f>
        <v/>
      </c>
      <c r="BO408" s="31" t="str">
        <f aca="false">IF(COUNT(AY408,BJ408)=0,"",MIN(AY408,BJ408))</f>
        <v/>
      </c>
      <c r="BP408" s="29"/>
      <c r="BQ408" s="29"/>
      <c r="BR408" s="29"/>
      <c r="BS408" s="28" t="str">
        <f aca="false">IF(AND(N(BP408)&gt;0,N(BR408)&gt;0),BR408-BP408,"")</f>
        <v/>
      </c>
      <c r="BT408" s="28" t="str">
        <f aca="false">IF(BS408="","",ROUND(BS408/365.25,2))</f>
        <v/>
      </c>
      <c r="BU408" s="28" t="str">
        <f aca="false">IF(BS408="","",IF(BS408&gt;=730.5,"Yes","No"))</f>
        <v/>
      </c>
      <c r="BV408" s="27"/>
      <c r="BW408" s="29"/>
      <c r="BX408" s="27"/>
      <c r="BY408" s="27"/>
      <c r="BZ408" s="28" t="str">
        <f aca="false">IF(N(E408)=0,"",IF(E408&lt;65,"Under 65","≥65"))</f>
        <v/>
      </c>
      <c r="CA408" s="28" t="str">
        <f aca="false">IF(OR(AC408="Yes",AC408="No"),AC408,"")</f>
        <v/>
      </c>
      <c r="CB408" s="28" t="str">
        <f aca="false">IF(OR(AD408="Yes",AD408="No"),AD408,"")</f>
        <v/>
      </c>
      <c r="CC408" s="28" t="str">
        <f aca="false">IF(F408="","",F408)</f>
        <v/>
      </c>
      <c r="CD408" s="27"/>
      <c r="CE408" s="27"/>
    </row>
    <row r="409" customFormat="false" ht="15" hidden="false" customHeight="false" outlineLevel="0" collapsed="false">
      <c r="A409" s="27"/>
      <c r="B409" s="27"/>
      <c r="C409" s="27"/>
      <c r="D409" s="27"/>
      <c r="E409" s="27"/>
      <c r="F409" s="27"/>
      <c r="G409" s="27"/>
      <c r="H409" s="27"/>
      <c r="I409" s="27"/>
      <c r="J409" s="28" t="str">
        <f aca="false">IF(AND(N(H409)&gt;0,N(I409)&gt;0),ROUND(I409/(H409/100)^2,1),"")</f>
        <v/>
      </c>
      <c r="K409" s="27"/>
      <c r="L409" s="27"/>
      <c r="M409" s="27"/>
      <c r="N409" s="27"/>
      <c r="O409" s="27"/>
      <c r="P409" s="27"/>
      <c r="Q409" s="27"/>
      <c r="R409" s="29"/>
      <c r="S409" s="29"/>
      <c r="T409" s="27"/>
      <c r="U409" s="28" t="str">
        <f aca="false">IF(N(T409)=0,"",IF(T409&lt;12,"Under 12 months",IF(T409&lt;36,"12-35 months",IF(T409&lt;60,"36-59 months","≥60 months"))))</f>
        <v/>
      </c>
      <c r="V409" s="27"/>
      <c r="W409" s="30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9"/>
      <c r="AT409" s="30"/>
      <c r="AU409" s="30"/>
      <c r="AV409" s="30"/>
      <c r="AW409" s="27"/>
      <c r="AX409" s="27"/>
      <c r="AY409" s="29"/>
      <c r="AZ409" s="27"/>
      <c r="BA409" s="27"/>
      <c r="BB409" s="29"/>
      <c r="BC409" s="30"/>
      <c r="BD409" s="30"/>
      <c r="BE409" s="30"/>
      <c r="BF409" s="27"/>
      <c r="BG409" s="27"/>
      <c r="BH409" s="28" t="str">
        <f aca="false">IF(COUNT(BC409:BE409)=0,"",IF(MIN(BC409:BE409)&lt;=-2.5,"Yes","No"))</f>
        <v/>
      </c>
      <c r="BI409" s="27"/>
      <c r="BJ409" s="29"/>
      <c r="BK409" s="27"/>
      <c r="BL409" s="27"/>
      <c r="BM409" s="27"/>
      <c r="BN409" s="28" t="str">
        <f aca="false">IF(OR(AX409="Yes",BI409="Yes"),"Yes",IF(AND(AX409="No",BI409="No"),"No",IF(AND(AX409="",BI409=""),"","Unknown")))</f>
        <v/>
      </c>
      <c r="BO409" s="31" t="str">
        <f aca="false">IF(COUNT(AY409,BJ409)=0,"",MIN(AY409,BJ409))</f>
        <v/>
      </c>
      <c r="BP409" s="29"/>
      <c r="BQ409" s="29"/>
      <c r="BR409" s="29"/>
      <c r="BS409" s="28" t="str">
        <f aca="false">IF(AND(N(BP409)&gt;0,N(BR409)&gt;0),BR409-BP409,"")</f>
        <v/>
      </c>
      <c r="BT409" s="28" t="str">
        <f aca="false">IF(BS409="","",ROUND(BS409/365.25,2))</f>
        <v/>
      </c>
      <c r="BU409" s="28" t="str">
        <f aca="false">IF(BS409="","",IF(BS409&gt;=730.5,"Yes","No"))</f>
        <v/>
      </c>
      <c r="BV409" s="27"/>
      <c r="BW409" s="29"/>
      <c r="BX409" s="27"/>
      <c r="BY409" s="27"/>
      <c r="BZ409" s="28" t="str">
        <f aca="false">IF(N(E409)=0,"",IF(E409&lt;65,"Under 65","≥65"))</f>
        <v/>
      </c>
      <c r="CA409" s="28" t="str">
        <f aca="false">IF(OR(AC409="Yes",AC409="No"),AC409,"")</f>
        <v/>
      </c>
      <c r="CB409" s="28" t="str">
        <f aca="false">IF(OR(AD409="Yes",AD409="No"),AD409,"")</f>
        <v/>
      </c>
      <c r="CC409" s="28" t="str">
        <f aca="false">IF(F409="","",F409)</f>
        <v/>
      </c>
      <c r="CD409" s="27"/>
      <c r="CE409" s="27"/>
    </row>
    <row r="410" customFormat="false" ht="15" hidden="false" customHeight="false" outlineLevel="0" collapsed="false">
      <c r="A410" s="27"/>
      <c r="B410" s="27"/>
      <c r="C410" s="27"/>
      <c r="D410" s="27"/>
      <c r="E410" s="27"/>
      <c r="F410" s="27"/>
      <c r="G410" s="27"/>
      <c r="H410" s="27"/>
      <c r="I410" s="27"/>
      <c r="J410" s="28" t="str">
        <f aca="false">IF(AND(N(H410)&gt;0,N(I410)&gt;0),ROUND(I410/(H410/100)^2,1),"")</f>
        <v/>
      </c>
      <c r="K410" s="27"/>
      <c r="L410" s="27"/>
      <c r="M410" s="27"/>
      <c r="N410" s="27"/>
      <c r="O410" s="27"/>
      <c r="P410" s="27"/>
      <c r="Q410" s="27"/>
      <c r="R410" s="29"/>
      <c r="S410" s="29"/>
      <c r="T410" s="27"/>
      <c r="U410" s="28" t="str">
        <f aca="false">IF(N(T410)=0,"",IF(T410&lt;12,"Under 12 months",IF(T410&lt;36,"12-35 months",IF(T410&lt;60,"36-59 months","≥60 months"))))</f>
        <v/>
      </c>
      <c r="V410" s="27"/>
      <c r="W410" s="30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9"/>
      <c r="AT410" s="30"/>
      <c r="AU410" s="30"/>
      <c r="AV410" s="30"/>
      <c r="AW410" s="27"/>
      <c r="AX410" s="27"/>
      <c r="AY410" s="29"/>
      <c r="AZ410" s="27"/>
      <c r="BA410" s="27"/>
      <c r="BB410" s="29"/>
      <c r="BC410" s="30"/>
      <c r="BD410" s="30"/>
      <c r="BE410" s="30"/>
      <c r="BF410" s="27"/>
      <c r="BG410" s="27"/>
      <c r="BH410" s="28" t="str">
        <f aca="false">IF(COUNT(BC410:BE410)=0,"",IF(MIN(BC410:BE410)&lt;=-2.5,"Yes","No"))</f>
        <v/>
      </c>
      <c r="BI410" s="27"/>
      <c r="BJ410" s="29"/>
      <c r="BK410" s="27"/>
      <c r="BL410" s="27"/>
      <c r="BM410" s="27"/>
      <c r="BN410" s="28" t="str">
        <f aca="false">IF(OR(AX410="Yes",BI410="Yes"),"Yes",IF(AND(AX410="No",BI410="No"),"No",IF(AND(AX410="",BI410=""),"","Unknown")))</f>
        <v/>
      </c>
      <c r="BO410" s="31" t="str">
        <f aca="false">IF(COUNT(AY410,BJ410)=0,"",MIN(AY410,BJ410))</f>
        <v/>
      </c>
      <c r="BP410" s="29"/>
      <c r="BQ410" s="29"/>
      <c r="BR410" s="29"/>
      <c r="BS410" s="28" t="str">
        <f aca="false">IF(AND(N(BP410)&gt;0,N(BR410)&gt;0),BR410-BP410,"")</f>
        <v/>
      </c>
      <c r="BT410" s="28" t="str">
        <f aca="false">IF(BS410="","",ROUND(BS410/365.25,2))</f>
        <v/>
      </c>
      <c r="BU410" s="28" t="str">
        <f aca="false">IF(BS410="","",IF(BS410&gt;=730.5,"Yes","No"))</f>
        <v/>
      </c>
      <c r="BV410" s="27"/>
      <c r="BW410" s="29"/>
      <c r="BX410" s="27"/>
      <c r="BY410" s="27"/>
      <c r="BZ410" s="28" t="str">
        <f aca="false">IF(N(E410)=0,"",IF(E410&lt;65,"Under 65","≥65"))</f>
        <v/>
      </c>
      <c r="CA410" s="28" t="str">
        <f aca="false">IF(OR(AC410="Yes",AC410="No"),AC410,"")</f>
        <v/>
      </c>
      <c r="CB410" s="28" t="str">
        <f aca="false">IF(OR(AD410="Yes",AD410="No"),AD410,"")</f>
        <v/>
      </c>
      <c r="CC410" s="28" t="str">
        <f aca="false">IF(F410="","",F410)</f>
        <v/>
      </c>
      <c r="CD410" s="27"/>
      <c r="CE410" s="27"/>
    </row>
    <row r="411" customFormat="false" ht="15" hidden="false" customHeight="false" outlineLevel="0" collapsed="false">
      <c r="A411" s="27"/>
      <c r="B411" s="27"/>
      <c r="C411" s="27"/>
      <c r="D411" s="27"/>
      <c r="E411" s="27"/>
      <c r="F411" s="27"/>
      <c r="G411" s="27"/>
      <c r="H411" s="27"/>
      <c r="I411" s="27"/>
      <c r="J411" s="28" t="str">
        <f aca="false">IF(AND(N(H411)&gt;0,N(I411)&gt;0),ROUND(I411/(H411/100)^2,1),"")</f>
        <v/>
      </c>
      <c r="K411" s="27"/>
      <c r="L411" s="27"/>
      <c r="M411" s="27"/>
      <c r="N411" s="27"/>
      <c r="O411" s="27"/>
      <c r="P411" s="27"/>
      <c r="Q411" s="27"/>
      <c r="R411" s="29"/>
      <c r="S411" s="29"/>
      <c r="T411" s="27"/>
      <c r="U411" s="28" t="str">
        <f aca="false">IF(N(T411)=0,"",IF(T411&lt;12,"Under 12 months",IF(T411&lt;36,"12-35 months",IF(T411&lt;60,"36-59 months","≥60 months"))))</f>
        <v/>
      </c>
      <c r="V411" s="27"/>
      <c r="W411" s="30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9"/>
      <c r="AT411" s="30"/>
      <c r="AU411" s="30"/>
      <c r="AV411" s="30"/>
      <c r="AW411" s="27"/>
      <c r="AX411" s="27"/>
      <c r="AY411" s="29"/>
      <c r="AZ411" s="27"/>
      <c r="BA411" s="27"/>
      <c r="BB411" s="29"/>
      <c r="BC411" s="30"/>
      <c r="BD411" s="30"/>
      <c r="BE411" s="30"/>
      <c r="BF411" s="27"/>
      <c r="BG411" s="27"/>
      <c r="BH411" s="28" t="str">
        <f aca="false">IF(COUNT(BC411:BE411)=0,"",IF(MIN(BC411:BE411)&lt;=-2.5,"Yes","No"))</f>
        <v/>
      </c>
      <c r="BI411" s="27"/>
      <c r="BJ411" s="29"/>
      <c r="BK411" s="27"/>
      <c r="BL411" s="27"/>
      <c r="BM411" s="27"/>
      <c r="BN411" s="28" t="str">
        <f aca="false">IF(OR(AX411="Yes",BI411="Yes"),"Yes",IF(AND(AX411="No",BI411="No"),"No",IF(AND(AX411="",BI411=""),"","Unknown")))</f>
        <v/>
      </c>
      <c r="BO411" s="31" t="str">
        <f aca="false">IF(COUNT(AY411,BJ411)=0,"",MIN(AY411,BJ411))</f>
        <v/>
      </c>
      <c r="BP411" s="29"/>
      <c r="BQ411" s="29"/>
      <c r="BR411" s="29"/>
      <c r="BS411" s="28" t="str">
        <f aca="false">IF(AND(N(BP411)&gt;0,N(BR411)&gt;0),BR411-BP411,"")</f>
        <v/>
      </c>
      <c r="BT411" s="28" t="str">
        <f aca="false">IF(BS411="","",ROUND(BS411/365.25,2))</f>
        <v/>
      </c>
      <c r="BU411" s="28" t="str">
        <f aca="false">IF(BS411="","",IF(BS411&gt;=730.5,"Yes","No"))</f>
        <v/>
      </c>
      <c r="BV411" s="27"/>
      <c r="BW411" s="29"/>
      <c r="BX411" s="27"/>
      <c r="BY411" s="27"/>
      <c r="BZ411" s="28" t="str">
        <f aca="false">IF(N(E411)=0,"",IF(E411&lt;65,"Under 65","≥65"))</f>
        <v/>
      </c>
      <c r="CA411" s="28" t="str">
        <f aca="false">IF(OR(AC411="Yes",AC411="No"),AC411,"")</f>
        <v/>
      </c>
      <c r="CB411" s="28" t="str">
        <f aca="false">IF(OR(AD411="Yes",AD411="No"),AD411,"")</f>
        <v/>
      </c>
      <c r="CC411" s="28" t="str">
        <f aca="false">IF(F411="","",F411)</f>
        <v/>
      </c>
      <c r="CD411" s="27"/>
      <c r="CE411" s="27"/>
    </row>
    <row r="412" customFormat="false" ht="15" hidden="false" customHeight="false" outlineLevel="0" collapsed="false">
      <c r="A412" s="27"/>
      <c r="B412" s="27"/>
      <c r="C412" s="27"/>
      <c r="D412" s="27"/>
      <c r="E412" s="27"/>
      <c r="F412" s="27"/>
      <c r="G412" s="27"/>
      <c r="H412" s="27"/>
      <c r="I412" s="27"/>
      <c r="J412" s="28" t="str">
        <f aca="false">IF(AND(N(H412)&gt;0,N(I412)&gt;0),ROUND(I412/(H412/100)^2,1),"")</f>
        <v/>
      </c>
      <c r="K412" s="27"/>
      <c r="L412" s="27"/>
      <c r="M412" s="27"/>
      <c r="N412" s="27"/>
      <c r="O412" s="27"/>
      <c r="P412" s="27"/>
      <c r="Q412" s="27"/>
      <c r="R412" s="29"/>
      <c r="S412" s="29"/>
      <c r="T412" s="27"/>
      <c r="U412" s="28" t="str">
        <f aca="false">IF(N(T412)=0,"",IF(T412&lt;12,"Under 12 months",IF(T412&lt;36,"12-35 months",IF(T412&lt;60,"36-59 months","≥60 months"))))</f>
        <v/>
      </c>
      <c r="V412" s="27"/>
      <c r="W412" s="30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9"/>
      <c r="AT412" s="30"/>
      <c r="AU412" s="30"/>
      <c r="AV412" s="30"/>
      <c r="AW412" s="27"/>
      <c r="AX412" s="27"/>
      <c r="AY412" s="29"/>
      <c r="AZ412" s="27"/>
      <c r="BA412" s="27"/>
      <c r="BB412" s="29"/>
      <c r="BC412" s="30"/>
      <c r="BD412" s="30"/>
      <c r="BE412" s="30"/>
      <c r="BF412" s="27"/>
      <c r="BG412" s="27"/>
      <c r="BH412" s="28" t="str">
        <f aca="false">IF(COUNT(BC412:BE412)=0,"",IF(MIN(BC412:BE412)&lt;=-2.5,"Yes","No"))</f>
        <v/>
      </c>
      <c r="BI412" s="27"/>
      <c r="BJ412" s="29"/>
      <c r="BK412" s="27"/>
      <c r="BL412" s="27"/>
      <c r="BM412" s="27"/>
      <c r="BN412" s="28" t="str">
        <f aca="false">IF(OR(AX412="Yes",BI412="Yes"),"Yes",IF(AND(AX412="No",BI412="No"),"No",IF(AND(AX412="",BI412=""),"","Unknown")))</f>
        <v/>
      </c>
      <c r="BO412" s="31" t="str">
        <f aca="false">IF(COUNT(AY412,BJ412)=0,"",MIN(AY412,BJ412))</f>
        <v/>
      </c>
      <c r="BP412" s="29"/>
      <c r="BQ412" s="29"/>
      <c r="BR412" s="29"/>
      <c r="BS412" s="28" t="str">
        <f aca="false">IF(AND(N(BP412)&gt;0,N(BR412)&gt;0),BR412-BP412,"")</f>
        <v/>
      </c>
      <c r="BT412" s="28" t="str">
        <f aca="false">IF(BS412="","",ROUND(BS412/365.25,2))</f>
        <v/>
      </c>
      <c r="BU412" s="28" t="str">
        <f aca="false">IF(BS412="","",IF(BS412&gt;=730.5,"Yes","No"))</f>
        <v/>
      </c>
      <c r="BV412" s="27"/>
      <c r="BW412" s="29"/>
      <c r="BX412" s="27"/>
      <c r="BY412" s="27"/>
      <c r="BZ412" s="28" t="str">
        <f aca="false">IF(N(E412)=0,"",IF(E412&lt;65,"Under 65","≥65"))</f>
        <v/>
      </c>
      <c r="CA412" s="28" t="str">
        <f aca="false">IF(OR(AC412="Yes",AC412="No"),AC412,"")</f>
        <v/>
      </c>
      <c r="CB412" s="28" t="str">
        <f aca="false">IF(OR(AD412="Yes",AD412="No"),AD412,"")</f>
        <v/>
      </c>
      <c r="CC412" s="28" t="str">
        <f aca="false">IF(F412="","",F412)</f>
        <v/>
      </c>
      <c r="CD412" s="27"/>
      <c r="CE412" s="27"/>
    </row>
    <row r="413" customFormat="false" ht="15" hidden="false" customHeight="false" outlineLevel="0" collapsed="false">
      <c r="A413" s="27"/>
      <c r="B413" s="27"/>
      <c r="C413" s="27"/>
      <c r="D413" s="27"/>
      <c r="E413" s="27"/>
      <c r="F413" s="27"/>
      <c r="G413" s="27"/>
      <c r="H413" s="27"/>
      <c r="I413" s="27"/>
      <c r="J413" s="28" t="str">
        <f aca="false">IF(AND(N(H413)&gt;0,N(I413)&gt;0),ROUND(I413/(H413/100)^2,1),"")</f>
        <v/>
      </c>
      <c r="K413" s="27"/>
      <c r="L413" s="27"/>
      <c r="M413" s="27"/>
      <c r="N413" s="27"/>
      <c r="O413" s="27"/>
      <c r="P413" s="27"/>
      <c r="Q413" s="27"/>
      <c r="R413" s="29"/>
      <c r="S413" s="29"/>
      <c r="T413" s="27"/>
      <c r="U413" s="28" t="str">
        <f aca="false">IF(N(T413)=0,"",IF(T413&lt;12,"Under 12 months",IF(T413&lt;36,"12-35 months",IF(T413&lt;60,"36-59 months","≥60 months"))))</f>
        <v/>
      </c>
      <c r="V413" s="27"/>
      <c r="W413" s="30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9"/>
      <c r="AT413" s="30"/>
      <c r="AU413" s="30"/>
      <c r="AV413" s="30"/>
      <c r="AW413" s="27"/>
      <c r="AX413" s="27"/>
      <c r="AY413" s="29"/>
      <c r="AZ413" s="27"/>
      <c r="BA413" s="27"/>
      <c r="BB413" s="29"/>
      <c r="BC413" s="30"/>
      <c r="BD413" s="30"/>
      <c r="BE413" s="30"/>
      <c r="BF413" s="27"/>
      <c r="BG413" s="27"/>
      <c r="BH413" s="28" t="str">
        <f aca="false">IF(COUNT(BC413:BE413)=0,"",IF(MIN(BC413:BE413)&lt;=-2.5,"Yes","No"))</f>
        <v/>
      </c>
      <c r="BI413" s="27"/>
      <c r="BJ413" s="29"/>
      <c r="BK413" s="27"/>
      <c r="BL413" s="27"/>
      <c r="BM413" s="27"/>
      <c r="BN413" s="28" t="str">
        <f aca="false">IF(OR(AX413="Yes",BI413="Yes"),"Yes",IF(AND(AX413="No",BI413="No"),"No",IF(AND(AX413="",BI413=""),"","Unknown")))</f>
        <v/>
      </c>
      <c r="BO413" s="31" t="str">
        <f aca="false">IF(COUNT(AY413,BJ413)=0,"",MIN(AY413,BJ413))</f>
        <v/>
      </c>
      <c r="BP413" s="29"/>
      <c r="BQ413" s="29"/>
      <c r="BR413" s="29"/>
      <c r="BS413" s="28" t="str">
        <f aca="false">IF(AND(N(BP413)&gt;0,N(BR413)&gt;0),BR413-BP413,"")</f>
        <v/>
      </c>
      <c r="BT413" s="28" t="str">
        <f aca="false">IF(BS413="","",ROUND(BS413/365.25,2))</f>
        <v/>
      </c>
      <c r="BU413" s="28" t="str">
        <f aca="false">IF(BS413="","",IF(BS413&gt;=730.5,"Yes","No"))</f>
        <v/>
      </c>
      <c r="BV413" s="27"/>
      <c r="BW413" s="29"/>
      <c r="BX413" s="27"/>
      <c r="BY413" s="27"/>
      <c r="BZ413" s="28" t="str">
        <f aca="false">IF(N(E413)=0,"",IF(E413&lt;65,"Under 65","≥65"))</f>
        <v/>
      </c>
      <c r="CA413" s="28" t="str">
        <f aca="false">IF(OR(AC413="Yes",AC413="No"),AC413,"")</f>
        <v/>
      </c>
      <c r="CB413" s="28" t="str">
        <f aca="false">IF(OR(AD413="Yes",AD413="No"),AD413,"")</f>
        <v/>
      </c>
      <c r="CC413" s="28" t="str">
        <f aca="false">IF(F413="","",F413)</f>
        <v/>
      </c>
      <c r="CD413" s="27"/>
      <c r="CE413" s="27"/>
    </row>
    <row r="414" customFormat="false" ht="15" hidden="false" customHeight="false" outlineLevel="0" collapsed="false">
      <c r="A414" s="27"/>
      <c r="B414" s="27"/>
      <c r="C414" s="27"/>
      <c r="D414" s="27"/>
      <c r="E414" s="27"/>
      <c r="F414" s="27"/>
      <c r="G414" s="27"/>
      <c r="H414" s="27"/>
      <c r="I414" s="27"/>
      <c r="J414" s="28" t="str">
        <f aca="false">IF(AND(N(H414)&gt;0,N(I414)&gt;0),ROUND(I414/(H414/100)^2,1),"")</f>
        <v/>
      </c>
      <c r="K414" s="27"/>
      <c r="L414" s="27"/>
      <c r="M414" s="27"/>
      <c r="N414" s="27"/>
      <c r="O414" s="27"/>
      <c r="P414" s="27"/>
      <c r="Q414" s="27"/>
      <c r="R414" s="29"/>
      <c r="S414" s="29"/>
      <c r="T414" s="27"/>
      <c r="U414" s="28" t="str">
        <f aca="false">IF(N(T414)=0,"",IF(T414&lt;12,"Under 12 months",IF(T414&lt;36,"12-35 months",IF(T414&lt;60,"36-59 months","≥60 months"))))</f>
        <v/>
      </c>
      <c r="V414" s="27"/>
      <c r="W414" s="30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9"/>
      <c r="AT414" s="30"/>
      <c r="AU414" s="30"/>
      <c r="AV414" s="30"/>
      <c r="AW414" s="27"/>
      <c r="AX414" s="27"/>
      <c r="AY414" s="29"/>
      <c r="AZ414" s="27"/>
      <c r="BA414" s="27"/>
      <c r="BB414" s="29"/>
      <c r="BC414" s="30"/>
      <c r="BD414" s="30"/>
      <c r="BE414" s="30"/>
      <c r="BF414" s="27"/>
      <c r="BG414" s="27"/>
      <c r="BH414" s="28" t="str">
        <f aca="false">IF(COUNT(BC414:BE414)=0,"",IF(MIN(BC414:BE414)&lt;=-2.5,"Yes","No"))</f>
        <v/>
      </c>
      <c r="BI414" s="27"/>
      <c r="BJ414" s="29"/>
      <c r="BK414" s="27"/>
      <c r="BL414" s="27"/>
      <c r="BM414" s="27"/>
      <c r="BN414" s="28" t="str">
        <f aca="false">IF(OR(AX414="Yes",BI414="Yes"),"Yes",IF(AND(AX414="No",BI414="No"),"No",IF(AND(AX414="",BI414=""),"","Unknown")))</f>
        <v/>
      </c>
      <c r="BO414" s="31" t="str">
        <f aca="false">IF(COUNT(AY414,BJ414)=0,"",MIN(AY414,BJ414))</f>
        <v/>
      </c>
      <c r="BP414" s="29"/>
      <c r="BQ414" s="29"/>
      <c r="BR414" s="29"/>
      <c r="BS414" s="28" t="str">
        <f aca="false">IF(AND(N(BP414)&gt;0,N(BR414)&gt;0),BR414-BP414,"")</f>
        <v/>
      </c>
      <c r="BT414" s="28" t="str">
        <f aca="false">IF(BS414="","",ROUND(BS414/365.25,2))</f>
        <v/>
      </c>
      <c r="BU414" s="28" t="str">
        <f aca="false">IF(BS414="","",IF(BS414&gt;=730.5,"Yes","No"))</f>
        <v/>
      </c>
      <c r="BV414" s="27"/>
      <c r="BW414" s="29"/>
      <c r="BX414" s="27"/>
      <c r="BY414" s="27"/>
      <c r="BZ414" s="28" t="str">
        <f aca="false">IF(N(E414)=0,"",IF(E414&lt;65,"Under 65","≥65"))</f>
        <v/>
      </c>
      <c r="CA414" s="28" t="str">
        <f aca="false">IF(OR(AC414="Yes",AC414="No"),AC414,"")</f>
        <v/>
      </c>
      <c r="CB414" s="28" t="str">
        <f aca="false">IF(OR(AD414="Yes",AD414="No"),AD414,"")</f>
        <v/>
      </c>
      <c r="CC414" s="28" t="str">
        <f aca="false">IF(F414="","",F414)</f>
        <v/>
      </c>
      <c r="CD414" s="27"/>
      <c r="CE414" s="27"/>
    </row>
    <row r="415" customFormat="false" ht="15" hidden="false" customHeight="false" outlineLevel="0" collapsed="false">
      <c r="A415" s="27"/>
      <c r="B415" s="27"/>
      <c r="C415" s="27"/>
      <c r="D415" s="27"/>
      <c r="E415" s="27"/>
      <c r="F415" s="27"/>
      <c r="G415" s="27"/>
      <c r="H415" s="27"/>
      <c r="I415" s="27"/>
      <c r="J415" s="28" t="str">
        <f aca="false">IF(AND(N(H415)&gt;0,N(I415)&gt;0),ROUND(I415/(H415/100)^2,1),"")</f>
        <v/>
      </c>
      <c r="K415" s="27"/>
      <c r="L415" s="27"/>
      <c r="M415" s="27"/>
      <c r="N415" s="27"/>
      <c r="O415" s="27"/>
      <c r="P415" s="27"/>
      <c r="Q415" s="27"/>
      <c r="R415" s="29"/>
      <c r="S415" s="29"/>
      <c r="T415" s="27"/>
      <c r="U415" s="28" t="str">
        <f aca="false">IF(N(T415)=0,"",IF(T415&lt;12,"Under 12 months",IF(T415&lt;36,"12-35 months",IF(T415&lt;60,"36-59 months","≥60 months"))))</f>
        <v/>
      </c>
      <c r="V415" s="27"/>
      <c r="W415" s="30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9"/>
      <c r="AT415" s="30"/>
      <c r="AU415" s="30"/>
      <c r="AV415" s="30"/>
      <c r="AW415" s="27"/>
      <c r="AX415" s="27"/>
      <c r="AY415" s="29"/>
      <c r="AZ415" s="27"/>
      <c r="BA415" s="27"/>
      <c r="BB415" s="29"/>
      <c r="BC415" s="30"/>
      <c r="BD415" s="30"/>
      <c r="BE415" s="30"/>
      <c r="BF415" s="27"/>
      <c r="BG415" s="27"/>
      <c r="BH415" s="28" t="str">
        <f aca="false">IF(COUNT(BC415:BE415)=0,"",IF(MIN(BC415:BE415)&lt;=-2.5,"Yes","No"))</f>
        <v/>
      </c>
      <c r="BI415" s="27"/>
      <c r="BJ415" s="29"/>
      <c r="BK415" s="27"/>
      <c r="BL415" s="27"/>
      <c r="BM415" s="27"/>
      <c r="BN415" s="28" t="str">
        <f aca="false">IF(OR(AX415="Yes",BI415="Yes"),"Yes",IF(AND(AX415="No",BI415="No"),"No",IF(AND(AX415="",BI415=""),"","Unknown")))</f>
        <v/>
      </c>
      <c r="BO415" s="31" t="str">
        <f aca="false">IF(COUNT(AY415,BJ415)=0,"",MIN(AY415,BJ415))</f>
        <v/>
      </c>
      <c r="BP415" s="29"/>
      <c r="BQ415" s="29"/>
      <c r="BR415" s="29"/>
      <c r="BS415" s="28" t="str">
        <f aca="false">IF(AND(N(BP415)&gt;0,N(BR415)&gt;0),BR415-BP415,"")</f>
        <v/>
      </c>
      <c r="BT415" s="28" t="str">
        <f aca="false">IF(BS415="","",ROUND(BS415/365.25,2))</f>
        <v/>
      </c>
      <c r="BU415" s="28" t="str">
        <f aca="false">IF(BS415="","",IF(BS415&gt;=730.5,"Yes","No"))</f>
        <v/>
      </c>
      <c r="BV415" s="27"/>
      <c r="BW415" s="29"/>
      <c r="BX415" s="27"/>
      <c r="BY415" s="27"/>
      <c r="BZ415" s="28" t="str">
        <f aca="false">IF(N(E415)=0,"",IF(E415&lt;65,"Under 65","≥65"))</f>
        <v/>
      </c>
      <c r="CA415" s="28" t="str">
        <f aca="false">IF(OR(AC415="Yes",AC415="No"),AC415,"")</f>
        <v/>
      </c>
      <c r="CB415" s="28" t="str">
        <f aca="false">IF(OR(AD415="Yes",AD415="No"),AD415,"")</f>
        <v/>
      </c>
      <c r="CC415" s="28" t="str">
        <f aca="false">IF(F415="","",F415)</f>
        <v/>
      </c>
      <c r="CD415" s="27"/>
      <c r="CE415" s="27"/>
    </row>
    <row r="416" customFormat="false" ht="15" hidden="false" customHeight="false" outlineLevel="0" collapsed="false">
      <c r="A416" s="27"/>
      <c r="B416" s="27"/>
      <c r="C416" s="27"/>
      <c r="D416" s="27"/>
      <c r="E416" s="27"/>
      <c r="F416" s="27"/>
      <c r="G416" s="27"/>
      <c r="H416" s="27"/>
      <c r="I416" s="27"/>
      <c r="J416" s="28" t="str">
        <f aca="false">IF(AND(N(H416)&gt;0,N(I416)&gt;0),ROUND(I416/(H416/100)^2,1),"")</f>
        <v/>
      </c>
      <c r="K416" s="27"/>
      <c r="L416" s="27"/>
      <c r="M416" s="27"/>
      <c r="N416" s="27"/>
      <c r="O416" s="27"/>
      <c r="P416" s="27"/>
      <c r="Q416" s="27"/>
      <c r="R416" s="29"/>
      <c r="S416" s="29"/>
      <c r="T416" s="27"/>
      <c r="U416" s="28" t="str">
        <f aca="false">IF(N(T416)=0,"",IF(T416&lt;12,"Under 12 months",IF(T416&lt;36,"12-35 months",IF(T416&lt;60,"36-59 months","≥60 months"))))</f>
        <v/>
      </c>
      <c r="V416" s="27"/>
      <c r="W416" s="30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9"/>
      <c r="AT416" s="30"/>
      <c r="AU416" s="30"/>
      <c r="AV416" s="30"/>
      <c r="AW416" s="27"/>
      <c r="AX416" s="27"/>
      <c r="AY416" s="29"/>
      <c r="AZ416" s="27"/>
      <c r="BA416" s="27"/>
      <c r="BB416" s="29"/>
      <c r="BC416" s="30"/>
      <c r="BD416" s="30"/>
      <c r="BE416" s="30"/>
      <c r="BF416" s="27"/>
      <c r="BG416" s="27"/>
      <c r="BH416" s="28" t="str">
        <f aca="false">IF(COUNT(BC416:BE416)=0,"",IF(MIN(BC416:BE416)&lt;=-2.5,"Yes","No"))</f>
        <v/>
      </c>
      <c r="BI416" s="27"/>
      <c r="BJ416" s="29"/>
      <c r="BK416" s="27"/>
      <c r="BL416" s="27"/>
      <c r="BM416" s="27"/>
      <c r="BN416" s="28" t="str">
        <f aca="false">IF(OR(AX416="Yes",BI416="Yes"),"Yes",IF(AND(AX416="No",BI416="No"),"No",IF(AND(AX416="",BI416=""),"","Unknown")))</f>
        <v/>
      </c>
      <c r="BO416" s="31" t="str">
        <f aca="false">IF(COUNT(AY416,BJ416)=0,"",MIN(AY416,BJ416))</f>
        <v/>
      </c>
      <c r="BP416" s="29"/>
      <c r="BQ416" s="29"/>
      <c r="BR416" s="29"/>
      <c r="BS416" s="28" t="str">
        <f aca="false">IF(AND(N(BP416)&gt;0,N(BR416)&gt;0),BR416-BP416,"")</f>
        <v/>
      </c>
      <c r="BT416" s="28" t="str">
        <f aca="false">IF(BS416="","",ROUND(BS416/365.25,2))</f>
        <v/>
      </c>
      <c r="BU416" s="28" t="str">
        <f aca="false">IF(BS416="","",IF(BS416&gt;=730.5,"Yes","No"))</f>
        <v/>
      </c>
      <c r="BV416" s="27"/>
      <c r="BW416" s="29"/>
      <c r="BX416" s="27"/>
      <c r="BY416" s="27"/>
      <c r="BZ416" s="28" t="str">
        <f aca="false">IF(N(E416)=0,"",IF(E416&lt;65,"Under 65","≥65"))</f>
        <v/>
      </c>
      <c r="CA416" s="28" t="str">
        <f aca="false">IF(OR(AC416="Yes",AC416="No"),AC416,"")</f>
        <v/>
      </c>
      <c r="CB416" s="28" t="str">
        <f aca="false">IF(OR(AD416="Yes",AD416="No"),AD416,"")</f>
        <v/>
      </c>
      <c r="CC416" s="28" t="str">
        <f aca="false">IF(F416="","",F416)</f>
        <v/>
      </c>
      <c r="CD416" s="27"/>
      <c r="CE416" s="27"/>
    </row>
    <row r="417" customFormat="false" ht="15" hidden="false" customHeight="false" outlineLevel="0" collapsed="false">
      <c r="A417" s="27"/>
      <c r="B417" s="27"/>
      <c r="C417" s="27"/>
      <c r="D417" s="27"/>
      <c r="E417" s="27"/>
      <c r="F417" s="27"/>
      <c r="G417" s="27"/>
      <c r="H417" s="27"/>
      <c r="I417" s="27"/>
      <c r="J417" s="28" t="str">
        <f aca="false">IF(AND(N(H417)&gt;0,N(I417)&gt;0),ROUND(I417/(H417/100)^2,1),"")</f>
        <v/>
      </c>
      <c r="K417" s="27"/>
      <c r="L417" s="27"/>
      <c r="M417" s="27"/>
      <c r="N417" s="27"/>
      <c r="O417" s="27"/>
      <c r="P417" s="27"/>
      <c r="Q417" s="27"/>
      <c r="R417" s="29"/>
      <c r="S417" s="29"/>
      <c r="T417" s="27"/>
      <c r="U417" s="28" t="str">
        <f aca="false">IF(N(T417)=0,"",IF(T417&lt;12,"Under 12 months",IF(T417&lt;36,"12-35 months",IF(T417&lt;60,"36-59 months","≥60 months"))))</f>
        <v/>
      </c>
      <c r="V417" s="27"/>
      <c r="W417" s="30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9"/>
      <c r="AT417" s="30"/>
      <c r="AU417" s="30"/>
      <c r="AV417" s="30"/>
      <c r="AW417" s="27"/>
      <c r="AX417" s="27"/>
      <c r="AY417" s="29"/>
      <c r="AZ417" s="27"/>
      <c r="BA417" s="27"/>
      <c r="BB417" s="29"/>
      <c r="BC417" s="30"/>
      <c r="BD417" s="30"/>
      <c r="BE417" s="30"/>
      <c r="BF417" s="27"/>
      <c r="BG417" s="27"/>
      <c r="BH417" s="28" t="str">
        <f aca="false">IF(COUNT(BC417:BE417)=0,"",IF(MIN(BC417:BE417)&lt;=-2.5,"Yes","No"))</f>
        <v/>
      </c>
      <c r="BI417" s="27"/>
      <c r="BJ417" s="29"/>
      <c r="BK417" s="27"/>
      <c r="BL417" s="27"/>
      <c r="BM417" s="27"/>
      <c r="BN417" s="28" t="str">
        <f aca="false">IF(OR(AX417="Yes",BI417="Yes"),"Yes",IF(AND(AX417="No",BI417="No"),"No",IF(AND(AX417="",BI417=""),"","Unknown")))</f>
        <v/>
      </c>
      <c r="BO417" s="31" t="str">
        <f aca="false">IF(COUNT(AY417,BJ417)=0,"",MIN(AY417,BJ417))</f>
        <v/>
      </c>
      <c r="BP417" s="29"/>
      <c r="BQ417" s="29"/>
      <c r="BR417" s="29"/>
      <c r="BS417" s="28" t="str">
        <f aca="false">IF(AND(N(BP417)&gt;0,N(BR417)&gt;0),BR417-BP417,"")</f>
        <v/>
      </c>
      <c r="BT417" s="28" t="str">
        <f aca="false">IF(BS417="","",ROUND(BS417/365.25,2))</f>
        <v/>
      </c>
      <c r="BU417" s="28" t="str">
        <f aca="false">IF(BS417="","",IF(BS417&gt;=730.5,"Yes","No"))</f>
        <v/>
      </c>
      <c r="BV417" s="27"/>
      <c r="BW417" s="29"/>
      <c r="BX417" s="27"/>
      <c r="BY417" s="27"/>
      <c r="BZ417" s="28" t="str">
        <f aca="false">IF(N(E417)=0,"",IF(E417&lt;65,"Under 65","≥65"))</f>
        <v/>
      </c>
      <c r="CA417" s="28" t="str">
        <f aca="false">IF(OR(AC417="Yes",AC417="No"),AC417,"")</f>
        <v/>
      </c>
      <c r="CB417" s="28" t="str">
        <f aca="false">IF(OR(AD417="Yes",AD417="No"),AD417,"")</f>
        <v/>
      </c>
      <c r="CC417" s="28" t="str">
        <f aca="false">IF(F417="","",F417)</f>
        <v/>
      </c>
      <c r="CD417" s="27"/>
      <c r="CE417" s="27"/>
    </row>
    <row r="418" customFormat="false" ht="15" hidden="false" customHeight="false" outlineLevel="0" collapsed="false">
      <c r="A418" s="27"/>
      <c r="B418" s="27"/>
      <c r="C418" s="27"/>
      <c r="D418" s="27"/>
      <c r="E418" s="27"/>
      <c r="F418" s="27"/>
      <c r="G418" s="27"/>
      <c r="H418" s="27"/>
      <c r="I418" s="27"/>
      <c r="J418" s="28" t="str">
        <f aca="false">IF(AND(N(H418)&gt;0,N(I418)&gt;0),ROUND(I418/(H418/100)^2,1),"")</f>
        <v/>
      </c>
      <c r="K418" s="27"/>
      <c r="L418" s="27"/>
      <c r="M418" s="27"/>
      <c r="N418" s="27"/>
      <c r="O418" s="27"/>
      <c r="P418" s="27"/>
      <c r="Q418" s="27"/>
      <c r="R418" s="29"/>
      <c r="S418" s="29"/>
      <c r="T418" s="27"/>
      <c r="U418" s="28" t="str">
        <f aca="false">IF(N(T418)=0,"",IF(T418&lt;12,"Under 12 months",IF(T418&lt;36,"12-35 months",IF(T418&lt;60,"36-59 months","≥60 months"))))</f>
        <v/>
      </c>
      <c r="V418" s="27"/>
      <c r="W418" s="30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9"/>
      <c r="AT418" s="30"/>
      <c r="AU418" s="30"/>
      <c r="AV418" s="30"/>
      <c r="AW418" s="27"/>
      <c r="AX418" s="27"/>
      <c r="AY418" s="29"/>
      <c r="AZ418" s="27"/>
      <c r="BA418" s="27"/>
      <c r="BB418" s="29"/>
      <c r="BC418" s="30"/>
      <c r="BD418" s="30"/>
      <c r="BE418" s="30"/>
      <c r="BF418" s="27"/>
      <c r="BG418" s="27"/>
      <c r="BH418" s="28" t="str">
        <f aca="false">IF(COUNT(BC418:BE418)=0,"",IF(MIN(BC418:BE418)&lt;=-2.5,"Yes","No"))</f>
        <v/>
      </c>
      <c r="BI418" s="27"/>
      <c r="BJ418" s="29"/>
      <c r="BK418" s="27"/>
      <c r="BL418" s="27"/>
      <c r="BM418" s="27"/>
      <c r="BN418" s="28" t="str">
        <f aca="false">IF(OR(AX418="Yes",BI418="Yes"),"Yes",IF(AND(AX418="No",BI418="No"),"No",IF(AND(AX418="",BI418=""),"","Unknown")))</f>
        <v/>
      </c>
      <c r="BO418" s="31" t="str">
        <f aca="false">IF(COUNT(AY418,BJ418)=0,"",MIN(AY418,BJ418))</f>
        <v/>
      </c>
      <c r="BP418" s="29"/>
      <c r="BQ418" s="29"/>
      <c r="BR418" s="29"/>
      <c r="BS418" s="28" t="str">
        <f aca="false">IF(AND(N(BP418)&gt;0,N(BR418)&gt;0),BR418-BP418,"")</f>
        <v/>
      </c>
      <c r="BT418" s="28" t="str">
        <f aca="false">IF(BS418="","",ROUND(BS418/365.25,2))</f>
        <v/>
      </c>
      <c r="BU418" s="28" t="str">
        <f aca="false">IF(BS418="","",IF(BS418&gt;=730.5,"Yes","No"))</f>
        <v/>
      </c>
      <c r="BV418" s="27"/>
      <c r="BW418" s="29"/>
      <c r="BX418" s="27"/>
      <c r="BY418" s="27"/>
      <c r="BZ418" s="28" t="str">
        <f aca="false">IF(N(E418)=0,"",IF(E418&lt;65,"Under 65","≥65"))</f>
        <v/>
      </c>
      <c r="CA418" s="28" t="str">
        <f aca="false">IF(OR(AC418="Yes",AC418="No"),AC418,"")</f>
        <v/>
      </c>
      <c r="CB418" s="28" t="str">
        <f aca="false">IF(OR(AD418="Yes",AD418="No"),AD418,"")</f>
        <v/>
      </c>
      <c r="CC418" s="28" t="str">
        <f aca="false">IF(F418="","",F418)</f>
        <v/>
      </c>
      <c r="CD418" s="27"/>
      <c r="CE418" s="27"/>
    </row>
    <row r="419" customFormat="false" ht="15" hidden="false" customHeight="false" outlineLevel="0" collapsed="false">
      <c r="A419" s="27"/>
      <c r="B419" s="27"/>
      <c r="C419" s="27"/>
      <c r="D419" s="27"/>
      <c r="E419" s="27"/>
      <c r="F419" s="27"/>
      <c r="G419" s="27"/>
      <c r="H419" s="27"/>
      <c r="I419" s="27"/>
      <c r="J419" s="28" t="str">
        <f aca="false">IF(AND(N(H419)&gt;0,N(I419)&gt;0),ROUND(I419/(H419/100)^2,1),"")</f>
        <v/>
      </c>
      <c r="K419" s="27"/>
      <c r="L419" s="27"/>
      <c r="M419" s="27"/>
      <c r="N419" s="27"/>
      <c r="O419" s="27"/>
      <c r="P419" s="27"/>
      <c r="Q419" s="27"/>
      <c r="R419" s="29"/>
      <c r="S419" s="29"/>
      <c r="T419" s="27"/>
      <c r="U419" s="28" t="str">
        <f aca="false">IF(N(T419)=0,"",IF(T419&lt;12,"Under 12 months",IF(T419&lt;36,"12-35 months",IF(T419&lt;60,"36-59 months","≥60 months"))))</f>
        <v/>
      </c>
      <c r="V419" s="27"/>
      <c r="W419" s="30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9"/>
      <c r="AT419" s="30"/>
      <c r="AU419" s="30"/>
      <c r="AV419" s="30"/>
      <c r="AW419" s="27"/>
      <c r="AX419" s="27"/>
      <c r="AY419" s="29"/>
      <c r="AZ419" s="27"/>
      <c r="BA419" s="27"/>
      <c r="BB419" s="29"/>
      <c r="BC419" s="30"/>
      <c r="BD419" s="30"/>
      <c r="BE419" s="30"/>
      <c r="BF419" s="27"/>
      <c r="BG419" s="27"/>
      <c r="BH419" s="28" t="str">
        <f aca="false">IF(COUNT(BC419:BE419)=0,"",IF(MIN(BC419:BE419)&lt;=-2.5,"Yes","No"))</f>
        <v/>
      </c>
      <c r="BI419" s="27"/>
      <c r="BJ419" s="29"/>
      <c r="BK419" s="27"/>
      <c r="BL419" s="27"/>
      <c r="BM419" s="27"/>
      <c r="BN419" s="28" t="str">
        <f aca="false">IF(OR(AX419="Yes",BI419="Yes"),"Yes",IF(AND(AX419="No",BI419="No"),"No",IF(AND(AX419="",BI419=""),"","Unknown")))</f>
        <v/>
      </c>
      <c r="BO419" s="31" t="str">
        <f aca="false">IF(COUNT(AY419,BJ419)=0,"",MIN(AY419,BJ419))</f>
        <v/>
      </c>
      <c r="BP419" s="29"/>
      <c r="BQ419" s="29"/>
      <c r="BR419" s="29"/>
      <c r="BS419" s="28" t="str">
        <f aca="false">IF(AND(N(BP419)&gt;0,N(BR419)&gt;0),BR419-BP419,"")</f>
        <v/>
      </c>
      <c r="BT419" s="28" t="str">
        <f aca="false">IF(BS419="","",ROUND(BS419/365.25,2))</f>
        <v/>
      </c>
      <c r="BU419" s="28" t="str">
        <f aca="false">IF(BS419="","",IF(BS419&gt;=730.5,"Yes","No"))</f>
        <v/>
      </c>
      <c r="BV419" s="27"/>
      <c r="BW419" s="29"/>
      <c r="BX419" s="27"/>
      <c r="BY419" s="27"/>
      <c r="BZ419" s="28" t="str">
        <f aca="false">IF(N(E419)=0,"",IF(E419&lt;65,"Under 65","≥65"))</f>
        <v/>
      </c>
      <c r="CA419" s="28" t="str">
        <f aca="false">IF(OR(AC419="Yes",AC419="No"),AC419,"")</f>
        <v/>
      </c>
      <c r="CB419" s="28" t="str">
        <f aca="false">IF(OR(AD419="Yes",AD419="No"),AD419,"")</f>
        <v/>
      </c>
      <c r="CC419" s="28" t="str">
        <f aca="false">IF(F419="","",F419)</f>
        <v/>
      </c>
      <c r="CD419" s="27"/>
      <c r="CE419" s="27"/>
    </row>
    <row r="420" customFormat="false" ht="15" hidden="false" customHeight="false" outlineLevel="0" collapsed="false">
      <c r="A420" s="27"/>
      <c r="B420" s="27"/>
      <c r="C420" s="27"/>
      <c r="D420" s="27"/>
      <c r="E420" s="27"/>
      <c r="F420" s="27"/>
      <c r="G420" s="27"/>
      <c r="H420" s="27"/>
      <c r="I420" s="27"/>
      <c r="J420" s="28" t="str">
        <f aca="false">IF(AND(N(H420)&gt;0,N(I420)&gt;0),ROUND(I420/(H420/100)^2,1),"")</f>
        <v/>
      </c>
      <c r="K420" s="27"/>
      <c r="L420" s="27"/>
      <c r="M420" s="27"/>
      <c r="N420" s="27"/>
      <c r="O420" s="27"/>
      <c r="P420" s="27"/>
      <c r="Q420" s="27"/>
      <c r="R420" s="29"/>
      <c r="S420" s="29"/>
      <c r="T420" s="27"/>
      <c r="U420" s="28" t="str">
        <f aca="false">IF(N(T420)=0,"",IF(T420&lt;12,"Under 12 months",IF(T420&lt;36,"12-35 months",IF(T420&lt;60,"36-59 months","≥60 months"))))</f>
        <v/>
      </c>
      <c r="V420" s="27"/>
      <c r="W420" s="30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9"/>
      <c r="AT420" s="30"/>
      <c r="AU420" s="30"/>
      <c r="AV420" s="30"/>
      <c r="AW420" s="27"/>
      <c r="AX420" s="27"/>
      <c r="AY420" s="29"/>
      <c r="AZ420" s="27"/>
      <c r="BA420" s="27"/>
      <c r="BB420" s="29"/>
      <c r="BC420" s="30"/>
      <c r="BD420" s="30"/>
      <c r="BE420" s="30"/>
      <c r="BF420" s="27"/>
      <c r="BG420" s="27"/>
      <c r="BH420" s="28" t="str">
        <f aca="false">IF(COUNT(BC420:BE420)=0,"",IF(MIN(BC420:BE420)&lt;=-2.5,"Yes","No"))</f>
        <v/>
      </c>
      <c r="BI420" s="27"/>
      <c r="BJ420" s="29"/>
      <c r="BK420" s="27"/>
      <c r="BL420" s="27"/>
      <c r="BM420" s="27"/>
      <c r="BN420" s="28" t="str">
        <f aca="false">IF(OR(AX420="Yes",BI420="Yes"),"Yes",IF(AND(AX420="No",BI420="No"),"No",IF(AND(AX420="",BI420=""),"","Unknown")))</f>
        <v/>
      </c>
      <c r="BO420" s="31" t="str">
        <f aca="false">IF(COUNT(AY420,BJ420)=0,"",MIN(AY420,BJ420))</f>
        <v/>
      </c>
      <c r="BP420" s="29"/>
      <c r="BQ420" s="29"/>
      <c r="BR420" s="29"/>
      <c r="BS420" s="28" t="str">
        <f aca="false">IF(AND(N(BP420)&gt;0,N(BR420)&gt;0),BR420-BP420,"")</f>
        <v/>
      </c>
      <c r="BT420" s="28" t="str">
        <f aca="false">IF(BS420="","",ROUND(BS420/365.25,2))</f>
        <v/>
      </c>
      <c r="BU420" s="28" t="str">
        <f aca="false">IF(BS420="","",IF(BS420&gt;=730.5,"Yes","No"))</f>
        <v/>
      </c>
      <c r="BV420" s="27"/>
      <c r="BW420" s="29"/>
      <c r="BX420" s="27"/>
      <c r="BY420" s="27"/>
      <c r="BZ420" s="28" t="str">
        <f aca="false">IF(N(E420)=0,"",IF(E420&lt;65,"Under 65","≥65"))</f>
        <v/>
      </c>
      <c r="CA420" s="28" t="str">
        <f aca="false">IF(OR(AC420="Yes",AC420="No"),AC420,"")</f>
        <v/>
      </c>
      <c r="CB420" s="28" t="str">
        <f aca="false">IF(OR(AD420="Yes",AD420="No"),AD420,"")</f>
        <v/>
      </c>
      <c r="CC420" s="28" t="str">
        <f aca="false">IF(F420="","",F420)</f>
        <v/>
      </c>
      <c r="CD420" s="27"/>
      <c r="CE420" s="27"/>
    </row>
    <row r="421" customFormat="false" ht="15" hidden="false" customHeight="false" outlineLevel="0" collapsed="false">
      <c r="A421" s="27"/>
      <c r="B421" s="27"/>
      <c r="C421" s="27"/>
      <c r="D421" s="27"/>
      <c r="E421" s="27"/>
      <c r="F421" s="27"/>
      <c r="G421" s="27"/>
      <c r="H421" s="27"/>
      <c r="I421" s="27"/>
      <c r="J421" s="28" t="str">
        <f aca="false">IF(AND(N(H421)&gt;0,N(I421)&gt;0),ROUND(I421/(H421/100)^2,1),"")</f>
        <v/>
      </c>
      <c r="K421" s="27"/>
      <c r="L421" s="27"/>
      <c r="M421" s="27"/>
      <c r="N421" s="27"/>
      <c r="O421" s="27"/>
      <c r="P421" s="27"/>
      <c r="Q421" s="27"/>
      <c r="R421" s="29"/>
      <c r="S421" s="29"/>
      <c r="T421" s="27"/>
      <c r="U421" s="28" t="str">
        <f aca="false">IF(N(T421)=0,"",IF(T421&lt;12,"Under 12 months",IF(T421&lt;36,"12-35 months",IF(T421&lt;60,"36-59 months","≥60 months"))))</f>
        <v/>
      </c>
      <c r="V421" s="27"/>
      <c r="W421" s="30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9"/>
      <c r="AT421" s="30"/>
      <c r="AU421" s="30"/>
      <c r="AV421" s="30"/>
      <c r="AW421" s="27"/>
      <c r="AX421" s="27"/>
      <c r="AY421" s="29"/>
      <c r="AZ421" s="27"/>
      <c r="BA421" s="27"/>
      <c r="BB421" s="29"/>
      <c r="BC421" s="30"/>
      <c r="BD421" s="30"/>
      <c r="BE421" s="30"/>
      <c r="BF421" s="27"/>
      <c r="BG421" s="27"/>
      <c r="BH421" s="28" t="str">
        <f aca="false">IF(COUNT(BC421:BE421)=0,"",IF(MIN(BC421:BE421)&lt;=-2.5,"Yes","No"))</f>
        <v/>
      </c>
      <c r="BI421" s="27"/>
      <c r="BJ421" s="29"/>
      <c r="BK421" s="27"/>
      <c r="BL421" s="27"/>
      <c r="BM421" s="27"/>
      <c r="BN421" s="28" t="str">
        <f aca="false">IF(OR(AX421="Yes",BI421="Yes"),"Yes",IF(AND(AX421="No",BI421="No"),"No",IF(AND(AX421="",BI421=""),"","Unknown")))</f>
        <v/>
      </c>
      <c r="BO421" s="31" t="str">
        <f aca="false">IF(COUNT(AY421,BJ421)=0,"",MIN(AY421,BJ421))</f>
        <v/>
      </c>
      <c r="BP421" s="29"/>
      <c r="BQ421" s="29"/>
      <c r="BR421" s="29"/>
      <c r="BS421" s="28" t="str">
        <f aca="false">IF(AND(N(BP421)&gt;0,N(BR421)&gt;0),BR421-BP421,"")</f>
        <v/>
      </c>
      <c r="BT421" s="28" t="str">
        <f aca="false">IF(BS421="","",ROUND(BS421/365.25,2))</f>
        <v/>
      </c>
      <c r="BU421" s="28" t="str">
        <f aca="false">IF(BS421="","",IF(BS421&gt;=730.5,"Yes","No"))</f>
        <v/>
      </c>
      <c r="BV421" s="27"/>
      <c r="BW421" s="29"/>
      <c r="BX421" s="27"/>
      <c r="BY421" s="27"/>
      <c r="BZ421" s="28" t="str">
        <f aca="false">IF(N(E421)=0,"",IF(E421&lt;65,"Under 65","≥65"))</f>
        <v/>
      </c>
      <c r="CA421" s="28" t="str">
        <f aca="false">IF(OR(AC421="Yes",AC421="No"),AC421,"")</f>
        <v/>
      </c>
      <c r="CB421" s="28" t="str">
        <f aca="false">IF(OR(AD421="Yes",AD421="No"),AD421,"")</f>
        <v/>
      </c>
      <c r="CC421" s="28" t="str">
        <f aca="false">IF(F421="","",F421)</f>
        <v/>
      </c>
      <c r="CD421" s="27"/>
      <c r="CE421" s="27"/>
    </row>
    <row r="422" customFormat="false" ht="15" hidden="false" customHeight="false" outlineLevel="0" collapsed="false">
      <c r="A422" s="27"/>
      <c r="B422" s="27"/>
      <c r="C422" s="27"/>
      <c r="D422" s="27"/>
      <c r="E422" s="27"/>
      <c r="F422" s="27"/>
      <c r="G422" s="27"/>
      <c r="H422" s="27"/>
      <c r="I422" s="27"/>
      <c r="J422" s="28" t="str">
        <f aca="false">IF(AND(N(H422)&gt;0,N(I422)&gt;0),ROUND(I422/(H422/100)^2,1),"")</f>
        <v/>
      </c>
      <c r="K422" s="27"/>
      <c r="L422" s="27"/>
      <c r="M422" s="27"/>
      <c r="N422" s="27"/>
      <c r="O422" s="27"/>
      <c r="P422" s="27"/>
      <c r="Q422" s="27"/>
      <c r="R422" s="29"/>
      <c r="S422" s="29"/>
      <c r="T422" s="27"/>
      <c r="U422" s="28" t="str">
        <f aca="false">IF(N(T422)=0,"",IF(T422&lt;12,"Under 12 months",IF(T422&lt;36,"12-35 months",IF(T422&lt;60,"36-59 months","≥60 months"))))</f>
        <v/>
      </c>
      <c r="V422" s="27"/>
      <c r="W422" s="30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9"/>
      <c r="AT422" s="30"/>
      <c r="AU422" s="30"/>
      <c r="AV422" s="30"/>
      <c r="AW422" s="27"/>
      <c r="AX422" s="27"/>
      <c r="AY422" s="29"/>
      <c r="AZ422" s="27"/>
      <c r="BA422" s="27"/>
      <c r="BB422" s="29"/>
      <c r="BC422" s="30"/>
      <c r="BD422" s="30"/>
      <c r="BE422" s="30"/>
      <c r="BF422" s="27"/>
      <c r="BG422" s="27"/>
      <c r="BH422" s="28" t="str">
        <f aca="false">IF(COUNT(BC422:BE422)=0,"",IF(MIN(BC422:BE422)&lt;=-2.5,"Yes","No"))</f>
        <v/>
      </c>
      <c r="BI422" s="27"/>
      <c r="BJ422" s="29"/>
      <c r="BK422" s="27"/>
      <c r="BL422" s="27"/>
      <c r="BM422" s="27"/>
      <c r="BN422" s="28" t="str">
        <f aca="false">IF(OR(AX422="Yes",BI422="Yes"),"Yes",IF(AND(AX422="No",BI422="No"),"No",IF(AND(AX422="",BI422=""),"","Unknown")))</f>
        <v/>
      </c>
      <c r="BO422" s="31" t="str">
        <f aca="false">IF(COUNT(AY422,BJ422)=0,"",MIN(AY422,BJ422))</f>
        <v/>
      </c>
      <c r="BP422" s="29"/>
      <c r="BQ422" s="29"/>
      <c r="BR422" s="29"/>
      <c r="BS422" s="28" t="str">
        <f aca="false">IF(AND(N(BP422)&gt;0,N(BR422)&gt;0),BR422-BP422,"")</f>
        <v/>
      </c>
      <c r="BT422" s="28" t="str">
        <f aca="false">IF(BS422="","",ROUND(BS422/365.25,2))</f>
        <v/>
      </c>
      <c r="BU422" s="28" t="str">
        <f aca="false">IF(BS422="","",IF(BS422&gt;=730.5,"Yes","No"))</f>
        <v/>
      </c>
      <c r="BV422" s="27"/>
      <c r="BW422" s="29"/>
      <c r="BX422" s="27"/>
      <c r="BY422" s="27"/>
      <c r="BZ422" s="28" t="str">
        <f aca="false">IF(N(E422)=0,"",IF(E422&lt;65,"Under 65","≥65"))</f>
        <v/>
      </c>
      <c r="CA422" s="28" t="str">
        <f aca="false">IF(OR(AC422="Yes",AC422="No"),AC422,"")</f>
        <v/>
      </c>
      <c r="CB422" s="28" t="str">
        <f aca="false">IF(OR(AD422="Yes",AD422="No"),AD422,"")</f>
        <v/>
      </c>
      <c r="CC422" s="28" t="str">
        <f aca="false">IF(F422="","",F422)</f>
        <v/>
      </c>
      <c r="CD422" s="27"/>
      <c r="CE422" s="27"/>
    </row>
    <row r="423" customFormat="false" ht="15" hidden="false" customHeight="false" outlineLevel="0" collapsed="false">
      <c r="A423" s="27"/>
      <c r="B423" s="27"/>
      <c r="C423" s="27"/>
      <c r="D423" s="27"/>
      <c r="E423" s="27"/>
      <c r="F423" s="27"/>
      <c r="G423" s="27"/>
      <c r="H423" s="27"/>
      <c r="I423" s="27"/>
      <c r="J423" s="28" t="str">
        <f aca="false">IF(AND(N(H423)&gt;0,N(I423)&gt;0),ROUND(I423/(H423/100)^2,1),"")</f>
        <v/>
      </c>
      <c r="K423" s="27"/>
      <c r="L423" s="27"/>
      <c r="M423" s="27"/>
      <c r="N423" s="27"/>
      <c r="O423" s="27"/>
      <c r="P423" s="27"/>
      <c r="Q423" s="27"/>
      <c r="R423" s="29"/>
      <c r="S423" s="29"/>
      <c r="T423" s="27"/>
      <c r="U423" s="28" t="str">
        <f aca="false">IF(N(T423)=0,"",IF(T423&lt;12,"Under 12 months",IF(T423&lt;36,"12-35 months",IF(T423&lt;60,"36-59 months","≥60 months"))))</f>
        <v/>
      </c>
      <c r="V423" s="27"/>
      <c r="W423" s="30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9"/>
      <c r="AT423" s="30"/>
      <c r="AU423" s="30"/>
      <c r="AV423" s="30"/>
      <c r="AW423" s="27"/>
      <c r="AX423" s="27"/>
      <c r="AY423" s="29"/>
      <c r="AZ423" s="27"/>
      <c r="BA423" s="27"/>
      <c r="BB423" s="29"/>
      <c r="BC423" s="30"/>
      <c r="BD423" s="30"/>
      <c r="BE423" s="30"/>
      <c r="BF423" s="27"/>
      <c r="BG423" s="27"/>
      <c r="BH423" s="28" t="str">
        <f aca="false">IF(COUNT(BC423:BE423)=0,"",IF(MIN(BC423:BE423)&lt;=-2.5,"Yes","No"))</f>
        <v/>
      </c>
      <c r="BI423" s="27"/>
      <c r="BJ423" s="29"/>
      <c r="BK423" s="27"/>
      <c r="BL423" s="27"/>
      <c r="BM423" s="27"/>
      <c r="BN423" s="28" t="str">
        <f aca="false">IF(OR(AX423="Yes",BI423="Yes"),"Yes",IF(AND(AX423="No",BI423="No"),"No",IF(AND(AX423="",BI423=""),"","Unknown")))</f>
        <v/>
      </c>
      <c r="BO423" s="31" t="str">
        <f aca="false">IF(COUNT(AY423,BJ423)=0,"",MIN(AY423,BJ423))</f>
        <v/>
      </c>
      <c r="BP423" s="29"/>
      <c r="BQ423" s="29"/>
      <c r="BR423" s="29"/>
      <c r="BS423" s="28" t="str">
        <f aca="false">IF(AND(N(BP423)&gt;0,N(BR423)&gt;0),BR423-BP423,"")</f>
        <v/>
      </c>
      <c r="BT423" s="28" t="str">
        <f aca="false">IF(BS423="","",ROUND(BS423/365.25,2))</f>
        <v/>
      </c>
      <c r="BU423" s="28" t="str">
        <f aca="false">IF(BS423="","",IF(BS423&gt;=730.5,"Yes","No"))</f>
        <v/>
      </c>
      <c r="BV423" s="27"/>
      <c r="BW423" s="29"/>
      <c r="BX423" s="27"/>
      <c r="BY423" s="27"/>
      <c r="BZ423" s="28" t="str">
        <f aca="false">IF(N(E423)=0,"",IF(E423&lt;65,"Under 65","≥65"))</f>
        <v/>
      </c>
      <c r="CA423" s="28" t="str">
        <f aca="false">IF(OR(AC423="Yes",AC423="No"),AC423,"")</f>
        <v/>
      </c>
      <c r="CB423" s="28" t="str">
        <f aca="false">IF(OR(AD423="Yes",AD423="No"),AD423,"")</f>
        <v/>
      </c>
      <c r="CC423" s="28" t="str">
        <f aca="false">IF(F423="","",F423)</f>
        <v/>
      </c>
      <c r="CD423" s="27"/>
      <c r="CE423" s="27"/>
    </row>
    <row r="424" customFormat="false" ht="15" hidden="false" customHeight="false" outlineLevel="0" collapsed="false">
      <c r="A424" s="27"/>
      <c r="B424" s="27"/>
      <c r="C424" s="27"/>
      <c r="D424" s="27"/>
      <c r="E424" s="27"/>
      <c r="F424" s="27"/>
      <c r="G424" s="27"/>
      <c r="H424" s="27"/>
      <c r="I424" s="27"/>
      <c r="J424" s="28" t="str">
        <f aca="false">IF(AND(N(H424)&gt;0,N(I424)&gt;0),ROUND(I424/(H424/100)^2,1),"")</f>
        <v/>
      </c>
      <c r="K424" s="27"/>
      <c r="L424" s="27"/>
      <c r="M424" s="27"/>
      <c r="N424" s="27"/>
      <c r="O424" s="27"/>
      <c r="P424" s="27"/>
      <c r="Q424" s="27"/>
      <c r="R424" s="29"/>
      <c r="S424" s="29"/>
      <c r="T424" s="27"/>
      <c r="U424" s="28" t="str">
        <f aca="false">IF(N(T424)=0,"",IF(T424&lt;12,"Under 12 months",IF(T424&lt;36,"12-35 months",IF(T424&lt;60,"36-59 months","≥60 months"))))</f>
        <v/>
      </c>
      <c r="V424" s="27"/>
      <c r="W424" s="30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9"/>
      <c r="AT424" s="30"/>
      <c r="AU424" s="30"/>
      <c r="AV424" s="30"/>
      <c r="AW424" s="27"/>
      <c r="AX424" s="27"/>
      <c r="AY424" s="29"/>
      <c r="AZ424" s="27"/>
      <c r="BA424" s="27"/>
      <c r="BB424" s="29"/>
      <c r="BC424" s="30"/>
      <c r="BD424" s="30"/>
      <c r="BE424" s="30"/>
      <c r="BF424" s="27"/>
      <c r="BG424" s="27"/>
      <c r="BH424" s="28" t="str">
        <f aca="false">IF(COUNT(BC424:BE424)=0,"",IF(MIN(BC424:BE424)&lt;=-2.5,"Yes","No"))</f>
        <v/>
      </c>
      <c r="BI424" s="27"/>
      <c r="BJ424" s="29"/>
      <c r="BK424" s="27"/>
      <c r="BL424" s="27"/>
      <c r="BM424" s="27"/>
      <c r="BN424" s="28" t="str">
        <f aca="false">IF(OR(AX424="Yes",BI424="Yes"),"Yes",IF(AND(AX424="No",BI424="No"),"No",IF(AND(AX424="",BI424=""),"","Unknown")))</f>
        <v/>
      </c>
      <c r="BO424" s="31" t="str">
        <f aca="false">IF(COUNT(AY424,BJ424)=0,"",MIN(AY424,BJ424))</f>
        <v/>
      </c>
      <c r="BP424" s="29"/>
      <c r="BQ424" s="29"/>
      <c r="BR424" s="29"/>
      <c r="BS424" s="28" t="str">
        <f aca="false">IF(AND(N(BP424)&gt;0,N(BR424)&gt;0),BR424-BP424,"")</f>
        <v/>
      </c>
      <c r="BT424" s="28" t="str">
        <f aca="false">IF(BS424="","",ROUND(BS424/365.25,2))</f>
        <v/>
      </c>
      <c r="BU424" s="28" t="str">
        <f aca="false">IF(BS424="","",IF(BS424&gt;=730.5,"Yes","No"))</f>
        <v/>
      </c>
      <c r="BV424" s="27"/>
      <c r="BW424" s="29"/>
      <c r="BX424" s="27"/>
      <c r="BY424" s="27"/>
      <c r="BZ424" s="28" t="str">
        <f aca="false">IF(N(E424)=0,"",IF(E424&lt;65,"Under 65","≥65"))</f>
        <v/>
      </c>
      <c r="CA424" s="28" t="str">
        <f aca="false">IF(OR(AC424="Yes",AC424="No"),AC424,"")</f>
        <v/>
      </c>
      <c r="CB424" s="28" t="str">
        <f aca="false">IF(OR(AD424="Yes",AD424="No"),AD424,"")</f>
        <v/>
      </c>
      <c r="CC424" s="28" t="str">
        <f aca="false">IF(F424="","",F424)</f>
        <v/>
      </c>
      <c r="CD424" s="27"/>
      <c r="CE424" s="27"/>
    </row>
    <row r="425" customFormat="false" ht="15" hidden="false" customHeight="false" outlineLevel="0" collapsed="false">
      <c r="A425" s="27"/>
      <c r="B425" s="27"/>
      <c r="C425" s="27"/>
      <c r="D425" s="27"/>
      <c r="E425" s="27"/>
      <c r="F425" s="27"/>
      <c r="G425" s="27"/>
      <c r="H425" s="27"/>
      <c r="I425" s="27"/>
      <c r="J425" s="28" t="str">
        <f aca="false">IF(AND(N(H425)&gt;0,N(I425)&gt;0),ROUND(I425/(H425/100)^2,1),"")</f>
        <v/>
      </c>
      <c r="K425" s="27"/>
      <c r="L425" s="27"/>
      <c r="M425" s="27"/>
      <c r="N425" s="27"/>
      <c r="O425" s="27"/>
      <c r="P425" s="27"/>
      <c r="Q425" s="27"/>
      <c r="R425" s="29"/>
      <c r="S425" s="29"/>
      <c r="T425" s="27"/>
      <c r="U425" s="28" t="str">
        <f aca="false">IF(N(T425)=0,"",IF(T425&lt;12,"Under 12 months",IF(T425&lt;36,"12-35 months",IF(T425&lt;60,"36-59 months","≥60 months"))))</f>
        <v/>
      </c>
      <c r="V425" s="27"/>
      <c r="W425" s="30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9"/>
      <c r="AT425" s="30"/>
      <c r="AU425" s="30"/>
      <c r="AV425" s="30"/>
      <c r="AW425" s="27"/>
      <c r="AX425" s="27"/>
      <c r="AY425" s="29"/>
      <c r="AZ425" s="27"/>
      <c r="BA425" s="27"/>
      <c r="BB425" s="29"/>
      <c r="BC425" s="30"/>
      <c r="BD425" s="30"/>
      <c r="BE425" s="30"/>
      <c r="BF425" s="27"/>
      <c r="BG425" s="27"/>
      <c r="BH425" s="28" t="str">
        <f aca="false">IF(COUNT(BC425:BE425)=0,"",IF(MIN(BC425:BE425)&lt;=-2.5,"Yes","No"))</f>
        <v/>
      </c>
      <c r="BI425" s="27"/>
      <c r="BJ425" s="29"/>
      <c r="BK425" s="27"/>
      <c r="BL425" s="27"/>
      <c r="BM425" s="27"/>
      <c r="BN425" s="28" t="str">
        <f aca="false">IF(OR(AX425="Yes",BI425="Yes"),"Yes",IF(AND(AX425="No",BI425="No"),"No",IF(AND(AX425="",BI425=""),"","Unknown")))</f>
        <v/>
      </c>
      <c r="BO425" s="31" t="str">
        <f aca="false">IF(COUNT(AY425,BJ425)=0,"",MIN(AY425,BJ425))</f>
        <v/>
      </c>
      <c r="BP425" s="29"/>
      <c r="BQ425" s="29"/>
      <c r="BR425" s="29"/>
      <c r="BS425" s="28" t="str">
        <f aca="false">IF(AND(N(BP425)&gt;0,N(BR425)&gt;0),BR425-BP425,"")</f>
        <v/>
      </c>
      <c r="BT425" s="28" t="str">
        <f aca="false">IF(BS425="","",ROUND(BS425/365.25,2))</f>
        <v/>
      </c>
      <c r="BU425" s="28" t="str">
        <f aca="false">IF(BS425="","",IF(BS425&gt;=730.5,"Yes","No"))</f>
        <v/>
      </c>
      <c r="BV425" s="27"/>
      <c r="BW425" s="29"/>
      <c r="BX425" s="27"/>
      <c r="BY425" s="27"/>
      <c r="BZ425" s="28" t="str">
        <f aca="false">IF(N(E425)=0,"",IF(E425&lt;65,"Under 65","≥65"))</f>
        <v/>
      </c>
      <c r="CA425" s="28" t="str">
        <f aca="false">IF(OR(AC425="Yes",AC425="No"),AC425,"")</f>
        <v/>
      </c>
      <c r="CB425" s="28" t="str">
        <f aca="false">IF(OR(AD425="Yes",AD425="No"),AD425,"")</f>
        <v/>
      </c>
      <c r="CC425" s="28" t="str">
        <f aca="false">IF(F425="","",F425)</f>
        <v/>
      </c>
      <c r="CD425" s="27"/>
      <c r="CE425" s="27"/>
    </row>
    <row r="426" customFormat="false" ht="15" hidden="false" customHeight="false" outlineLevel="0" collapsed="false">
      <c r="A426" s="27"/>
      <c r="B426" s="27"/>
      <c r="C426" s="27"/>
      <c r="D426" s="27"/>
      <c r="E426" s="27"/>
      <c r="F426" s="27"/>
      <c r="G426" s="27"/>
      <c r="H426" s="27"/>
      <c r="I426" s="27"/>
      <c r="J426" s="28" t="str">
        <f aca="false">IF(AND(N(H426)&gt;0,N(I426)&gt;0),ROUND(I426/(H426/100)^2,1),"")</f>
        <v/>
      </c>
      <c r="K426" s="27"/>
      <c r="L426" s="27"/>
      <c r="M426" s="27"/>
      <c r="N426" s="27"/>
      <c r="O426" s="27"/>
      <c r="P426" s="27"/>
      <c r="Q426" s="27"/>
      <c r="R426" s="29"/>
      <c r="S426" s="29"/>
      <c r="T426" s="27"/>
      <c r="U426" s="28" t="str">
        <f aca="false">IF(N(T426)=0,"",IF(T426&lt;12,"Under 12 months",IF(T426&lt;36,"12-35 months",IF(T426&lt;60,"36-59 months","≥60 months"))))</f>
        <v/>
      </c>
      <c r="V426" s="27"/>
      <c r="W426" s="30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9"/>
      <c r="AT426" s="30"/>
      <c r="AU426" s="30"/>
      <c r="AV426" s="30"/>
      <c r="AW426" s="27"/>
      <c r="AX426" s="27"/>
      <c r="AY426" s="29"/>
      <c r="AZ426" s="27"/>
      <c r="BA426" s="27"/>
      <c r="BB426" s="29"/>
      <c r="BC426" s="30"/>
      <c r="BD426" s="30"/>
      <c r="BE426" s="30"/>
      <c r="BF426" s="27"/>
      <c r="BG426" s="27"/>
      <c r="BH426" s="28" t="str">
        <f aca="false">IF(COUNT(BC426:BE426)=0,"",IF(MIN(BC426:BE426)&lt;=-2.5,"Yes","No"))</f>
        <v/>
      </c>
      <c r="BI426" s="27"/>
      <c r="BJ426" s="29"/>
      <c r="BK426" s="27"/>
      <c r="BL426" s="27"/>
      <c r="BM426" s="27"/>
      <c r="BN426" s="28" t="str">
        <f aca="false">IF(OR(AX426="Yes",BI426="Yes"),"Yes",IF(AND(AX426="No",BI426="No"),"No",IF(AND(AX426="",BI426=""),"","Unknown")))</f>
        <v/>
      </c>
      <c r="BO426" s="31" t="str">
        <f aca="false">IF(COUNT(AY426,BJ426)=0,"",MIN(AY426,BJ426))</f>
        <v/>
      </c>
      <c r="BP426" s="29"/>
      <c r="BQ426" s="29"/>
      <c r="BR426" s="29"/>
      <c r="BS426" s="28" t="str">
        <f aca="false">IF(AND(N(BP426)&gt;0,N(BR426)&gt;0),BR426-BP426,"")</f>
        <v/>
      </c>
      <c r="BT426" s="28" t="str">
        <f aca="false">IF(BS426="","",ROUND(BS426/365.25,2))</f>
        <v/>
      </c>
      <c r="BU426" s="28" t="str">
        <f aca="false">IF(BS426="","",IF(BS426&gt;=730.5,"Yes","No"))</f>
        <v/>
      </c>
      <c r="BV426" s="27"/>
      <c r="BW426" s="29"/>
      <c r="BX426" s="27"/>
      <c r="BY426" s="27"/>
      <c r="BZ426" s="28" t="str">
        <f aca="false">IF(N(E426)=0,"",IF(E426&lt;65,"Under 65","≥65"))</f>
        <v/>
      </c>
      <c r="CA426" s="28" t="str">
        <f aca="false">IF(OR(AC426="Yes",AC426="No"),AC426,"")</f>
        <v/>
      </c>
      <c r="CB426" s="28" t="str">
        <f aca="false">IF(OR(AD426="Yes",AD426="No"),AD426,"")</f>
        <v/>
      </c>
      <c r="CC426" s="28" t="str">
        <f aca="false">IF(F426="","",F426)</f>
        <v/>
      </c>
      <c r="CD426" s="27"/>
      <c r="CE426" s="27"/>
    </row>
    <row r="427" customFormat="false" ht="15" hidden="false" customHeight="false" outlineLevel="0" collapsed="false">
      <c r="A427" s="27"/>
      <c r="B427" s="27"/>
      <c r="C427" s="27"/>
      <c r="D427" s="27"/>
      <c r="E427" s="27"/>
      <c r="F427" s="27"/>
      <c r="G427" s="27"/>
      <c r="H427" s="27"/>
      <c r="I427" s="27"/>
      <c r="J427" s="28" t="str">
        <f aca="false">IF(AND(N(H427)&gt;0,N(I427)&gt;0),ROUND(I427/(H427/100)^2,1),"")</f>
        <v/>
      </c>
      <c r="K427" s="27"/>
      <c r="L427" s="27"/>
      <c r="M427" s="27"/>
      <c r="N427" s="27"/>
      <c r="O427" s="27"/>
      <c r="P427" s="27"/>
      <c r="Q427" s="27"/>
      <c r="R427" s="29"/>
      <c r="S427" s="29"/>
      <c r="T427" s="27"/>
      <c r="U427" s="28" t="str">
        <f aca="false">IF(N(T427)=0,"",IF(T427&lt;12,"Under 12 months",IF(T427&lt;36,"12-35 months",IF(T427&lt;60,"36-59 months","≥60 months"))))</f>
        <v/>
      </c>
      <c r="V427" s="27"/>
      <c r="W427" s="30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9"/>
      <c r="AT427" s="30"/>
      <c r="AU427" s="30"/>
      <c r="AV427" s="30"/>
      <c r="AW427" s="27"/>
      <c r="AX427" s="27"/>
      <c r="AY427" s="29"/>
      <c r="AZ427" s="27"/>
      <c r="BA427" s="27"/>
      <c r="BB427" s="29"/>
      <c r="BC427" s="30"/>
      <c r="BD427" s="30"/>
      <c r="BE427" s="30"/>
      <c r="BF427" s="27"/>
      <c r="BG427" s="27"/>
      <c r="BH427" s="28" t="str">
        <f aca="false">IF(COUNT(BC427:BE427)=0,"",IF(MIN(BC427:BE427)&lt;=-2.5,"Yes","No"))</f>
        <v/>
      </c>
      <c r="BI427" s="27"/>
      <c r="BJ427" s="29"/>
      <c r="BK427" s="27"/>
      <c r="BL427" s="27"/>
      <c r="BM427" s="27"/>
      <c r="BN427" s="28" t="str">
        <f aca="false">IF(OR(AX427="Yes",BI427="Yes"),"Yes",IF(AND(AX427="No",BI427="No"),"No",IF(AND(AX427="",BI427=""),"","Unknown")))</f>
        <v/>
      </c>
      <c r="BO427" s="31" t="str">
        <f aca="false">IF(COUNT(AY427,BJ427)=0,"",MIN(AY427,BJ427))</f>
        <v/>
      </c>
      <c r="BP427" s="29"/>
      <c r="BQ427" s="29"/>
      <c r="BR427" s="29"/>
      <c r="BS427" s="28" t="str">
        <f aca="false">IF(AND(N(BP427)&gt;0,N(BR427)&gt;0),BR427-BP427,"")</f>
        <v/>
      </c>
      <c r="BT427" s="28" t="str">
        <f aca="false">IF(BS427="","",ROUND(BS427/365.25,2))</f>
        <v/>
      </c>
      <c r="BU427" s="28" t="str">
        <f aca="false">IF(BS427="","",IF(BS427&gt;=730.5,"Yes","No"))</f>
        <v/>
      </c>
      <c r="BV427" s="27"/>
      <c r="BW427" s="29"/>
      <c r="BX427" s="27"/>
      <c r="BY427" s="27"/>
      <c r="BZ427" s="28" t="str">
        <f aca="false">IF(N(E427)=0,"",IF(E427&lt;65,"Under 65","≥65"))</f>
        <v/>
      </c>
      <c r="CA427" s="28" t="str">
        <f aca="false">IF(OR(AC427="Yes",AC427="No"),AC427,"")</f>
        <v/>
      </c>
      <c r="CB427" s="28" t="str">
        <f aca="false">IF(OR(AD427="Yes",AD427="No"),AD427,"")</f>
        <v/>
      </c>
      <c r="CC427" s="28" t="str">
        <f aca="false">IF(F427="","",F427)</f>
        <v/>
      </c>
      <c r="CD427" s="27"/>
      <c r="CE427" s="27"/>
    </row>
    <row r="428" customFormat="false" ht="15" hidden="false" customHeight="false" outlineLevel="0" collapsed="false">
      <c r="A428" s="27"/>
      <c r="B428" s="27"/>
      <c r="C428" s="27"/>
      <c r="D428" s="27"/>
      <c r="E428" s="27"/>
      <c r="F428" s="27"/>
      <c r="G428" s="27"/>
      <c r="H428" s="27"/>
      <c r="I428" s="27"/>
      <c r="J428" s="28" t="str">
        <f aca="false">IF(AND(N(H428)&gt;0,N(I428)&gt;0),ROUND(I428/(H428/100)^2,1),"")</f>
        <v/>
      </c>
      <c r="K428" s="27"/>
      <c r="L428" s="27"/>
      <c r="M428" s="27"/>
      <c r="N428" s="27"/>
      <c r="O428" s="27"/>
      <c r="P428" s="27"/>
      <c r="Q428" s="27"/>
      <c r="R428" s="29"/>
      <c r="S428" s="29"/>
      <c r="T428" s="27"/>
      <c r="U428" s="28" t="str">
        <f aca="false">IF(N(T428)=0,"",IF(T428&lt;12,"Under 12 months",IF(T428&lt;36,"12-35 months",IF(T428&lt;60,"36-59 months","≥60 months"))))</f>
        <v/>
      </c>
      <c r="V428" s="27"/>
      <c r="W428" s="30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9"/>
      <c r="AT428" s="30"/>
      <c r="AU428" s="30"/>
      <c r="AV428" s="30"/>
      <c r="AW428" s="27"/>
      <c r="AX428" s="27"/>
      <c r="AY428" s="29"/>
      <c r="AZ428" s="27"/>
      <c r="BA428" s="27"/>
      <c r="BB428" s="29"/>
      <c r="BC428" s="30"/>
      <c r="BD428" s="30"/>
      <c r="BE428" s="30"/>
      <c r="BF428" s="27"/>
      <c r="BG428" s="27"/>
      <c r="BH428" s="28" t="str">
        <f aca="false">IF(COUNT(BC428:BE428)=0,"",IF(MIN(BC428:BE428)&lt;=-2.5,"Yes","No"))</f>
        <v/>
      </c>
      <c r="BI428" s="27"/>
      <c r="BJ428" s="29"/>
      <c r="BK428" s="27"/>
      <c r="BL428" s="27"/>
      <c r="BM428" s="27"/>
      <c r="BN428" s="28" t="str">
        <f aca="false">IF(OR(AX428="Yes",BI428="Yes"),"Yes",IF(AND(AX428="No",BI428="No"),"No",IF(AND(AX428="",BI428=""),"","Unknown")))</f>
        <v/>
      </c>
      <c r="BO428" s="31" t="str">
        <f aca="false">IF(COUNT(AY428,BJ428)=0,"",MIN(AY428,BJ428))</f>
        <v/>
      </c>
      <c r="BP428" s="29"/>
      <c r="BQ428" s="29"/>
      <c r="BR428" s="29"/>
      <c r="BS428" s="28" t="str">
        <f aca="false">IF(AND(N(BP428)&gt;0,N(BR428)&gt;0),BR428-BP428,"")</f>
        <v/>
      </c>
      <c r="BT428" s="28" t="str">
        <f aca="false">IF(BS428="","",ROUND(BS428/365.25,2))</f>
        <v/>
      </c>
      <c r="BU428" s="28" t="str">
        <f aca="false">IF(BS428="","",IF(BS428&gt;=730.5,"Yes","No"))</f>
        <v/>
      </c>
      <c r="BV428" s="27"/>
      <c r="BW428" s="29"/>
      <c r="BX428" s="27"/>
      <c r="BY428" s="27"/>
      <c r="BZ428" s="28" t="str">
        <f aca="false">IF(N(E428)=0,"",IF(E428&lt;65,"Under 65","≥65"))</f>
        <v/>
      </c>
      <c r="CA428" s="28" t="str">
        <f aca="false">IF(OR(AC428="Yes",AC428="No"),AC428,"")</f>
        <v/>
      </c>
      <c r="CB428" s="28" t="str">
        <f aca="false">IF(OR(AD428="Yes",AD428="No"),AD428,"")</f>
        <v/>
      </c>
      <c r="CC428" s="28" t="str">
        <f aca="false">IF(F428="","",F428)</f>
        <v/>
      </c>
      <c r="CD428" s="27"/>
      <c r="CE428" s="27"/>
    </row>
    <row r="429" customFormat="false" ht="15" hidden="false" customHeight="false" outlineLevel="0" collapsed="false">
      <c r="A429" s="27"/>
      <c r="B429" s="27"/>
      <c r="C429" s="27"/>
      <c r="D429" s="27"/>
      <c r="E429" s="27"/>
      <c r="F429" s="27"/>
      <c r="G429" s="27"/>
      <c r="H429" s="27"/>
      <c r="I429" s="27"/>
      <c r="J429" s="28" t="str">
        <f aca="false">IF(AND(N(H429)&gt;0,N(I429)&gt;0),ROUND(I429/(H429/100)^2,1),"")</f>
        <v/>
      </c>
      <c r="K429" s="27"/>
      <c r="L429" s="27"/>
      <c r="M429" s="27"/>
      <c r="N429" s="27"/>
      <c r="O429" s="27"/>
      <c r="P429" s="27"/>
      <c r="Q429" s="27"/>
      <c r="R429" s="29"/>
      <c r="S429" s="29"/>
      <c r="T429" s="27"/>
      <c r="U429" s="28" t="str">
        <f aca="false">IF(N(T429)=0,"",IF(T429&lt;12,"Under 12 months",IF(T429&lt;36,"12-35 months",IF(T429&lt;60,"36-59 months","≥60 months"))))</f>
        <v/>
      </c>
      <c r="V429" s="27"/>
      <c r="W429" s="30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9"/>
      <c r="AT429" s="30"/>
      <c r="AU429" s="30"/>
      <c r="AV429" s="30"/>
      <c r="AW429" s="27"/>
      <c r="AX429" s="27"/>
      <c r="AY429" s="29"/>
      <c r="AZ429" s="27"/>
      <c r="BA429" s="27"/>
      <c r="BB429" s="29"/>
      <c r="BC429" s="30"/>
      <c r="BD429" s="30"/>
      <c r="BE429" s="30"/>
      <c r="BF429" s="27"/>
      <c r="BG429" s="27"/>
      <c r="BH429" s="28" t="str">
        <f aca="false">IF(COUNT(BC429:BE429)=0,"",IF(MIN(BC429:BE429)&lt;=-2.5,"Yes","No"))</f>
        <v/>
      </c>
      <c r="BI429" s="27"/>
      <c r="BJ429" s="29"/>
      <c r="BK429" s="27"/>
      <c r="BL429" s="27"/>
      <c r="BM429" s="27"/>
      <c r="BN429" s="28" t="str">
        <f aca="false">IF(OR(AX429="Yes",BI429="Yes"),"Yes",IF(AND(AX429="No",BI429="No"),"No",IF(AND(AX429="",BI429=""),"","Unknown")))</f>
        <v/>
      </c>
      <c r="BO429" s="31" t="str">
        <f aca="false">IF(COUNT(AY429,BJ429)=0,"",MIN(AY429,BJ429))</f>
        <v/>
      </c>
      <c r="BP429" s="29"/>
      <c r="BQ429" s="29"/>
      <c r="BR429" s="29"/>
      <c r="BS429" s="28" t="str">
        <f aca="false">IF(AND(N(BP429)&gt;0,N(BR429)&gt;0),BR429-BP429,"")</f>
        <v/>
      </c>
      <c r="BT429" s="28" t="str">
        <f aca="false">IF(BS429="","",ROUND(BS429/365.25,2))</f>
        <v/>
      </c>
      <c r="BU429" s="28" t="str">
        <f aca="false">IF(BS429="","",IF(BS429&gt;=730.5,"Yes","No"))</f>
        <v/>
      </c>
      <c r="BV429" s="27"/>
      <c r="BW429" s="29"/>
      <c r="BX429" s="27"/>
      <c r="BY429" s="27"/>
      <c r="BZ429" s="28" t="str">
        <f aca="false">IF(N(E429)=0,"",IF(E429&lt;65,"Under 65","≥65"))</f>
        <v/>
      </c>
      <c r="CA429" s="28" t="str">
        <f aca="false">IF(OR(AC429="Yes",AC429="No"),AC429,"")</f>
        <v/>
      </c>
      <c r="CB429" s="28" t="str">
        <f aca="false">IF(OR(AD429="Yes",AD429="No"),AD429,"")</f>
        <v/>
      </c>
      <c r="CC429" s="28" t="str">
        <f aca="false">IF(F429="","",F429)</f>
        <v/>
      </c>
      <c r="CD429" s="27"/>
      <c r="CE429" s="27"/>
    </row>
    <row r="430" customFormat="false" ht="15" hidden="false" customHeight="false" outlineLevel="0" collapsed="false">
      <c r="A430" s="27"/>
      <c r="B430" s="27"/>
      <c r="C430" s="27"/>
      <c r="D430" s="27"/>
      <c r="E430" s="27"/>
      <c r="F430" s="27"/>
      <c r="G430" s="27"/>
      <c r="H430" s="27"/>
      <c r="I430" s="27"/>
      <c r="J430" s="28" t="str">
        <f aca="false">IF(AND(N(H430)&gt;0,N(I430)&gt;0),ROUND(I430/(H430/100)^2,1),"")</f>
        <v/>
      </c>
      <c r="K430" s="27"/>
      <c r="L430" s="27"/>
      <c r="M430" s="27"/>
      <c r="N430" s="27"/>
      <c r="O430" s="27"/>
      <c r="P430" s="27"/>
      <c r="Q430" s="27"/>
      <c r="R430" s="29"/>
      <c r="S430" s="29"/>
      <c r="T430" s="27"/>
      <c r="U430" s="28" t="str">
        <f aca="false">IF(N(T430)=0,"",IF(T430&lt;12,"Under 12 months",IF(T430&lt;36,"12-35 months",IF(T430&lt;60,"36-59 months","≥60 months"))))</f>
        <v/>
      </c>
      <c r="V430" s="27"/>
      <c r="W430" s="30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9"/>
      <c r="AT430" s="30"/>
      <c r="AU430" s="30"/>
      <c r="AV430" s="30"/>
      <c r="AW430" s="27"/>
      <c r="AX430" s="27"/>
      <c r="AY430" s="29"/>
      <c r="AZ430" s="27"/>
      <c r="BA430" s="27"/>
      <c r="BB430" s="29"/>
      <c r="BC430" s="30"/>
      <c r="BD430" s="30"/>
      <c r="BE430" s="30"/>
      <c r="BF430" s="27"/>
      <c r="BG430" s="27"/>
      <c r="BH430" s="28" t="str">
        <f aca="false">IF(COUNT(BC430:BE430)=0,"",IF(MIN(BC430:BE430)&lt;=-2.5,"Yes","No"))</f>
        <v/>
      </c>
      <c r="BI430" s="27"/>
      <c r="BJ430" s="29"/>
      <c r="BK430" s="27"/>
      <c r="BL430" s="27"/>
      <c r="BM430" s="27"/>
      <c r="BN430" s="28" t="str">
        <f aca="false">IF(OR(AX430="Yes",BI430="Yes"),"Yes",IF(AND(AX430="No",BI430="No"),"No",IF(AND(AX430="",BI430=""),"","Unknown")))</f>
        <v/>
      </c>
      <c r="BO430" s="31" t="str">
        <f aca="false">IF(COUNT(AY430,BJ430)=0,"",MIN(AY430,BJ430))</f>
        <v/>
      </c>
      <c r="BP430" s="29"/>
      <c r="BQ430" s="29"/>
      <c r="BR430" s="29"/>
      <c r="BS430" s="28" t="str">
        <f aca="false">IF(AND(N(BP430)&gt;0,N(BR430)&gt;0),BR430-BP430,"")</f>
        <v/>
      </c>
      <c r="BT430" s="28" t="str">
        <f aca="false">IF(BS430="","",ROUND(BS430/365.25,2))</f>
        <v/>
      </c>
      <c r="BU430" s="28" t="str">
        <f aca="false">IF(BS430="","",IF(BS430&gt;=730.5,"Yes","No"))</f>
        <v/>
      </c>
      <c r="BV430" s="27"/>
      <c r="BW430" s="29"/>
      <c r="BX430" s="27"/>
      <c r="BY430" s="27"/>
      <c r="BZ430" s="28" t="str">
        <f aca="false">IF(N(E430)=0,"",IF(E430&lt;65,"Under 65","≥65"))</f>
        <v/>
      </c>
      <c r="CA430" s="28" t="str">
        <f aca="false">IF(OR(AC430="Yes",AC430="No"),AC430,"")</f>
        <v/>
      </c>
      <c r="CB430" s="28" t="str">
        <f aca="false">IF(OR(AD430="Yes",AD430="No"),AD430,"")</f>
        <v/>
      </c>
      <c r="CC430" s="28" t="str">
        <f aca="false">IF(F430="","",F430)</f>
        <v/>
      </c>
      <c r="CD430" s="27"/>
      <c r="CE430" s="27"/>
    </row>
    <row r="431" customFormat="false" ht="15" hidden="false" customHeight="false" outlineLevel="0" collapsed="false">
      <c r="A431" s="27"/>
      <c r="B431" s="27"/>
      <c r="C431" s="27"/>
      <c r="D431" s="27"/>
      <c r="E431" s="27"/>
      <c r="F431" s="27"/>
      <c r="G431" s="27"/>
      <c r="H431" s="27"/>
      <c r="I431" s="27"/>
      <c r="J431" s="28" t="str">
        <f aca="false">IF(AND(N(H431)&gt;0,N(I431)&gt;0),ROUND(I431/(H431/100)^2,1),"")</f>
        <v/>
      </c>
      <c r="K431" s="27"/>
      <c r="L431" s="27"/>
      <c r="M431" s="27"/>
      <c r="N431" s="27"/>
      <c r="O431" s="27"/>
      <c r="P431" s="27"/>
      <c r="Q431" s="27"/>
      <c r="R431" s="29"/>
      <c r="S431" s="29"/>
      <c r="T431" s="27"/>
      <c r="U431" s="28" t="str">
        <f aca="false">IF(N(T431)=0,"",IF(T431&lt;12,"Under 12 months",IF(T431&lt;36,"12-35 months",IF(T431&lt;60,"36-59 months","≥60 months"))))</f>
        <v/>
      </c>
      <c r="V431" s="27"/>
      <c r="W431" s="30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9"/>
      <c r="AT431" s="30"/>
      <c r="AU431" s="30"/>
      <c r="AV431" s="30"/>
      <c r="AW431" s="27"/>
      <c r="AX431" s="27"/>
      <c r="AY431" s="29"/>
      <c r="AZ431" s="27"/>
      <c r="BA431" s="27"/>
      <c r="BB431" s="29"/>
      <c r="BC431" s="30"/>
      <c r="BD431" s="30"/>
      <c r="BE431" s="30"/>
      <c r="BF431" s="27"/>
      <c r="BG431" s="27"/>
      <c r="BH431" s="28" t="str">
        <f aca="false">IF(COUNT(BC431:BE431)=0,"",IF(MIN(BC431:BE431)&lt;=-2.5,"Yes","No"))</f>
        <v/>
      </c>
      <c r="BI431" s="27"/>
      <c r="BJ431" s="29"/>
      <c r="BK431" s="27"/>
      <c r="BL431" s="27"/>
      <c r="BM431" s="27"/>
      <c r="BN431" s="28" t="str">
        <f aca="false">IF(OR(AX431="Yes",BI431="Yes"),"Yes",IF(AND(AX431="No",BI431="No"),"No",IF(AND(AX431="",BI431=""),"","Unknown")))</f>
        <v/>
      </c>
      <c r="BO431" s="31" t="str">
        <f aca="false">IF(COUNT(AY431,BJ431)=0,"",MIN(AY431,BJ431))</f>
        <v/>
      </c>
      <c r="BP431" s="29"/>
      <c r="BQ431" s="29"/>
      <c r="BR431" s="29"/>
      <c r="BS431" s="28" t="str">
        <f aca="false">IF(AND(N(BP431)&gt;0,N(BR431)&gt;0),BR431-BP431,"")</f>
        <v/>
      </c>
      <c r="BT431" s="28" t="str">
        <f aca="false">IF(BS431="","",ROUND(BS431/365.25,2))</f>
        <v/>
      </c>
      <c r="BU431" s="28" t="str">
        <f aca="false">IF(BS431="","",IF(BS431&gt;=730.5,"Yes","No"))</f>
        <v/>
      </c>
      <c r="BV431" s="27"/>
      <c r="BW431" s="29"/>
      <c r="BX431" s="27"/>
      <c r="BY431" s="27"/>
      <c r="BZ431" s="28" t="str">
        <f aca="false">IF(N(E431)=0,"",IF(E431&lt;65,"Under 65","≥65"))</f>
        <v/>
      </c>
      <c r="CA431" s="28" t="str">
        <f aca="false">IF(OR(AC431="Yes",AC431="No"),AC431,"")</f>
        <v/>
      </c>
      <c r="CB431" s="28" t="str">
        <f aca="false">IF(OR(AD431="Yes",AD431="No"),AD431,"")</f>
        <v/>
      </c>
      <c r="CC431" s="28" t="str">
        <f aca="false">IF(F431="","",F431)</f>
        <v/>
      </c>
      <c r="CD431" s="27"/>
      <c r="CE431" s="27"/>
    </row>
    <row r="432" customFormat="false" ht="15" hidden="false" customHeight="false" outlineLevel="0" collapsed="false">
      <c r="A432" s="27"/>
      <c r="B432" s="27"/>
      <c r="C432" s="27"/>
      <c r="D432" s="27"/>
      <c r="E432" s="27"/>
      <c r="F432" s="27"/>
      <c r="G432" s="27"/>
      <c r="H432" s="27"/>
      <c r="I432" s="27"/>
      <c r="J432" s="28" t="str">
        <f aca="false">IF(AND(N(H432)&gt;0,N(I432)&gt;0),ROUND(I432/(H432/100)^2,1),"")</f>
        <v/>
      </c>
      <c r="K432" s="27"/>
      <c r="L432" s="27"/>
      <c r="M432" s="27"/>
      <c r="N432" s="27"/>
      <c r="O432" s="27"/>
      <c r="P432" s="27"/>
      <c r="Q432" s="27"/>
      <c r="R432" s="29"/>
      <c r="S432" s="29"/>
      <c r="T432" s="27"/>
      <c r="U432" s="28" t="str">
        <f aca="false">IF(N(T432)=0,"",IF(T432&lt;12,"Under 12 months",IF(T432&lt;36,"12-35 months",IF(T432&lt;60,"36-59 months","≥60 months"))))</f>
        <v/>
      </c>
      <c r="V432" s="27"/>
      <c r="W432" s="30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9"/>
      <c r="AT432" s="30"/>
      <c r="AU432" s="30"/>
      <c r="AV432" s="30"/>
      <c r="AW432" s="27"/>
      <c r="AX432" s="27"/>
      <c r="AY432" s="29"/>
      <c r="AZ432" s="27"/>
      <c r="BA432" s="27"/>
      <c r="BB432" s="29"/>
      <c r="BC432" s="30"/>
      <c r="BD432" s="30"/>
      <c r="BE432" s="30"/>
      <c r="BF432" s="27"/>
      <c r="BG432" s="27"/>
      <c r="BH432" s="28" t="str">
        <f aca="false">IF(COUNT(BC432:BE432)=0,"",IF(MIN(BC432:BE432)&lt;=-2.5,"Yes","No"))</f>
        <v/>
      </c>
      <c r="BI432" s="27"/>
      <c r="BJ432" s="29"/>
      <c r="BK432" s="27"/>
      <c r="BL432" s="27"/>
      <c r="BM432" s="27"/>
      <c r="BN432" s="28" t="str">
        <f aca="false">IF(OR(AX432="Yes",BI432="Yes"),"Yes",IF(AND(AX432="No",BI432="No"),"No",IF(AND(AX432="",BI432=""),"","Unknown")))</f>
        <v/>
      </c>
      <c r="BO432" s="31" t="str">
        <f aca="false">IF(COUNT(AY432,BJ432)=0,"",MIN(AY432,BJ432))</f>
        <v/>
      </c>
      <c r="BP432" s="29"/>
      <c r="BQ432" s="29"/>
      <c r="BR432" s="29"/>
      <c r="BS432" s="28" t="str">
        <f aca="false">IF(AND(N(BP432)&gt;0,N(BR432)&gt;0),BR432-BP432,"")</f>
        <v/>
      </c>
      <c r="BT432" s="28" t="str">
        <f aca="false">IF(BS432="","",ROUND(BS432/365.25,2))</f>
        <v/>
      </c>
      <c r="BU432" s="28" t="str">
        <f aca="false">IF(BS432="","",IF(BS432&gt;=730.5,"Yes","No"))</f>
        <v/>
      </c>
      <c r="BV432" s="27"/>
      <c r="BW432" s="29"/>
      <c r="BX432" s="27"/>
      <c r="BY432" s="27"/>
      <c r="BZ432" s="28" t="str">
        <f aca="false">IF(N(E432)=0,"",IF(E432&lt;65,"Under 65","≥65"))</f>
        <v/>
      </c>
      <c r="CA432" s="28" t="str">
        <f aca="false">IF(OR(AC432="Yes",AC432="No"),AC432,"")</f>
        <v/>
      </c>
      <c r="CB432" s="28" t="str">
        <f aca="false">IF(OR(AD432="Yes",AD432="No"),AD432,"")</f>
        <v/>
      </c>
      <c r="CC432" s="28" t="str">
        <f aca="false">IF(F432="","",F432)</f>
        <v/>
      </c>
      <c r="CD432" s="27"/>
      <c r="CE432" s="27"/>
    </row>
    <row r="433" customFormat="false" ht="15" hidden="false" customHeight="false" outlineLevel="0" collapsed="false">
      <c r="A433" s="27"/>
      <c r="B433" s="27"/>
      <c r="C433" s="27"/>
      <c r="D433" s="27"/>
      <c r="E433" s="27"/>
      <c r="F433" s="27"/>
      <c r="G433" s="27"/>
      <c r="H433" s="27"/>
      <c r="I433" s="27"/>
      <c r="J433" s="28" t="str">
        <f aca="false">IF(AND(N(H433)&gt;0,N(I433)&gt;0),ROUND(I433/(H433/100)^2,1),"")</f>
        <v/>
      </c>
      <c r="K433" s="27"/>
      <c r="L433" s="27"/>
      <c r="M433" s="27"/>
      <c r="N433" s="27"/>
      <c r="O433" s="27"/>
      <c r="P433" s="27"/>
      <c r="Q433" s="27"/>
      <c r="R433" s="29"/>
      <c r="S433" s="29"/>
      <c r="T433" s="27"/>
      <c r="U433" s="28" t="str">
        <f aca="false">IF(N(T433)=0,"",IF(T433&lt;12,"Under 12 months",IF(T433&lt;36,"12-35 months",IF(T433&lt;60,"36-59 months","≥60 months"))))</f>
        <v/>
      </c>
      <c r="V433" s="27"/>
      <c r="W433" s="30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9"/>
      <c r="AT433" s="30"/>
      <c r="AU433" s="30"/>
      <c r="AV433" s="30"/>
      <c r="AW433" s="27"/>
      <c r="AX433" s="27"/>
      <c r="AY433" s="29"/>
      <c r="AZ433" s="27"/>
      <c r="BA433" s="27"/>
      <c r="BB433" s="29"/>
      <c r="BC433" s="30"/>
      <c r="BD433" s="30"/>
      <c r="BE433" s="30"/>
      <c r="BF433" s="27"/>
      <c r="BG433" s="27"/>
      <c r="BH433" s="28" t="str">
        <f aca="false">IF(COUNT(BC433:BE433)=0,"",IF(MIN(BC433:BE433)&lt;=-2.5,"Yes","No"))</f>
        <v/>
      </c>
      <c r="BI433" s="27"/>
      <c r="BJ433" s="29"/>
      <c r="BK433" s="27"/>
      <c r="BL433" s="27"/>
      <c r="BM433" s="27"/>
      <c r="BN433" s="28" t="str">
        <f aca="false">IF(OR(AX433="Yes",BI433="Yes"),"Yes",IF(AND(AX433="No",BI433="No"),"No",IF(AND(AX433="",BI433=""),"","Unknown")))</f>
        <v/>
      </c>
      <c r="BO433" s="31" t="str">
        <f aca="false">IF(COUNT(AY433,BJ433)=0,"",MIN(AY433,BJ433))</f>
        <v/>
      </c>
      <c r="BP433" s="29"/>
      <c r="BQ433" s="29"/>
      <c r="BR433" s="29"/>
      <c r="BS433" s="28" t="str">
        <f aca="false">IF(AND(N(BP433)&gt;0,N(BR433)&gt;0),BR433-BP433,"")</f>
        <v/>
      </c>
      <c r="BT433" s="28" t="str">
        <f aca="false">IF(BS433="","",ROUND(BS433/365.25,2))</f>
        <v/>
      </c>
      <c r="BU433" s="28" t="str">
        <f aca="false">IF(BS433="","",IF(BS433&gt;=730.5,"Yes","No"))</f>
        <v/>
      </c>
      <c r="BV433" s="27"/>
      <c r="BW433" s="29"/>
      <c r="BX433" s="27"/>
      <c r="BY433" s="27"/>
      <c r="BZ433" s="28" t="str">
        <f aca="false">IF(N(E433)=0,"",IF(E433&lt;65,"Under 65","≥65"))</f>
        <v/>
      </c>
      <c r="CA433" s="28" t="str">
        <f aca="false">IF(OR(AC433="Yes",AC433="No"),AC433,"")</f>
        <v/>
      </c>
      <c r="CB433" s="28" t="str">
        <f aca="false">IF(OR(AD433="Yes",AD433="No"),AD433,"")</f>
        <v/>
      </c>
      <c r="CC433" s="28" t="str">
        <f aca="false">IF(F433="","",F433)</f>
        <v/>
      </c>
      <c r="CD433" s="27"/>
      <c r="CE433" s="27"/>
    </row>
    <row r="434" customFormat="false" ht="15" hidden="false" customHeight="false" outlineLevel="0" collapsed="false">
      <c r="A434" s="27"/>
      <c r="B434" s="27"/>
      <c r="C434" s="27"/>
      <c r="D434" s="27"/>
      <c r="E434" s="27"/>
      <c r="F434" s="27"/>
      <c r="G434" s="27"/>
      <c r="H434" s="27"/>
      <c r="I434" s="27"/>
      <c r="J434" s="28" t="str">
        <f aca="false">IF(AND(N(H434)&gt;0,N(I434)&gt;0),ROUND(I434/(H434/100)^2,1),"")</f>
        <v/>
      </c>
      <c r="K434" s="27"/>
      <c r="L434" s="27"/>
      <c r="M434" s="27"/>
      <c r="N434" s="27"/>
      <c r="O434" s="27"/>
      <c r="P434" s="27"/>
      <c r="Q434" s="27"/>
      <c r="R434" s="29"/>
      <c r="S434" s="29"/>
      <c r="T434" s="27"/>
      <c r="U434" s="28" t="str">
        <f aca="false">IF(N(T434)=0,"",IF(T434&lt;12,"Under 12 months",IF(T434&lt;36,"12-35 months",IF(T434&lt;60,"36-59 months","≥60 months"))))</f>
        <v/>
      </c>
      <c r="V434" s="27"/>
      <c r="W434" s="30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9"/>
      <c r="AT434" s="30"/>
      <c r="AU434" s="30"/>
      <c r="AV434" s="30"/>
      <c r="AW434" s="27"/>
      <c r="AX434" s="27"/>
      <c r="AY434" s="29"/>
      <c r="AZ434" s="27"/>
      <c r="BA434" s="27"/>
      <c r="BB434" s="29"/>
      <c r="BC434" s="30"/>
      <c r="BD434" s="30"/>
      <c r="BE434" s="30"/>
      <c r="BF434" s="27"/>
      <c r="BG434" s="27"/>
      <c r="BH434" s="28" t="str">
        <f aca="false">IF(COUNT(BC434:BE434)=0,"",IF(MIN(BC434:BE434)&lt;=-2.5,"Yes","No"))</f>
        <v/>
      </c>
      <c r="BI434" s="27"/>
      <c r="BJ434" s="29"/>
      <c r="BK434" s="27"/>
      <c r="BL434" s="27"/>
      <c r="BM434" s="27"/>
      <c r="BN434" s="28" t="str">
        <f aca="false">IF(OR(AX434="Yes",BI434="Yes"),"Yes",IF(AND(AX434="No",BI434="No"),"No",IF(AND(AX434="",BI434=""),"","Unknown")))</f>
        <v/>
      </c>
      <c r="BO434" s="31" t="str">
        <f aca="false">IF(COUNT(AY434,BJ434)=0,"",MIN(AY434,BJ434))</f>
        <v/>
      </c>
      <c r="BP434" s="29"/>
      <c r="BQ434" s="29"/>
      <c r="BR434" s="29"/>
      <c r="BS434" s="28" t="str">
        <f aca="false">IF(AND(N(BP434)&gt;0,N(BR434)&gt;0),BR434-BP434,"")</f>
        <v/>
      </c>
      <c r="BT434" s="28" t="str">
        <f aca="false">IF(BS434="","",ROUND(BS434/365.25,2))</f>
        <v/>
      </c>
      <c r="BU434" s="28" t="str">
        <f aca="false">IF(BS434="","",IF(BS434&gt;=730.5,"Yes","No"))</f>
        <v/>
      </c>
      <c r="BV434" s="27"/>
      <c r="BW434" s="29"/>
      <c r="BX434" s="27"/>
      <c r="BY434" s="27"/>
      <c r="BZ434" s="28" t="str">
        <f aca="false">IF(N(E434)=0,"",IF(E434&lt;65,"Under 65","≥65"))</f>
        <v/>
      </c>
      <c r="CA434" s="28" t="str">
        <f aca="false">IF(OR(AC434="Yes",AC434="No"),AC434,"")</f>
        <v/>
      </c>
      <c r="CB434" s="28" t="str">
        <f aca="false">IF(OR(AD434="Yes",AD434="No"),AD434,"")</f>
        <v/>
      </c>
      <c r="CC434" s="28" t="str">
        <f aca="false">IF(F434="","",F434)</f>
        <v/>
      </c>
      <c r="CD434" s="27"/>
      <c r="CE434" s="27"/>
    </row>
    <row r="435" customFormat="false" ht="15" hidden="false" customHeight="false" outlineLevel="0" collapsed="false">
      <c r="A435" s="27"/>
      <c r="B435" s="27"/>
      <c r="C435" s="27"/>
      <c r="D435" s="27"/>
      <c r="E435" s="27"/>
      <c r="F435" s="27"/>
      <c r="G435" s="27"/>
      <c r="H435" s="27"/>
      <c r="I435" s="27"/>
      <c r="J435" s="28" t="str">
        <f aca="false">IF(AND(N(H435)&gt;0,N(I435)&gt;0),ROUND(I435/(H435/100)^2,1),"")</f>
        <v/>
      </c>
      <c r="K435" s="27"/>
      <c r="L435" s="27"/>
      <c r="M435" s="27"/>
      <c r="N435" s="27"/>
      <c r="O435" s="27"/>
      <c r="P435" s="27"/>
      <c r="Q435" s="27"/>
      <c r="R435" s="29"/>
      <c r="S435" s="29"/>
      <c r="T435" s="27"/>
      <c r="U435" s="28" t="str">
        <f aca="false">IF(N(T435)=0,"",IF(T435&lt;12,"Under 12 months",IF(T435&lt;36,"12-35 months",IF(T435&lt;60,"36-59 months","≥60 months"))))</f>
        <v/>
      </c>
      <c r="V435" s="27"/>
      <c r="W435" s="30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9"/>
      <c r="AT435" s="30"/>
      <c r="AU435" s="30"/>
      <c r="AV435" s="30"/>
      <c r="AW435" s="27"/>
      <c r="AX435" s="27"/>
      <c r="AY435" s="29"/>
      <c r="AZ435" s="27"/>
      <c r="BA435" s="27"/>
      <c r="BB435" s="29"/>
      <c r="BC435" s="30"/>
      <c r="BD435" s="30"/>
      <c r="BE435" s="30"/>
      <c r="BF435" s="27"/>
      <c r="BG435" s="27"/>
      <c r="BH435" s="28" t="str">
        <f aca="false">IF(COUNT(BC435:BE435)=0,"",IF(MIN(BC435:BE435)&lt;=-2.5,"Yes","No"))</f>
        <v/>
      </c>
      <c r="BI435" s="27"/>
      <c r="BJ435" s="29"/>
      <c r="BK435" s="27"/>
      <c r="BL435" s="27"/>
      <c r="BM435" s="27"/>
      <c r="BN435" s="28" t="str">
        <f aca="false">IF(OR(AX435="Yes",BI435="Yes"),"Yes",IF(AND(AX435="No",BI435="No"),"No",IF(AND(AX435="",BI435=""),"","Unknown")))</f>
        <v/>
      </c>
      <c r="BO435" s="31" t="str">
        <f aca="false">IF(COUNT(AY435,BJ435)=0,"",MIN(AY435,BJ435))</f>
        <v/>
      </c>
      <c r="BP435" s="29"/>
      <c r="BQ435" s="29"/>
      <c r="BR435" s="29"/>
      <c r="BS435" s="28" t="str">
        <f aca="false">IF(AND(N(BP435)&gt;0,N(BR435)&gt;0),BR435-BP435,"")</f>
        <v/>
      </c>
      <c r="BT435" s="28" t="str">
        <f aca="false">IF(BS435="","",ROUND(BS435/365.25,2))</f>
        <v/>
      </c>
      <c r="BU435" s="28" t="str">
        <f aca="false">IF(BS435="","",IF(BS435&gt;=730.5,"Yes","No"))</f>
        <v/>
      </c>
      <c r="BV435" s="27"/>
      <c r="BW435" s="29"/>
      <c r="BX435" s="27"/>
      <c r="BY435" s="27"/>
      <c r="BZ435" s="28" t="str">
        <f aca="false">IF(N(E435)=0,"",IF(E435&lt;65,"Under 65","≥65"))</f>
        <v/>
      </c>
      <c r="CA435" s="28" t="str">
        <f aca="false">IF(OR(AC435="Yes",AC435="No"),AC435,"")</f>
        <v/>
      </c>
      <c r="CB435" s="28" t="str">
        <f aca="false">IF(OR(AD435="Yes",AD435="No"),AD435,"")</f>
        <v/>
      </c>
      <c r="CC435" s="28" t="str">
        <f aca="false">IF(F435="","",F435)</f>
        <v/>
      </c>
      <c r="CD435" s="27"/>
      <c r="CE435" s="27"/>
    </row>
    <row r="436" customFormat="false" ht="15" hidden="false" customHeight="false" outlineLevel="0" collapsed="false">
      <c r="A436" s="27"/>
      <c r="B436" s="27"/>
      <c r="C436" s="27"/>
      <c r="D436" s="27"/>
      <c r="E436" s="27"/>
      <c r="F436" s="27"/>
      <c r="G436" s="27"/>
      <c r="H436" s="27"/>
      <c r="I436" s="27"/>
      <c r="J436" s="28" t="str">
        <f aca="false">IF(AND(N(H436)&gt;0,N(I436)&gt;0),ROUND(I436/(H436/100)^2,1),"")</f>
        <v/>
      </c>
      <c r="K436" s="27"/>
      <c r="L436" s="27"/>
      <c r="M436" s="27"/>
      <c r="N436" s="27"/>
      <c r="O436" s="27"/>
      <c r="P436" s="27"/>
      <c r="Q436" s="27"/>
      <c r="R436" s="29"/>
      <c r="S436" s="29"/>
      <c r="T436" s="27"/>
      <c r="U436" s="28" t="str">
        <f aca="false">IF(N(T436)=0,"",IF(T436&lt;12,"Under 12 months",IF(T436&lt;36,"12-35 months",IF(T436&lt;60,"36-59 months","≥60 months"))))</f>
        <v/>
      </c>
      <c r="V436" s="27"/>
      <c r="W436" s="30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9"/>
      <c r="AT436" s="30"/>
      <c r="AU436" s="30"/>
      <c r="AV436" s="30"/>
      <c r="AW436" s="27"/>
      <c r="AX436" s="27"/>
      <c r="AY436" s="29"/>
      <c r="AZ436" s="27"/>
      <c r="BA436" s="27"/>
      <c r="BB436" s="29"/>
      <c r="BC436" s="30"/>
      <c r="BD436" s="30"/>
      <c r="BE436" s="30"/>
      <c r="BF436" s="27"/>
      <c r="BG436" s="27"/>
      <c r="BH436" s="28" t="str">
        <f aca="false">IF(COUNT(BC436:BE436)=0,"",IF(MIN(BC436:BE436)&lt;=-2.5,"Yes","No"))</f>
        <v/>
      </c>
      <c r="BI436" s="27"/>
      <c r="BJ436" s="29"/>
      <c r="BK436" s="27"/>
      <c r="BL436" s="27"/>
      <c r="BM436" s="27"/>
      <c r="BN436" s="28" t="str">
        <f aca="false">IF(OR(AX436="Yes",BI436="Yes"),"Yes",IF(AND(AX436="No",BI436="No"),"No",IF(AND(AX436="",BI436=""),"","Unknown")))</f>
        <v/>
      </c>
      <c r="BO436" s="31" t="str">
        <f aca="false">IF(COUNT(AY436,BJ436)=0,"",MIN(AY436,BJ436))</f>
        <v/>
      </c>
      <c r="BP436" s="29"/>
      <c r="BQ436" s="29"/>
      <c r="BR436" s="29"/>
      <c r="BS436" s="28" t="str">
        <f aca="false">IF(AND(N(BP436)&gt;0,N(BR436)&gt;0),BR436-BP436,"")</f>
        <v/>
      </c>
      <c r="BT436" s="28" t="str">
        <f aca="false">IF(BS436="","",ROUND(BS436/365.25,2))</f>
        <v/>
      </c>
      <c r="BU436" s="28" t="str">
        <f aca="false">IF(BS436="","",IF(BS436&gt;=730.5,"Yes","No"))</f>
        <v/>
      </c>
      <c r="BV436" s="27"/>
      <c r="BW436" s="29"/>
      <c r="BX436" s="27"/>
      <c r="BY436" s="27"/>
      <c r="BZ436" s="28" t="str">
        <f aca="false">IF(N(E436)=0,"",IF(E436&lt;65,"Under 65","≥65"))</f>
        <v/>
      </c>
      <c r="CA436" s="28" t="str">
        <f aca="false">IF(OR(AC436="Yes",AC436="No"),AC436,"")</f>
        <v/>
      </c>
      <c r="CB436" s="28" t="str">
        <f aca="false">IF(OR(AD436="Yes",AD436="No"),AD436,"")</f>
        <v/>
      </c>
      <c r="CC436" s="28" t="str">
        <f aca="false">IF(F436="","",F436)</f>
        <v/>
      </c>
      <c r="CD436" s="27"/>
      <c r="CE436" s="27"/>
    </row>
    <row r="437" customFormat="false" ht="15" hidden="false" customHeight="false" outlineLevel="0" collapsed="false">
      <c r="A437" s="27"/>
      <c r="B437" s="27"/>
      <c r="C437" s="27"/>
      <c r="D437" s="27"/>
      <c r="E437" s="27"/>
      <c r="F437" s="27"/>
      <c r="G437" s="27"/>
      <c r="H437" s="27"/>
      <c r="I437" s="27"/>
      <c r="J437" s="28" t="str">
        <f aca="false">IF(AND(N(H437)&gt;0,N(I437)&gt;0),ROUND(I437/(H437/100)^2,1),"")</f>
        <v/>
      </c>
      <c r="K437" s="27"/>
      <c r="L437" s="27"/>
      <c r="M437" s="27"/>
      <c r="N437" s="27"/>
      <c r="O437" s="27"/>
      <c r="P437" s="27"/>
      <c r="Q437" s="27"/>
      <c r="R437" s="29"/>
      <c r="S437" s="29"/>
      <c r="T437" s="27"/>
      <c r="U437" s="28" t="str">
        <f aca="false">IF(N(T437)=0,"",IF(T437&lt;12,"Under 12 months",IF(T437&lt;36,"12-35 months",IF(T437&lt;60,"36-59 months","≥60 months"))))</f>
        <v/>
      </c>
      <c r="V437" s="27"/>
      <c r="W437" s="30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9"/>
      <c r="AT437" s="30"/>
      <c r="AU437" s="30"/>
      <c r="AV437" s="30"/>
      <c r="AW437" s="27"/>
      <c r="AX437" s="27"/>
      <c r="AY437" s="29"/>
      <c r="AZ437" s="27"/>
      <c r="BA437" s="27"/>
      <c r="BB437" s="29"/>
      <c r="BC437" s="30"/>
      <c r="BD437" s="30"/>
      <c r="BE437" s="30"/>
      <c r="BF437" s="27"/>
      <c r="BG437" s="27"/>
      <c r="BH437" s="28" t="str">
        <f aca="false">IF(COUNT(BC437:BE437)=0,"",IF(MIN(BC437:BE437)&lt;=-2.5,"Yes","No"))</f>
        <v/>
      </c>
      <c r="BI437" s="27"/>
      <c r="BJ437" s="29"/>
      <c r="BK437" s="27"/>
      <c r="BL437" s="27"/>
      <c r="BM437" s="27"/>
      <c r="BN437" s="28" t="str">
        <f aca="false">IF(OR(AX437="Yes",BI437="Yes"),"Yes",IF(AND(AX437="No",BI437="No"),"No",IF(AND(AX437="",BI437=""),"","Unknown")))</f>
        <v/>
      </c>
      <c r="BO437" s="31" t="str">
        <f aca="false">IF(COUNT(AY437,BJ437)=0,"",MIN(AY437,BJ437))</f>
        <v/>
      </c>
      <c r="BP437" s="29"/>
      <c r="BQ437" s="29"/>
      <c r="BR437" s="29"/>
      <c r="BS437" s="28" t="str">
        <f aca="false">IF(AND(N(BP437)&gt;0,N(BR437)&gt;0),BR437-BP437,"")</f>
        <v/>
      </c>
      <c r="BT437" s="28" t="str">
        <f aca="false">IF(BS437="","",ROUND(BS437/365.25,2))</f>
        <v/>
      </c>
      <c r="BU437" s="28" t="str">
        <f aca="false">IF(BS437="","",IF(BS437&gt;=730.5,"Yes","No"))</f>
        <v/>
      </c>
      <c r="BV437" s="27"/>
      <c r="BW437" s="29"/>
      <c r="BX437" s="27"/>
      <c r="BY437" s="27"/>
      <c r="BZ437" s="28" t="str">
        <f aca="false">IF(N(E437)=0,"",IF(E437&lt;65,"Under 65","≥65"))</f>
        <v/>
      </c>
      <c r="CA437" s="28" t="str">
        <f aca="false">IF(OR(AC437="Yes",AC437="No"),AC437,"")</f>
        <v/>
      </c>
      <c r="CB437" s="28" t="str">
        <f aca="false">IF(OR(AD437="Yes",AD437="No"),AD437,"")</f>
        <v/>
      </c>
      <c r="CC437" s="28" t="str">
        <f aca="false">IF(F437="","",F437)</f>
        <v/>
      </c>
      <c r="CD437" s="27"/>
      <c r="CE437" s="27"/>
    </row>
    <row r="438" customFormat="false" ht="15" hidden="false" customHeight="false" outlineLevel="0" collapsed="false">
      <c r="A438" s="27"/>
      <c r="B438" s="27"/>
      <c r="C438" s="27"/>
      <c r="D438" s="27"/>
      <c r="E438" s="27"/>
      <c r="F438" s="27"/>
      <c r="G438" s="27"/>
      <c r="H438" s="27"/>
      <c r="I438" s="27"/>
      <c r="J438" s="28" t="str">
        <f aca="false">IF(AND(N(H438)&gt;0,N(I438)&gt;0),ROUND(I438/(H438/100)^2,1),"")</f>
        <v/>
      </c>
      <c r="K438" s="27"/>
      <c r="L438" s="27"/>
      <c r="M438" s="27"/>
      <c r="N438" s="27"/>
      <c r="O438" s="27"/>
      <c r="P438" s="27"/>
      <c r="Q438" s="27"/>
      <c r="R438" s="29"/>
      <c r="S438" s="29"/>
      <c r="T438" s="27"/>
      <c r="U438" s="28" t="str">
        <f aca="false">IF(N(T438)=0,"",IF(T438&lt;12,"Under 12 months",IF(T438&lt;36,"12-35 months",IF(T438&lt;60,"36-59 months","≥60 months"))))</f>
        <v/>
      </c>
      <c r="V438" s="27"/>
      <c r="W438" s="30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9"/>
      <c r="AT438" s="30"/>
      <c r="AU438" s="30"/>
      <c r="AV438" s="30"/>
      <c r="AW438" s="27"/>
      <c r="AX438" s="27"/>
      <c r="AY438" s="29"/>
      <c r="AZ438" s="27"/>
      <c r="BA438" s="27"/>
      <c r="BB438" s="29"/>
      <c r="BC438" s="30"/>
      <c r="BD438" s="30"/>
      <c r="BE438" s="30"/>
      <c r="BF438" s="27"/>
      <c r="BG438" s="27"/>
      <c r="BH438" s="28" t="str">
        <f aca="false">IF(COUNT(BC438:BE438)=0,"",IF(MIN(BC438:BE438)&lt;=-2.5,"Yes","No"))</f>
        <v/>
      </c>
      <c r="BI438" s="27"/>
      <c r="BJ438" s="29"/>
      <c r="BK438" s="27"/>
      <c r="BL438" s="27"/>
      <c r="BM438" s="27"/>
      <c r="BN438" s="28" t="str">
        <f aca="false">IF(OR(AX438="Yes",BI438="Yes"),"Yes",IF(AND(AX438="No",BI438="No"),"No",IF(AND(AX438="",BI438=""),"","Unknown")))</f>
        <v/>
      </c>
      <c r="BO438" s="31" t="str">
        <f aca="false">IF(COUNT(AY438,BJ438)=0,"",MIN(AY438,BJ438))</f>
        <v/>
      </c>
      <c r="BP438" s="29"/>
      <c r="BQ438" s="29"/>
      <c r="BR438" s="29"/>
      <c r="BS438" s="28" t="str">
        <f aca="false">IF(AND(N(BP438)&gt;0,N(BR438)&gt;0),BR438-BP438,"")</f>
        <v/>
      </c>
      <c r="BT438" s="28" t="str">
        <f aca="false">IF(BS438="","",ROUND(BS438/365.25,2))</f>
        <v/>
      </c>
      <c r="BU438" s="28" t="str">
        <f aca="false">IF(BS438="","",IF(BS438&gt;=730.5,"Yes","No"))</f>
        <v/>
      </c>
      <c r="BV438" s="27"/>
      <c r="BW438" s="29"/>
      <c r="BX438" s="27"/>
      <c r="BY438" s="27"/>
      <c r="BZ438" s="28" t="str">
        <f aca="false">IF(N(E438)=0,"",IF(E438&lt;65,"Under 65","≥65"))</f>
        <v/>
      </c>
      <c r="CA438" s="28" t="str">
        <f aca="false">IF(OR(AC438="Yes",AC438="No"),AC438,"")</f>
        <v/>
      </c>
      <c r="CB438" s="28" t="str">
        <f aca="false">IF(OR(AD438="Yes",AD438="No"),AD438,"")</f>
        <v/>
      </c>
      <c r="CC438" s="28" t="str">
        <f aca="false">IF(F438="","",F438)</f>
        <v/>
      </c>
      <c r="CD438" s="27"/>
      <c r="CE438" s="27"/>
    </row>
    <row r="439" customFormat="false" ht="15" hidden="false" customHeight="false" outlineLevel="0" collapsed="false">
      <c r="A439" s="27"/>
      <c r="B439" s="27"/>
      <c r="C439" s="27"/>
      <c r="D439" s="27"/>
      <c r="E439" s="27"/>
      <c r="F439" s="27"/>
      <c r="G439" s="27"/>
      <c r="H439" s="27"/>
      <c r="I439" s="27"/>
      <c r="J439" s="28" t="str">
        <f aca="false">IF(AND(N(H439)&gt;0,N(I439)&gt;0),ROUND(I439/(H439/100)^2,1),"")</f>
        <v/>
      </c>
      <c r="K439" s="27"/>
      <c r="L439" s="27"/>
      <c r="M439" s="27"/>
      <c r="N439" s="27"/>
      <c r="O439" s="27"/>
      <c r="P439" s="27"/>
      <c r="Q439" s="27"/>
      <c r="R439" s="29"/>
      <c r="S439" s="29"/>
      <c r="T439" s="27"/>
      <c r="U439" s="28" t="str">
        <f aca="false">IF(N(T439)=0,"",IF(T439&lt;12,"Under 12 months",IF(T439&lt;36,"12-35 months",IF(T439&lt;60,"36-59 months","≥60 months"))))</f>
        <v/>
      </c>
      <c r="V439" s="27"/>
      <c r="W439" s="30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9"/>
      <c r="AT439" s="30"/>
      <c r="AU439" s="30"/>
      <c r="AV439" s="30"/>
      <c r="AW439" s="27"/>
      <c r="AX439" s="27"/>
      <c r="AY439" s="29"/>
      <c r="AZ439" s="27"/>
      <c r="BA439" s="27"/>
      <c r="BB439" s="29"/>
      <c r="BC439" s="30"/>
      <c r="BD439" s="30"/>
      <c r="BE439" s="30"/>
      <c r="BF439" s="27"/>
      <c r="BG439" s="27"/>
      <c r="BH439" s="28" t="str">
        <f aca="false">IF(COUNT(BC439:BE439)=0,"",IF(MIN(BC439:BE439)&lt;=-2.5,"Yes","No"))</f>
        <v/>
      </c>
      <c r="BI439" s="27"/>
      <c r="BJ439" s="29"/>
      <c r="BK439" s="27"/>
      <c r="BL439" s="27"/>
      <c r="BM439" s="27"/>
      <c r="BN439" s="28" t="str">
        <f aca="false">IF(OR(AX439="Yes",BI439="Yes"),"Yes",IF(AND(AX439="No",BI439="No"),"No",IF(AND(AX439="",BI439=""),"","Unknown")))</f>
        <v/>
      </c>
      <c r="BO439" s="31" t="str">
        <f aca="false">IF(COUNT(AY439,BJ439)=0,"",MIN(AY439,BJ439))</f>
        <v/>
      </c>
      <c r="BP439" s="29"/>
      <c r="BQ439" s="29"/>
      <c r="BR439" s="29"/>
      <c r="BS439" s="28" t="str">
        <f aca="false">IF(AND(N(BP439)&gt;0,N(BR439)&gt;0),BR439-BP439,"")</f>
        <v/>
      </c>
      <c r="BT439" s="28" t="str">
        <f aca="false">IF(BS439="","",ROUND(BS439/365.25,2))</f>
        <v/>
      </c>
      <c r="BU439" s="28" t="str">
        <f aca="false">IF(BS439="","",IF(BS439&gt;=730.5,"Yes","No"))</f>
        <v/>
      </c>
      <c r="BV439" s="27"/>
      <c r="BW439" s="29"/>
      <c r="BX439" s="27"/>
      <c r="BY439" s="27"/>
      <c r="BZ439" s="28" t="str">
        <f aca="false">IF(N(E439)=0,"",IF(E439&lt;65,"Under 65","≥65"))</f>
        <v/>
      </c>
      <c r="CA439" s="28" t="str">
        <f aca="false">IF(OR(AC439="Yes",AC439="No"),AC439,"")</f>
        <v/>
      </c>
      <c r="CB439" s="28" t="str">
        <f aca="false">IF(OR(AD439="Yes",AD439="No"),AD439,"")</f>
        <v/>
      </c>
      <c r="CC439" s="28" t="str">
        <f aca="false">IF(F439="","",F439)</f>
        <v/>
      </c>
      <c r="CD439" s="27"/>
      <c r="CE439" s="27"/>
    </row>
    <row r="440" customFormat="false" ht="15" hidden="false" customHeight="false" outlineLevel="0" collapsed="false">
      <c r="A440" s="27"/>
      <c r="B440" s="27"/>
      <c r="C440" s="27"/>
      <c r="D440" s="27"/>
      <c r="E440" s="27"/>
      <c r="F440" s="27"/>
      <c r="G440" s="27"/>
      <c r="H440" s="27"/>
      <c r="I440" s="27"/>
      <c r="J440" s="28" t="str">
        <f aca="false">IF(AND(N(H440)&gt;0,N(I440)&gt;0),ROUND(I440/(H440/100)^2,1),"")</f>
        <v/>
      </c>
      <c r="K440" s="27"/>
      <c r="L440" s="27"/>
      <c r="M440" s="27"/>
      <c r="N440" s="27"/>
      <c r="O440" s="27"/>
      <c r="P440" s="27"/>
      <c r="Q440" s="27"/>
      <c r="R440" s="29"/>
      <c r="S440" s="29"/>
      <c r="T440" s="27"/>
      <c r="U440" s="28" t="str">
        <f aca="false">IF(N(T440)=0,"",IF(T440&lt;12,"Under 12 months",IF(T440&lt;36,"12-35 months",IF(T440&lt;60,"36-59 months","≥60 months"))))</f>
        <v/>
      </c>
      <c r="V440" s="27"/>
      <c r="W440" s="30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9"/>
      <c r="AT440" s="30"/>
      <c r="AU440" s="30"/>
      <c r="AV440" s="30"/>
      <c r="AW440" s="27"/>
      <c r="AX440" s="27"/>
      <c r="AY440" s="29"/>
      <c r="AZ440" s="27"/>
      <c r="BA440" s="27"/>
      <c r="BB440" s="29"/>
      <c r="BC440" s="30"/>
      <c r="BD440" s="30"/>
      <c r="BE440" s="30"/>
      <c r="BF440" s="27"/>
      <c r="BG440" s="27"/>
      <c r="BH440" s="28" t="str">
        <f aca="false">IF(COUNT(BC440:BE440)=0,"",IF(MIN(BC440:BE440)&lt;=-2.5,"Yes","No"))</f>
        <v/>
      </c>
      <c r="BI440" s="27"/>
      <c r="BJ440" s="29"/>
      <c r="BK440" s="27"/>
      <c r="BL440" s="27"/>
      <c r="BM440" s="27"/>
      <c r="BN440" s="28" t="str">
        <f aca="false">IF(OR(AX440="Yes",BI440="Yes"),"Yes",IF(AND(AX440="No",BI440="No"),"No",IF(AND(AX440="",BI440=""),"","Unknown")))</f>
        <v/>
      </c>
      <c r="BO440" s="31" t="str">
        <f aca="false">IF(COUNT(AY440,BJ440)=0,"",MIN(AY440,BJ440))</f>
        <v/>
      </c>
      <c r="BP440" s="29"/>
      <c r="BQ440" s="29"/>
      <c r="BR440" s="29"/>
      <c r="BS440" s="28" t="str">
        <f aca="false">IF(AND(N(BP440)&gt;0,N(BR440)&gt;0),BR440-BP440,"")</f>
        <v/>
      </c>
      <c r="BT440" s="28" t="str">
        <f aca="false">IF(BS440="","",ROUND(BS440/365.25,2))</f>
        <v/>
      </c>
      <c r="BU440" s="28" t="str">
        <f aca="false">IF(BS440="","",IF(BS440&gt;=730.5,"Yes","No"))</f>
        <v/>
      </c>
      <c r="BV440" s="27"/>
      <c r="BW440" s="29"/>
      <c r="BX440" s="27"/>
      <c r="BY440" s="27"/>
      <c r="BZ440" s="28" t="str">
        <f aca="false">IF(N(E440)=0,"",IF(E440&lt;65,"Under 65","≥65"))</f>
        <v/>
      </c>
      <c r="CA440" s="28" t="str">
        <f aca="false">IF(OR(AC440="Yes",AC440="No"),AC440,"")</f>
        <v/>
      </c>
      <c r="CB440" s="28" t="str">
        <f aca="false">IF(OR(AD440="Yes",AD440="No"),AD440,"")</f>
        <v/>
      </c>
      <c r="CC440" s="28" t="str">
        <f aca="false">IF(F440="","",F440)</f>
        <v/>
      </c>
      <c r="CD440" s="27"/>
      <c r="CE440" s="27"/>
    </row>
    <row r="441" customFormat="false" ht="15" hidden="false" customHeight="false" outlineLevel="0" collapsed="false">
      <c r="A441" s="27"/>
      <c r="B441" s="27"/>
      <c r="C441" s="27"/>
      <c r="D441" s="27"/>
      <c r="E441" s="27"/>
      <c r="F441" s="27"/>
      <c r="G441" s="27"/>
      <c r="H441" s="27"/>
      <c r="I441" s="27"/>
      <c r="J441" s="28" t="str">
        <f aca="false">IF(AND(N(H441)&gt;0,N(I441)&gt;0),ROUND(I441/(H441/100)^2,1),"")</f>
        <v/>
      </c>
      <c r="K441" s="27"/>
      <c r="L441" s="27"/>
      <c r="M441" s="27"/>
      <c r="N441" s="27"/>
      <c r="O441" s="27"/>
      <c r="P441" s="27"/>
      <c r="Q441" s="27"/>
      <c r="R441" s="29"/>
      <c r="S441" s="29"/>
      <c r="T441" s="27"/>
      <c r="U441" s="28" t="str">
        <f aca="false">IF(N(T441)=0,"",IF(T441&lt;12,"Under 12 months",IF(T441&lt;36,"12-35 months",IF(T441&lt;60,"36-59 months","≥60 months"))))</f>
        <v/>
      </c>
      <c r="V441" s="27"/>
      <c r="W441" s="30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9"/>
      <c r="AT441" s="30"/>
      <c r="AU441" s="30"/>
      <c r="AV441" s="30"/>
      <c r="AW441" s="27"/>
      <c r="AX441" s="27"/>
      <c r="AY441" s="29"/>
      <c r="AZ441" s="27"/>
      <c r="BA441" s="27"/>
      <c r="BB441" s="29"/>
      <c r="BC441" s="30"/>
      <c r="BD441" s="30"/>
      <c r="BE441" s="30"/>
      <c r="BF441" s="27"/>
      <c r="BG441" s="27"/>
      <c r="BH441" s="28" t="str">
        <f aca="false">IF(COUNT(BC441:BE441)=0,"",IF(MIN(BC441:BE441)&lt;=-2.5,"Yes","No"))</f>
        <v/>
      </c>
      <c r="BI441" s="27"/>
      <c r="BJ441" s="29"/>
      <c r="BK441" s="27"/>
      <c r="BL441" s="27"/>
      <c r="BM441" s="27"/>
      <c r="BN441" s="28" t="str">
        <f aca="false">IF(OR(AX441="Yes",BI441="Yes"),"Yes",IF(AND(AX441="No",BI441="No"),"No",IF(AND(AX441="",BI441=""),"","Unknown")))</f>
        <v/>
      </c>
      <c r="BO441" s="31" t="str">
        <f aca="false">IF(COUNT(AY441,BJ441)=0,"",MIN(AY441,BJ441))</f>
        <v/>
      </c>
      <c r="BP441" s="29"/>
      <c r="BQ441" s="29"/>
      <c r="BR441" s="29"/>
      <c r="BS441" s="28" t="str">
        <f aca="false">IF(AND(N(BP441)&gt;0,N(BR441)&gt;0),BR441-BP441,"")</f>
        <v/>
      </c>
      <c r="BT441" s="28" t="str">
        <f aca="false">IF(BS441="","",ROUND(BS441/365.25,2))</f>
        <v/>
      </c>
      <c r="BU441" s="28" t="str">
        <f aca="false">IF(BS441="","",IF(BS441&gt;=730.5,"Yes","No"))</f>
        <v/>
      </c>
      <c r="BV441" s="27"/>
      <c r="BW441" s="29"/>
      <c r="BX441" s="27"/>
      <c r="BY441" s="27"/>
      <c r="BZ441" s="28" t="str">
        <f aca="false">IF(N(E441)=0,"",IF(E441&lt;65,"Under 65","≥65"))</f>
        <v/>
      </c>
      <c r="CA441" s="28" t="str">
        <f aca="false">IF(OR(AC441="Yes",AC441="No"),AC441,"")</f>
        <v/>
      </c>
      <c r="CB441" s="28" t="str">
        <f aca="false">IF(OR(AD441="Yes",AD441="No"),AD441,"")</f>
        <v/>
      </c>
      <c r="CC441" s="28" t="str">
        <f aca="false">IF(F441="","",F441)</f>
        <v/>
      </c>
      <c r="CD441" s="27"/>
      <c r="CE441" s="27"/>
    </row>
    <row r="442" customFormat="false" ht="15" hidden="false" customHeight="false" outlineLevel="0" collapsed="false">
      <c r="A442" s="27"/>
      <c r="B442" s="27"/>
      <c r="C442" s="27"/>
      <c r="D442" s="27"/>
      <c r="E442" s="27"/>
      <c r="F442" s="27"/>
      <c r="G442" s="27"/>
      <c r="H442" s="27"/>
      <c r="I442" s="27"/>
      <c r="J442" s="28" t="str">
        <f aca="false">IF(AND(N(H442)&gt;0,N(I442)&gt;0),ROUND(I442/(H442/100)^2,1),"")</f>
        <v/>
      </c>
      <c r="K442" s="27"/>
      <c r="L442" s="27"/>
      <c r="M442" s="27"/>
      <c r="N442" s="27"/>
      <c r="O442" s="27"/>
      <c r="P442" s="27"/>
      <c r="Q442" s="27"/>
      <c r="R442" s="29"/>
      <c r="S442" s="29"/>
      <c r="T442" s="27"/>
      <c r="U442" s="28" t="str">
        <f aca="false">IF(N(T442)=0,"",IF(T442&lt;12,"Under 12 months",IF(T442&lt;36,"12-35 months",IF(T442&lt;60,"36-59 months","≥60 months"))))</f>
        <v/>
      </c>
      <c r="V442" s="27"/>
      <c r="W442" s="30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9"/>
      <c r="AT442" s="30"/>
      <c r="AU442" s="30"/>
      <c r="AV442" s="30"/>
      <c r="AW442" s="27"/>
      <c r="AX442" s="27"/>
      <c r="AY442" s="29"/>
      <c r="AZ442" s="27"/>
      <c r="BA442" s="27"/>
      <c r="BB442" s="29"/>
      <c r="BC442" s="30"/>
      <c r="BD442" s="30"/>
      <c r="BE442" s="30"/>
      <c r="BF442" s="27"/>
      <c r="BG442" s="27"/>
      <c r="BH442" s="28" t="str">
        <f aca="false">IF(COUNT(BC442:BE442)=0,"",IF(MIN(BC442:BE442)&lt;=-2.5,"Yes","No"))</f>
        <v/>
      </c>
      <c r="BI442" s="27"/>
      <c r="BJ442" s="29"/>
      <c r="BK442" s="27"/>
      <c r="BL442" s="27"/>
      <c r="BM442" s="27"/>
      <c r="BN442" s="28" t="str">
        <f aca="false">IF(OR(AX442="Yes",BI442="Yes"),"Yes",IF(AND(AX442="No",BI442="No"),"No",IF(AND(AX442="",BI442=""),"","Unknown")))</f>
        <v/>
      </c>
      <c r="BO442" s="31" t="str">
        <f aca="false">IF(COUNT(AY442,BJ442)=0,"",MIN(AY442,BJ442))</f>
        <v/>
      </c>
      <c r="BP442" s="29"/>
      <c r="BQ442" s="29"/>
      <c r="BR442" s="29"/>
      <c r="BS442" s="28" t="str">
        <f aca="false">IF(AND(N(BP442)&gt;0,N(BR442)&gt;0),BR442-BP442,"")</f>
        <v/>
      </c>
      <c r="BT442" s="28" t="str">
        <f aca="false">IF(BS442="","",ROUND(BS442/365.25,2))</f>
        <v/>
      </c>
      <c r="BU442" s="28" t="str">
        <f aca="false">IF(BS442="","",IF(BS442&gt;=730.5,"Yes","No"))</f>
        <v/>
      </c>
      <c r="BV442" s="27"/>
      <c r="BW442" s="29"/>
      <c r="BX442" s="27"/>
      <c r="BY442" s="27"/>
      <c r="BZ442" s="28" t="str">
        <f aca="false">IF(N(E442)=0,"",IF(E442&lt;65,"Under 65","≥65"))</f>
        <v/>
      </c>
      <c r="CA442" s="28" t="str">
        <f aca="false">IF(OR(AC442="Yes",AC442="No"),AC442,"")</f>
        <v/>
      </c>
      <c r="CB442" s="28" t="str">
        <f aca="false">IF(OR(AD442="Yes",AD442="No"),AD442,"")</f>
        <v/>
      </c>
      <c r="CC442" s="28" t="str">
        <f aca="false">IF(F442="","",F442)</f>
        <v/>
      </c>
      <c r="CD442" s="27"/>
      <c r="CE442" s="27"/>
    </row>
    <row r="443" customFormat="false" ht="15" hidden="false" customHeight="false" outlineLevel="0" collapsed="false">
      <c r="A443" s="27"/>
      <c r="B443" s="27"/>
      <c r="C443" s="27"/>
      <c r="D443" s="27"/>
      <c r="E443" s="27"/>
      <c r="F443" s="27"/>
      <c r="G443" s="27"/>
      <c r="H443" s="27"/>
      <c r="I443" s="27"/>
      <c r="J443" s="28" t="str">
        <f aca="false">IF(AND(N(H443)&gt;0,N(I443)&gt;0),ROUND(I443/(H443/100)^2,1),"")</f>
        <v/>
      </c>
      <c r="K443" s="27"/>
      <c r="L443" s="27"/>
      <c r="M443" s="27"/>
      <c r="N443" s="27"/>
      <c r="O443" s="27"/>
      <c r="P443" s="27"/>
      <c r="Q443" s="27"/>
      <c r="R443" s="29"/>
      <c r="S443" s="29"/>
      <c r="T443" s="27"/>
      <c r="U443" s="28" t="str">
        <f aca="false">IF(N(T443)=0,"",IF(T443&lt;12,"Under 12 months",IF(T443&lt;36,"12-35 months",IF(T443&lt;60,"36-59 months","≥60 months"))))</f>
        <v/>
      </c>
      <c r="V443" s="27"/>
      <c r="W443" s="30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9"/>
      <c r="AT443" s="30"/>
      <c r="AU443" s="30"/>
      <c r="AV443" s="30"/>
      <c r="AW443" s="27"/>
      <c r="AX443" s="27"/>
      <c r="AY443" s="29"/>
      <c r="AZ443" s="27"/>
      <c r="BA443" s="27"/>
      <c r="BB443" s="29"/>
      <c r="BC443" s="30"/>
      <c r="BD443" s="30"/>
      <c r="BE443" s="30"/>
      <c r="BF443" s="27"/>
      <c r="BG443" s="27"/>
      <c r="BH443" s="28" t="str">
        <f aca="false">IF(COUNT(BC443:BE443)=0,"",IF(MIN(BC443:BE443)&lt;=-2.5,"Yes","No"))</f>
        <v/>
      </c>
      <c r="BI443" s="27"/>
      <c r="BJ443" s="29"/>
      <c r="BK443" s="27"/>
      <c r="BL443" s="27"/>
      <c r="BM443" s="27"/>
      <c r="BN443" s="28" t="str">
        <f aca="false">IF(OR(AX443="Yes",BI443="Yes"),"Yes",IF(AND(AX443="No",BI443="No"),"No",IF(AND(AX443="",BI443=""),"","Unknown")))</f>
        <v/>
      </c>
      <c r="BO443" s="31" t="str">
        <f aca="false">IF(COUNT(AY443,BJ443)=0,"",MIN(AY443,BJ443))</f>
        <v/>
      </c>
      <c r="BP443" s="29"/>
      <c r="BQ443" s="29"/>
      <c r="BR443" s="29"/>
      <c r="BS443" s="28" t="str">
        <f aca="false">IF(AND(N(BP443)&gt;0,N(BR443)&gt;0),BR443-BP443,"")</f>
        <v/>
      </c>
      <c r="BT443" s="28" t="str">
        <f aca="false">IF(BS443="","",ROUND(BS443/365.25,2))</f>
        <v/>
      </c>
      <c r="BU443" s="28" t="str">
        <f aca="false">IF(BS443="","",IF(BS443&gt;=730.5,"Yes","No"))</f>
        <v/>
      </c>
      <c r="BV443" s="27"/>
      <c r="BW443" s="29"/>
      <c r="BX443" s="27"/>
      <c r="BY443" s="27"/>
      <c r="BZ443" s="28" t="str">
        <f aca="false">IF(N(E443)=0,"",IF(E443&lt;65,"Under 65","≥65"))</f>
        <v/>
      </c>
      <c r="CA443" s="28" t="str">
        <f aca="false">IF(OR(AC443="Yes",AC443="No"),AC443,"")</f>
        <v/>
      </c>
      <c r="CB443" s="28" t="str">
        <f aca="false">IF(OR(AD443="Yes",AD443="No"),AD443,"")</f>
        <v/>
      </c>
      <c r="CC443" s="28" t="str">
        <f aca="false">IF(F443="","",F443)</f>
        <v/>
      </c>
      <c r="CD443" s="27"/>
      <c r="CE443" s="27"/>
    </row>
    <row r="444" customFormat="false" ht="15" hidden="false" customHeight="false" outlineLevel="0" collapsed="false">
      <c r="A444" s="27"/>
      <c r="B444" s="27"/>
      <c r="C444" s="27"/>
      <c r="D444" s="27"/>
      <c r="E444" s="27"/>
      <c r="F444" s="27"/>
      <c r="G444" s="27"/>
      <c r="H444" s="27"/>
      <c r="I444" s="27"/>
      <c r="J444" s="28" t="str">
        <f aca="false">IF(AND(N(H444)&gt;0,N(I444)&gt;0),ROUND(I444/(H444/100)^2,1),"")</f>
        <v/>
      </c>
      <c r="K444" s="27"/>
      <c r="L444" s="27"/>
      <c r="M444" s="27"/>
      <c r="N444" s="27"/>
      <c r="O444" s="27"/>
      <c r="P444" s="27"/>
      <c r="Q444" s="27"/>
      <c r="R444" s="29"/>
      <c r="S444" s="29"/>
      <c r="T444" s="27"/>
      <c r="U444" s="28" t="str">
        <f aca="false">IF(N(T444)=0,"",IF(T444&lt;12,"Under 12 months",IF(T444&lt;36,"12-35 months",IF(T444&lt;60,"36-59 months","≥60 months"))))</f>
        <v/>
      </c>
      <c r="V444" s="27"/>
      <c r="W444" s="30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9"/>
      <c r="AT444" s="30"/>
      <c r="AU444" s="30"/>
      <c r="AV444" s="30"/>
      <c r="AW444" s="27"/>
      <c r="AX444" s="27"/>
      <c r="AY444" s="29"/>
      <c r="AZ444" s="27"/>
      <c r="BA444" s="27"/>
      <c r="BB444" s="29"/>
      <c r="BC444" s="30"/>
      <c r="BD444" s="30"/>
      <c r="BE444" s="30"/>
      <c r="BF444" s="27"/>
      <c r="BG444" s="27"/>
      <c r="BH444" s="28" t="str">
        <f aca="false">IF(COUNT(BC444:BE444)=0,"",IF(MIN(BC444:BE444)&lt;=-2.5,"Yes","No"))</f>
        <v/>
      </c>
      <c r="BI444" s="27"/>
      <c r="BJ444" s="29"/>
      <c r="BK444" s="27"/>
      <c r="BL444" s="27"/>
      <c r="BM444" s="27"/>
      <c r="BN444" s="28" t="str">
        <f aca="false">IF(OR(AX444="Yes",BI444="Yes"),"Yes",IF(AND(AX444="No",BI444="No"),"No",IF(AND(AX444="",BI444=""),"","Unknown")))</f>
        <v/>
      </c>
      <c r="BO444" s="31" t="str">
        <f aca="false">IF(COUNT(AY444,BJ444)=0,"",MIN(AY444,BJ444))</f>
        <v/>
      </c>
      <c r="BP444" s="29"/>
      <c r="BQ444" s="29"/>
      <c r="BR444" s="29"/>
      <c r="BS444" s="28" t="str">
        <f aca="false">IF(AND(N(BP444)&gt;0,N(BR444)&gt;0),BR444-BP444,"")</f>
        <v/>
      </c>
      <c r="BT444" s="28" t="str">
        <f aca="false">IF(BS444="","",ROUND(BS444/365.25,2))</f>
        <v/>
      </c>
      <c r="BU444" s="28" t="str">
        <f aca="false">IF(BS444="","",IF(BS444&gt;=730.5,"Yes","No"))</f>
        <v/>
      </c>
      <c r="BV444" s="27"/>
      <c r="BW444" s="29"/>
      <c r="BX444" s="27"/>
      <c r="BY444" s="27"/>
      <c r="BZ444" s="28" t="str">
        <f aca="false">IF(N(E444)=0,"",IF(E444&lt;65,"Under 65","≥65"))</f>
        <v/>
      </c>
      <c r="CA444" s="28" t="str">
        <f aca="false">IF(OR(AC444="Yes",AC444="No"),AC444,"")</f>
        <v/>
      </c>
      <c r="CB444" s="28" t="str">
        <f aca="false">IF(OR(AD444="Yes",AD444="No"),AD444,"")</f>
        <v/>
      </c>
      <c r="CC444" s="28" t="str">
        <f aca="false">IF(F444="","",F444)</f>
        <v/>
      </c>
      <c r="CD444" s="27"/>
      <c r="CE444" s="27"/>
    </row>
    <row r="445" customFormat="false" ht="15" hidden="false" customHeight="false" outlineLevel="0" collapsed="false">
      <c r="A445" s="27"/>
      <c r="B445" s="27"/>
      <c r="C445" s="27"/>
      <c r="D445" s="27"/>
      <c r="E445" s="27"/>
      <c r="F445" s="27"/>
      <c r="G445" s="27"/>
      <c r="H445" s="27"/>
      <c r="I445" s="27"/>
      <c r="J445" s="28" t="str">
        <f aca="false">IF(AND(N(H445)&gt;0,N(I445)&gt;0),ROUND(I445/(H445/100)^2,1),"")</f>
        <v/>
      </c>
      <c r="K445" s="27"/>
      <c r="L445" s="27"/>
      <c r="M445" s="27"/>
      <c r="N445" s="27"/>
      <c r="O445" s="27"/>
      <c r="P445" s="27"/>
      <c r="Q445" s="27"/>
      <c r="R445" s="29"/>
      <c r="S445" s="29"/>
      <c r="T445" s="27"/>
      <c r="U445" s="28" t="str">
        <f aca="false">IF(N(T445)=0,"",IF(T445&lt;12,"Under 12 months",IF(T445&lt;36,"12-35 months",IF(T445&lt;60,"36-59 months","≥60 months"))))</f>
        <v/>
      </c>
      <c r="V445" s="27"/>
      <c r="W445" s="30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9"/>
      <c r="AT445" s="30"/>
      <c r="AU445" s="30"/>
      <c r="AV445" s="30"/>
      <c r="AW445" s="27"/>
      <c r="AX445" s="27"/>
      <c r="AY445" s="29"/>
      <c r="AZ445" s="27"/>
      <c r="BA445" s="27"/>
      <c r="BB445" s="29"/>
      <c r="BC445" s="30"/>
      <c r="BD445" s="30"/>
      <c r="BE445" s="30"/>
      <c r="BF445" s="27"/>
      <c r="BG445" s="27"/>
      <c r="BH445" s="28" t="str">
        <f aca="false">IF(COUNT(BC445:BE445)=0,"",IF(MIN(BC445:BE445)&lt;=-2.5,"Yes","No"))</f>
        <v/>
      </c>
      <c r="BI445" s="27"/>
      <c r="BJ445" s="29"/>
      <c r="BK445" s="27"/>
      <c r="BL445" s="27"/>
      <c r="BM445" s="27"/>
      <c r="BN445" s="28" t="str">
        <f aca="false">IF(OR(AX445="Yes",BI445="Yes"),"Yes",IF(AND(AX445="No",BI445="No"),"No",IF(AND(AX445="",BI445=""),"","Unknown")))</f>
        <v/>
      </c>
      <c r="BO445" s="31" t="str">
        <f aca="false">IF(COUNT(AY445,BJ445)=0,"",MIN(AY445,BJ445))</f>
        <v/>
      </c>
      <c r="BP445" s="29"/>
      <c r="BQ445" s="29"/>
      <c r="BR445" s="29"/>
      <c r="BS445" s="28" t="str">
        <f aca="false">IF(AND(N(BP445)&gt;0,N(BR445)&gt;0),BR445-BP445,"")</f>
        <v/>
      </c>
      <c r="BT445" s="28" t="str">
        <f aca="false">IF(BS445="","",ROUND(BS445/365.25,2))</f>
        <v/>
      </c>
      <c r="BU445" s="28" t="str">
        <f aca="false">IF(BS445="","",IF(BS445&gt;=730.5,"Yes","No"))</f>
        <v/>
      </c>
      <c r="BV445" s="27"/>
      <c r="BW445" s="29"/>
      <c r="BX445" s="27"/>
      <c r="BY445" s="27"/>
      <c r="BZ445" s="28" t="str">
        <f aca="false">IF(N(E445)=0,"",IF(E445&lt;65,"Under 65","≥65"))</f>
        <v/>
      </c>
      <c r="CA445" s="28" t="str">
        <f aca="false">IF(OR(AC445="Yes",AC445="No"),AC445,"")</f>
        <v/>
      </c>
      <c r="CB445" s="28" t="str">
        <f aca="false">IF(OR(AD445="Yes",AD445="No"),AD445,"")</f>
        <v/>
      </c>
      <c r="CC445" s="28" t="str">
        <f aca="false">IF(F445="","",F445)</f>
        <v/>
      </c>
      <c r="CD445" s="27"/>
      <c r="CE445" s="27"/>
    </row>
    <row r="446" customFormat="false" ht="15" hidden="false" customHeight="false" outlineLevel="0" collapsed="false">
      <c r="A446" s="27"/>
      <c r="B446" s="27"/>
      <c r="C446" s="27"/>
      <c r="D446" s="27"/>
      <c r="E446" s="27"/>
      <c r="F446" s="27"/>
      <c r="G446" s="27"/>
      <c r="H446" s="27"/>
      <c r="I446" s="27"/>
      <c r="J446" s="28" t="str">
        <f aca="false">IF(AND(N(H446)&gt;0,N(I446)&gt;0),ROUND(I446/(H446/100)^2,1),"")</f>
        <v/>
      </c>
      <c r="K446" s="27"/>
      <c r="L446" s="27"/>
      <c r="M446" s="27"/>
      <c r="N446" s="27"/>
      <c r="O446" s="27"/>
      <c r="P446" s="27"/>
      <c r="Q446" s="27"/>
      <c r="R446" s="29"/>
      <c r="S446" s="29"/>
      <c r="T446" s="27"/>
      <c r="U446" s="28" t="str">
        <f aca="false">IF(N(T446)=0,"",IF(T446&lt;12,"Under 12 months",IF(T446&lt;36,"12-35 months",IF(T446&lt;60,"36-59 months","≥60 months"))))</f>
        <v/>
      </c>
      <c r="V446" s="27"/>
      <c r="W446" s="30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9"/>
      <c r="AT446" s="30"/>
      <c r="AU446" s="30"/>
      <c r="AV446" s="30"/>
      <c r="AW446" s="27"/>
      <c r="AX446" s="27"/>
      <c r="AY446" s="29"/>
      <c r="AZ446" s="27"/>
      <c r="BA446" s="27"/>
      <c r="BB446" s="29"/>
      <c r="BC446" s="30"/>
      <c r="BD446" s="30"/>
      <c r="BE446" s="30"/>
      <c r="BF446" s="27"/>
      <c r="BG446" s="27"/>
      <c r="BH446" s="28" t="str">
        <f aca="false">IF(COUNT(BC446:BE446)=0,"",IF(MIN(BC446:BE446)&lt;=-2.5,"Yes","No"))</f>
        <v/>
      </c>
      <c r="BI446" s="27"/>
      <c r="BJ446" s="29"/>
      <c r="BK446" s="27"/>
      <c r="BL446" s="27"/>
      <c r="BM446" s="27"/>
      <c r="BN446" s="28" t="str">
        <f aca="false">IF(OR(AX446="Yes",BI446="Yes"),"Yes",IF(AND(AX446="No",BI446="No"),"No",IF(AND(AX446="",BI446=""),"","Unknown")))</f>
        <v/>
      </c>
      <c r="BO446" s="31" t="str">
        <f aca="false">IF(COUNT(AY446,BJ446)=0,"",MIN(AY446,BJ446))</f>
        <v/>
      </c>
      <c r="BP446" s="29"/>
      <c r="BQ446" s="29"/>
      <c r="BR446" s="29"/>
      <c r="BS446" s="28" t="str">
        <f aca="false">IF(AND(N(BP446)&gt;0,N(BR446)&gt;0),BR446-BP446,"")</f>
        <v/>
      </c>
      <c r="BT446" s="28" t="str">
        <f aca="false">IF(BS446="","",ROUND(BS446/365.25,2))</f>
        <v/>
      </c>
      <c r="BU446" s="28" t="str">
        <f aca="false">IF(BS446="","",IF(BS446&gt;=730.5,"Yes","No"))</f>
        <v/>
      </c>
      <c r="BV446" s="27"/>
      <c r="BW446" s="29"/>
      <c r="BX446" s="27"/>
      <c r="BY446" s="27"/>
      <c r="BZ446" s="28" t="str">
        <f aca="false">IF(N(E446)=0,"",IF(E446&lt;65,"Under 65","≥65"))</f>
        <v/>
      </c>
      <c r="CA446" s="28" t="str">
        <f aca="false">IF(OR(AC446="Yes",AC446="No"),AC446,"")</f>
        <v/>
      </c>
      <c r="CB446" s="28" t="str">
        <f aca="false">IF(OR(AD446="Yes",AD446="No"),AD446,"")</f>
        <v/>
      </c>
      <c r="CC446" s="28" t="str">
        <f aca="false">IF(F446="","",F446)</f>
        <v/>
      </c>
      <c r="CD446" s="27"/>
      <c r="CE446" s="27"/>
    </row>
    <row r="447" customFormat="false" ht="15" hidden="false" customHeight="false" outlineLevel="0" collapsed="false">
      <c r="A447" s="27"/>
      <c r="B447" s="27"/>
      <c r="C447" s="27"/>
      <c r="D447" s="27"/>
      <c r="E447" s="27"/>
      <c r="F447" s="27"/>
      <c r="G447" s="27"/>
      <c r="H447" s="27"/>
      <c r="I447" s="27"/>
      <c r="J447" s="28" t="str">
        <f aca="false">IF(AND(N(H447)&gt;0,N(I447)&gt;0),ROUND(I447/(H447/100)^2,1),"")</f>
        <v/>
      </c>
      <c r="K447" s="27"/>
      <c r="L447" s="27"/>
      <c r="M447" s="27"/>
      <c r="N447" s="27"/>
      <c r="O447" s="27"/>
      <c r="P447" s="27"/>
      <c r="Q447" s="27"/>
      <c r="R447" s="29"/>
      <c r="S447" s="29"/>
      <c r="T447" s="27"/>
      <c r="U447" s="28" t="str">
        <f aca="false">IF(N(T447)=0,"",IF(T447&lt;12,"Under 12 months",IF(T447&lt;36,"12-35 months",IF(T447&lt;60,"36-59 months","≥60 months"))))</f>
        <v/>
      </c>
      <c r="V447" s="27"/>
      <c r="W447" s="30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9"/>
      <c r="AT447" s="30"/>
      <c r="AU447" s="30"/>
      <c r="AV447" s="30"/>
      <c r="AW447" s="27"/>
      <c r="AX447" s="27"/>
      <c r="AY447" s="29"/>
      <c r="AZ447" s="27"/>
      <c r="BA447" s="27"/>
      <c r="BB447" s="29"/>
      <c r="BC447" s="30"/>
      <c r="BD447" s="30"/>
      <c r="BE447" s="30"/>
      <c r="BF447" s="27"/>
      <c r="BG447" s="27"/>
      <c r="BH447" s="28" t="str">
        <f aca="false">IF(COUNT(BC447:BE447)=0,"",IF(MIN(BC447:BE447)&lt;=-2.5,"Yes","No"))</f>
        <v/>
      </c>
      <c r="BI447" s="27"/>
      <c r="BJ447" s="29"/>
      <c r="BK447" s="27"/>
      <c r="BL447" s="27"/>
      <c r="BM447" s="27"/>
      <c r="BN447" s="28" t="str">
        <f aca="false">IF(OR(AX447="Yes",BI447="Yes"),"Yes",IF(AND(AX447="No",BI447="No"),"No",IF(AND(AX447="",BI447=""),"","Unknown")))</f>
        <v/>
      </c>
      <c r="BO447" s="31" t="str">
        <f aca="false">IF(COUNT(AY447,BJ447)=0,"",MIN(AY447,BJ447))</f>
        <v/>
      </c>
      <c r="BP447" s="29"/>
      <c r="BQ447" s="29"/>
      <c r="BR447" s="29"/>
      <c r="BS447" s="28" t="str">
        <f aca="false">IF(AND(N(BP447)&gt;0,N(BR447)&gt;0),BR447-BP447,"")</f>
        <v/>
      </c>
      <c r="BT447" s="28" t="str">
        <f aca="false">IF(BS447="","",ROUND(BS447/365.25,2))</f>
        <v/>
      </c>
      <c r="BU447" s="28" t="str">
        <f aca="false">IF(BS447="","",IF(BS447&gt;=730.5,"Yes","No"))</f>
        <v/>
      </c>
      <c r="BV447" s="27"/>
      <c r="BW447" s="29"/>
      <c r="BX447" s="27"/>
      <c r="BY447" s="27"/>
      <c r="BZ447" s="28" t="str">
        <f aca="false">IF(N(E447)=0,"",IF(E447&lt;65,"Under 65","≥65"))</f>
        <v/>
      </c>
      <c r="CA447" s="28" t="str">
        <f aca="false">IF(OR(AC447="Yes",AC447="No"),AC447,"")</f>
        <v/>
      </c>
      <c r="CB447" s="28" t="str">
        <f aca="false">IF(OR(AD447="Yes",AD447="No"),AD447,"")</f>
        <v/>
      </c>
      <c r="CC447" s="28" t="str">
        <f aca="false">IF(F447="","",F447)</f>
        <v/>
      </c>
      <c r="CD447" s="27"/>
      <c r="CE447" s="27"/>
    </row>
    <row r="448" customFormat="false" ht="15" hidden="false" customHeight="false" outlineLevel="0" collapsed="false">
      <c r="A448" s="27"/>
      <c r="B448" s="27"/>
      <c r="C448" s="27"/>
      <c r="D448" s="27"/>
      <c r="E448" s="27"/>
      <c r="F448" s="27"/>
      <c r="G448" s="27"/>
      <c r="H448" s="27"/>
      <c r="I448" s="27"/>
      <c r="J448" s="28" t="str">
        <f aca="false">IF(AND(N(H448)&gt;0,N(I448)&gt;0),ROUND(I448/(H448/100)^2,1),"")</f>
        <v/>
      </c>
      <c r="K448" s="27"/>
      <c r="L448" s="27"/>
      <c r="M448" s="27"/>
      <c r="N448" s="27"/>
      <c r="O448" s="27"/>
      <c r="P448" s="27"/>
      <c r="Q448" s="27"/>
      <c r="R448" s="29"/>
      <c r="S448" s="29"/>
      <c r="T448" s="27"/>
      <c r="U448" s="28" t="str">
        <f aca="false">IF(N(T448)=0,"",IF(T448&lt;12,"Under 12 months",IF(T448&lt;36,"12-35 months",IF(T448&lt;60,"36-59 months","≥60 months"))))</f>
        <v/>
      </c>
      <c r="V448" s="27"/>
      <c r="W448" s="30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9"/>
      <c r="AT448" s="30"/>
      <c r="AU448" s="30"/>
      <c r="AV448" s="30"/>
      <c r="AW448" s="27"/>
      <c r="AX448" s="27"/>
      <c r="AY448" s="29"/>
      <c r="AZ448" s="27"/>
      <c r="BA448" s="27"/>
      <c r="BB448" s="29"/>
      <c r="BC448" s="30"/>
      <c r="BD448" s="30"/>
      <c r="BE448" s="30"/>
      <c r="BF448" s="27"/>
      <c r="BG448" s="27"/>
      <c r="BH448" s="28" t="str">
        <f aca="false">IF(COUNT(BC448:BE448)=0,"",IF(MIN(BC448:BE448)&lt;=-2.5,"Yes","No"))</f>
        <v/>
      </c>
      <c r="BI448" s="27"/>
      <c r="BJ448" s="29"/>
      <c r="BK448" s="27"/>
      <c r="BL448" s="27"/>
      <c r="BM448" s="27"/>
      <c r="BN448" s="28" t="str">
        <f aca="false">IF(OR(AX448="Yes",BI448="Yes"),"Yes",IF(AND(AX448="No",BI448="No"),"No",IF(AND(AX448="",BI448=""),"","Unknown")))</f>
        <v/>
      </c>
      <c r="BO448" s="31" t="str">
        <f aca="false">IF(COUNT(AY448,BJ448)=0,"",MIN(AY448,BJ448))</f>
        <v/>
      </c>
      <c r="BP448" s="29"/>
      <c r="BQ448" s="29"/>
      <c r="BR448" s="29"/>
      <c r="BS448" s="28" t="str">
        <f aca="false">IF(AND(N(BP448)&gt;0,N(BR448)&gt;0),BR448-BP448,"")</f>
        <v/>
      </c>
      <c r="BT448" s="28" t="str">
        <f aca="false">IF(BS448="","",ROUND(BS448/365.25,2))</f>
        <v/>
      </c>
      <c r="BU448" s="28" t="str">
        <f aca="false">IF(BS448="","",IF(BS448&gt;=730.5,"Yes","No"))</f>
        <v/>
      </c>
      <c r="BV448" s="27"/>
      <c r="BW448" s="29"/>
      <c r="BX448" s="27"/>
      <c r="BY448" s="27"/>
      <c r="BZ448" s="28" t="str">
        <f aca="false">IF(N(E448)=0,"",IF(E448&lt;65,"Under 65","≥65"))</f>
        <v/>
      </c>
      <c r="CA448" s="28" t="str">
        <f aca="false">IF(OR(AC448="Yes",AC448="No"),AC448,"")</f>
        <v/>
      </c>
      <c r="CB448" s="28" t="str">
        <f aca="false">IF(OR(AD448="Yes",AD448="No"),AD448,"")</f>
        <v/>
      </c>
      <c r="CC448" s="28" t="str">
        <f aca="false">IF(F448="","",F448)</f>
        <v/>
      </c>
      <c r="CD448" s="27"/>
      <c r="CE448" s="27"/>
    </row>
    <row r="449" customFormat="false" ht="15" hidden="false" customHeight="false" outlineLevel="0" collapsed="false">
      <c r="A449" s="27"/>
      <c r="B449" s="27"/>
      <c r="C449" s="27"/>
      <c r="D449" s="27"/>
      <c r="E449" s="27"/>
      <c r="F449" s="27"/>
      <c r="G449" s="27"/>
      <c r="H449" s="27"/>
      <c r="I449" s="27"/>
      <c r="J449" s="28" t="str">
        <f aca="false">IF(AND(N(H449)&gt;0,N(I449)&gt;0),ROUND(I449/(H449/100)^2,1),"")</f>
        <v/>
      </c>
      <c r="K449" s="27"/>
      <c r="L449" s="27"/>
      <c r="M449" s="27"/>
      <c r="N449" s="27"/>
      <c r="O449" s="27"/>
      <c r="P449" s="27"/>
      <c r="Q449" s="27"/>
      <c r="R449" s="29"/>
      <c r="S449" s="29"/>
      <c r="T449" s="27"/>
      <c r="U449" s="28" t="str">
        <f aca="false">IF(N(T449)=0,"",IF(T449&lt;12,"Under 12 months",IF(T449&lt;36,"12-35 months",IF(T449&lt;60,"36-59 months","≥60 months"))))</f>
        <v/>
      </c>
      <c r="V449" s="27"/>
      <c r="W449" s="30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9"/>
      <c r="AT449" s="30"/>
      <c r="AU449" s="30"/>
      <c r="AV449" s="30"/>
      <c r="AW449" s="27"/>
      <c r="AX449" s="27"/>
      <c r="AY449" s="29"/>
      <c r="AZ449" s="27"/>
      <c r="BA449" s="27"/>
      <c r="BB449" s="29"/>
      <c r="BC449" s="30"/>
      <c r="BD449" s="30"/>
      <c r="BE449" s="30"/>
      <c r="BF449" s="27"/>
      <c r="BG449" s="27"/>
      <c r="BH449" s="28" t="str">
        <f aca="false">IF(COUNT(BC449:BE449)=0,"",IF(MIN(BC449:BE449)&lt;=-2.5,"Yes","No"))</f>
        <v/>
      </c>
      <c r="BI449" s="27"/>
      <c r="BJ449" s="29"/>
      <c r="BK449" s="27"/>
      <c r="BL449" s="27"/>
      <c r="BM449" s="27"/>
      <c r="BN449" s="28" t="str">
        <f aca="false">IF(OR(AX449="Yes",BI449="Yes"),"Yes",IF(AND(AX449="No",BI449="No"),"No",IF(AND(AX449="",BI449=""),"","Unknown")))</f>
        <v/>
      </c>
      <c r="BO449" s="31" t="str">
        <f aca="false">IF(COUNT(AY449,BJ449)=0,"",MIN(AY449,BJ449))</f>
        <v/>
      </c>
      <c r="BP449" s="29"/>
      <c r="BQ449" s="29"/>
      <c r="BR449" s="29"/>
      <c r="BS449" s="28" t="str">
        <f aca="false">IF(AND(N(BP449)&gt;0,N(BR449)&gt;0),BR449-BP449,"")</f>
        <v/>
      </c>
      <c r="BT449" s="28" t="str">
        <f aca="false">IF(BS449="","",ROUND(BS449/365.25,2))</f>
        <v/>
      </c>
      <c r="BU449" s="28" t="str">
        <f aca="false">IF(BS449="","",IF(BS449&gt;=730.5,"Yes","No"))</f>
        <v/>
      </c>
      <c r="BV449" s="27"/>
      <c r="BW449" s="29"/>
      <c r="BX449" s="27"/>
      <c r="BY449" s="27"/>
      <c r="BZ449" s="28" t="str">
        <f aca="false">IF(N(E449)=0,"",IF(E449&lt;65,"Under 65","≥65"))</f>
        <v/>
      </c>
      <c r="CA449" s="28" t="str">
        <f aca="false">IF(OR(AC449="Yes",AC449="No"),AC449,"")</f>
        <v/>
      </c>
      <c r="CB449" s="28" t="str">
        <f aca="false">IF(OR(AD449="Yes",AD449="No"),AD449,"")</f>
        <v/>
      </c>
      <c r="CC449" s="28" t="str">
        <f aca="false">IF(F449="","",F449)</f>
        <v/>
      </c>
      <c r="CD449" s="27"/>
      <c r="CE449" s="27"/>
    </row>
    <row r="450" customFormat="false" ht="15" hidden="false" customHeight="false" outlineLevel="0" collapsed="false">
      <c r="A450" s="27"/>
      <c r="B450" s="27"/>
      <c r="C450" s="27"/>
      <c r="D450" s="27"/>
      <c r="E450" s="27"/>
      <c r="F450" s="27"/>
      <c r="G450" s="27"/>
      <c r="H450" s="27"/>
      <c r="I450" s="27"/>
      <c r="J450" s="28" t="str">
        <f aca="false">IF(AND(N(H450)&gt;0,N(I450)&gt;0),ROUND(I450/(H450/100)^2,1),"")</f>
        <v/>
      </c>
      <c r="K450" s="27"/>
      <c r="L450" s="27"/>
      <c r="M450" s="27"/>
      <c r="N450" s="27"/>
      <c r="O450" s="27"/>
      <c r="P450" s="27"/>
      <c r="Q450" s="27"/>
      <c r="R450" s="29"/>
      <c r="S450" s="29"/>
      <c r="T450" s="27"/>
      <c r="U450" s="28" t="str">
        <f aca="false">IF(N(T450)=0,"",IF(T450&lt;12,"Under 12 months",IF(T450&lt;36,"12-35 months",IF(T450&lt;60,"36-59 months","≥60 months"))))</f>
        <v/>
      </c>
      <c r="V450" s="27"/>
      <c r="W450" s="30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9"/>
      <c r="AT450" s="30"/>
      <c r="AU450" s="30"/>
      <c r="AV450" s="30"/>
      <c r="AW450" s="27"/>
      <c r="AX450" s="27"/>
      <c r="AY450" s="29"/>
      <c r="AZ450" s="27"/>
      <c r="BA450" s="27"/>
      <c r="BB450" s="29"/>
      <c r="BC450" s="30"/>
      <c r="BD450" s="30"/>
      <c r="BE450" s="30"/>
      <c r="BF450" s="27"/>
      <c r="BG450" s="27"/>
      <c r="BH450" s="28" t="str">
        <f aca="false">IF(COUNT(BC450:BE450)=0,"",IF(MIN(BC450:BE450)&lt;=-2.5,"Yes","No"))</f>
        <v/>
      </c>
      <c r="BI450" s="27"/>
      <c r="BJ450" s="29"/>
      <c r="BK450" s="27"/>
      <c r="BL450" s="27"/>
      <c r="BM450" s="27"/>
      <c r="BN450" s="28" t="str">
        <f aca="false">IF(OR(AX450="Yes",BI450="Yes"),"Yes",IF(AND(AX450="No",BI450="No"),"No",IF(AND(AX450="",BI450=""),"","Unknown")))</f>
        <v/>
      </c>
      <c r="BO450" s="31" t="str">
        <f aca="false">IF(COUNT(AY450,BJ450)=0,"",MIN(AY450,BJ450))</f>
        <v/>
      </c>
      <c r="BP450" s="29"/>
      <c r="BQ450" s="29"/>
      <c r="BR450" s="29"/>
      <c r="BS450" s="28" t="str">
        <f aca="false">IF(AND(N(BP450)&gt;0,N(BR450)&gt;0),BR450-BP450,"")</f>
        <v/>
      </c>
      <c r="BT450" s="28" t="str">
        <f aca="false">IF(BS450="","",ROUND(BS450/365.25,2))</f>
        <v/>
      </c>
      <c r="BU450" s="28" t="str">
        <f aca="false">IF(BS450="","",IF(BS450&gt;=730.5,"Yes","No"))</f>
        <v/>
      </c>
      <c r="BV450" s="27"/>
      <c r="BW450" s="29"/>
      <c r="BX450" s="27"/>
      <c r="BY450" s="27"/>
      <c r="BZ450" s="28" t="str">
        <f aca="false">IF(N(E450)=0,"",IF(E450&lt;65,"Under 65","≥65"))</f>
        <v/>
      </c>
      <c r="CA450" s="28" t="str">
        <f aca="false">IF(OR(AC450="Yes",AC450="No"),AC450,"")</f>
        <v/>
      </c>
      <c r="CB450" s="28" t="str">
        <f aca="false">IF(OR(AD450="Yes",AD450="No"),AD450,"")</f>
        <v/>
      </c>
      <c r="CC450" s="28" t="str">
        <f aca="false">IF(F450="","",F450)</f>
        <v/>
      </c>
      <c r="CD450" s="27"/>
      <c r="CE450" s="27"/>
    </row>
    <row r="451" customFormat="false" ht="15" hidden="false" customHeight="false" outlineLevel="0" collapsed="false">
      <c r="A451" s="27"/>
      <c r="B451" s="27"/>
      <c r="C451" s="27"/>
      <c r="D451" s="27"/>
      <c r="E451" s="27"/>
      <c r="F451" s="27"/>
      <c r="G451" s="27"/>
      <c r="H451" s="27"/>
      <c r="I451" s="27"/>
      <c r="J451" s="28" t="str">
        <f aca="false">IF(AND(N(H451)&gt;0,N(I451)&gt;0),ROUND(I451/(H451/100)^2,1),"")</f>
        <v/>
      </c>
      <c r="K451" s="27"/>
      <c r="L451" s="27"/>
      <c r="M451" s="27"/>
      <c r="N451" s="27"/>
      <c r="O451" s="27"/>
      <c r="P451" s="27"/>
      <c r="Q451" s="27"/>
      <c r="R451" s="29"/>
      <c r="S451" s="29"/>
      <c r="T451" s="27"/>
      <c r="U451" s="28" t="str">
        <f aca="false">IF(N(T451)=0,"",IF(T451&lt;12,"Under 12 months",IF(T451&lt;36,"12-35 months",IF(T451&lt;60,"36-59 months","≥60 months"))))</f>
        <v/>
      </c>
      <c r="V451" s="27"/>
      <c r="W451" s="30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9"/>
      <c r="AT451" s="30"/>
      <c r="AU451" s="30"/>
      <c r="AV451" s="30"/>
      <c r="AW451" s="27"/>
      <c r="AX451" s="27"/>
      <c r="AY451" s="29"/>
      <c r="AZ451" s="27"/>
      <c r="BA451" s="27"/>
      <c r="BB451" s="29"/>
      <c r="BC451" s="30"/>
      <c r="BD451" s="30"/>
      <c r="BE451" s="30"/>
      <c r="BF451" s="27"/>
      <c r="BG451" s="27"/>
      <c r="BH451" s="28" t="str">
        <f aca="false">IF(COUNT(BC451:BE451)=0,"",IF(MIN(BC451:BE451)&lt;=-2.5,"Yes","No"))</f>
        <v/>
      </c>
      <c r="BI451" s="27"/>
      <c r="BJ451" s="29"/>
      <c r="BK451" s="27"/>
      <c r="BL451" s="27"/>
      <c r="BM451" s="27"/>
      <c r="BN451" s="28" t="str">
        <f aca="false">IF(OR(AX451="Yes",BI451="Yes"),"Yes",IF(AND(AX451="No",BI451="No"),"No",IF(AND(AX451="",BI451=""),"","Unknown")))</f>
        <v/>
      </c>
      <c r="BO451" s="31" t="str">
        <f aca="false">IF(COUNT(AY451,BJ451)=0,"",MIN(AY451,BJ451))</f>
        <v/>
      </c>
      <c r="BP451" s="29"/>
      <c r="BQ451" s="29"/>
      <c r="BR451" s="29"/>
      <c r="BS451" s="28" t="str">
        <f aca="false">IF(AND(N(BP451)&gt;0,N(BR451)&gt;0),BR451-BP451,"")</f>
        <v/>
      </c>
      <c r="BT451" s="28" t="str">
        <f aca="false">IF(BS451="","",ROUND(BS451/365.25,2))</f>
        <v/>
      </c>
      <c r="BU451" s="28" t="str">
        <f aca="false">IF(BS451="","",IF(BS451&gt;=730.5,"Yes","No"))</f>
        <v/>
      </c>
      <c r="BV451" s="27"/>
      <c r="BW451" s="29"/>
      <c r="BX451" s="27"/>
      <c r="BY451" s="27"/>
      <c r="BZ451" s="28" t="str">
        <f aca="false">IF(N(E451)=0,"",IF(E451&lt;65,"Under 65","≥65"))</f>
        <v/>
      </c>
      <c r="CA451" s="28" t="str">
        <f aca="false">IF(OR(AC451="Yes",AC451="No"),AC451,"")</f>
        <v/>
      </c>
      <c r="CB451" s="28" t="str">
        <f aca="false">IF(OR(AD451="Yes",AD451="No"),AD451,"")</f>
        <v/>
      </c>
      <c r="CC451" s="28" t="str">
        <f aca="false">IF(F451="","",F451)</f>
        <v/>
      </c>
      <c r="CD451" s="27"/>
      <c r="CE451" s="27"/>
    </row>
    <row r="452" customFormat="false" ht="15" hidden="false" customHeight="false" outlineLevel="0" collapsed="false">
      <c r="A452" s="27"/>
      <c r="B452" s="27"/>
      <c r="C452" s="27"/>
      <c r="D452" s="27"/>
      <c r="E452" s="27"/>
      <c r="F452" s="27"/>
      <c r="G452" s="27"/>
      <c r="H452" s="27"/>
      <c r="I452" s="27"/>
      <c r="J452" s="28" t="str">
        <f aca="false">IF(AND(N(H452)&gt;0,N(I452)&gt;0),ROUND(I452/(H452/100)^2,1),"")</f>
        <v/>
      </c>
      <c r="K452" s="27"/>
      <c r="L452" s="27"/>
      <c r="M452" s="27"/>
      <c r="N452" s="27"/>
      <c r="O452" s="27"/>
      <c r="P452" s="27"/>
      <c r="Q452" s="27"/>
      <c r="R452" s="29"/>
      <c r="S452" s="29"/>
      <c r="T452" s="27"/>
      <c r="U452" s="28" t="str">
        <f aca="false">IF(N(T452)=0,"",IF(T452&lt;12,"Under 12 months",IF(T452&lt;36,"12-35 months",IF(T452&lt;60,"36-59 months","≥60 months"))))</f>
        <v/>
      </c>
      <c r="V452" s="27"/>
      <c r="W452" s="30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9"/>
      <c r="AT452" s="30"/>
      <c r="AU452" s="30"/>
      <c r="AV452" s="30"/>
      <c r="AW452" s="27"/>
      <c r="AX452" s="27"/>
      <c r="AY452" s="29"/>
      <c r="AZ452" s="27"/>
      <c r="BA452" s="27"/>
      <c r="BB452" s="29"/>
      <c r="BC452" s="30"/>
      <c r="BD452" s="30"/>
      <c r="BE452" s="30"/>
      <c r="BF452" s="27"/>
      <c r="BG452" s="27"/>
      <c r="BH452" s="28" t="str">
        <f aca="false">IF(COUNT(BC452:BE452)=0,"",IF(MIN(BC452:BE452)&lt;=-2.5,"Yes","No"))</f>
        <v/>
      </c>
      <c r="BI452" s="27"/>
      <c r="BJ452" s="29"/>
      <c r="BK452" s="27"/>
      <c r="BL452" s="27"/>
      <c r="BM452" s="27"/>
      <c r="BN452" s="28" t="str">
        <f aca="false">IF(OR(AX452="Yes",BI452="Yes"),"Yes",IF(AND(AX452="No",BI452="No"),"No",IF(AND(AX452="",BI452=""),"","Unknown")))</f>
        <v/>
      </c>
      <c r="BO452" s="31" t="str">
        <f aca="false">IF(COUNT(AY452,BJ452)=0,"",MIN(AY452,BJ452))</f>
        <v/>
      </c>
      <c r="BP452" s="29"/>
      <c r="BQ452" s="29"/>
      <c r="BR452" s="29"/>
      <c r="BS452" s="28" t="str">
        <f aca="false">IF(AND(N(BP452)&gt;0,N(BR452)&gt;0),BR452-BP452,"")</f>
        <v/>
      </c>
      <c r="BT452" s="28" t="str">
        <f aca="false">IF(BS452="","",ROUND(BS452/365.25,2))</f>
        <v/>
      </c>
      <c r="BU452" s="28" t="str">
        <f aca="false">IF(BS452="","",IF(BS452&gt;=730.5,"Yes","No"))</f>
        <v/>
      </c>
      <c r="BV452" s="27"/>
      <c r="BW452" s="29"/>
      <c r="BX452" s="27"/>
      <c r="BY452" s="27"/>
      <c r="BZ452" s="28" t="str">
        <f aca="false">IF(N(E452)=0,"",IF(E452&lt;65,"Under 65","≥65"))</f>
        <v/>
      </c>
      <c r="CA452" s="28" t="str">
        <f aca="false">IF(OR(AC452="Yes",AC452="No"),AC452,"")</f>
        <v/>
      </c>
      <c r="CB452" s="28" t="str">
        <f aca="false">IF(OR(AD452="Yes",AD452="No"),AD452,"")</f>
        <v/>
      </c>
      <c r="CC452" s="28" t="str">
        <f aca="false">IF(F452="","",F452)</f>
        <v/>
      </c>
      <c r="CD452" s="27"/>
      <c r="CE452" s="27"/>
    </row>
    <row r="453" customFormat="false" ht="15" hidden="false" customHeight="false" outlineLevel="0" collapsed="false">
      <c r="A453" s="27"/>
      <c r="B453" s="27"/>
      <c r="C453" s="27"/>
      <c r="D453" s="27"/>
      <c r="E453" s="27"/>
      <c r="F453" s="27"/>
      <c r="G453" s="27"/>
      <c r="H453" s="27"/>
      <c r="I453" s="27"/>
      <c r="J453" s="28" t="str">
        <f aca="false">IF(AND(N(H453)&gt;0,N(I453)&gt;0),ROUND(I453/(H453/100)^2,1),"")</f>
        <v/>
      </c>
      <c r="K453" s="27"/>
      <c r="L453" s="27"/>
      <c r="M453" s="27"/>
      <c r="N453" s="27"/>
      <c r="O453" s="27"/>
      <c r="P453" s="27"/>
      <c r="Q453" s="27"/>
      <c r="R453" s="29"/>
      <c r="S453" s="29"/>
      <c r="T453" s="27"/>
      <c r="U453" s="28" t="str">
        <f aca="false">IF(N(T453)=0,"",IF(T453&lt;12,"Under 12 months",IF(T453&lt;36,"12-35 months",IF(T453&lt;60,"36-59 months","≥60 months"))))</f>
        <v/>
      </c>
      <c r="V453" s="27"/>
      <c r="W453" s="30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9"/>
      <c r="AT453" s="30"/>
      <c r="AU453" s="30"/>
      <c r="AV453" s="30"/>
      <c r="AW453" s="27"/>
      <c r="AX453" s="27"/>
      <c r="AY453" s="29"/>
      <c r="AZ453" s="27"/>
      <c r="BA453" s="27"/>
      <c r="BB453" s="29"/>
      <c r="BC453" s="30"/>
      <c r="BD453" s="30"/>
      <c r="BE453" s="30"/>
      <c r="BF453" s="27"/>
      <c r="BG453" s="27"/>
      <c r="BH453" s="28" t="str">
        <f aca="false">IF(COUNT(BC453:BE453)=0,"",IF(MIN(BC453:BE453)&lt;=-2.5,"Yes","No"))</f>
        <v/>
      </c>
      <c r="BI453" s="27"/>
      <c r="BJ453" s="29"/>
      <c r="BK453" s="27"/>
      <c r="BL453" s="27"/>
      <c r="BM453" s="27"/>
      <c r="BN453" s="28" t="str">
        <f aca="false">IF(OR(AX453="Yes",BI453="Yes"),"Yes",IF(AND(AX453="No",BI453="No"),"No",IF(AND(AX453="",BI453=""),"","Unknown")))</f>
        <v/>
      </c>
      <c r="BO453" s="31" t="str">
        <f aca="false">IF(COUNT(AY453,BJ453)=0,"",MIN(AY453,BJ453))</f>
        <v/>
      </c>
      <c r="BP453" s="29"/>
      <c r="BQ453" s="29"/>
      <c r="BR453" s="29"/>
      <c r="BS453" s="28" t="str">
        <f aca="false">IF(AND(N(BP453)&gt;0,N(BR453)&gt;0),BR453-BP453,"")</f>
        <v/>
      </c>
      <c r="BT453" s="28" t="str">
        <f aca="false">IF(BS453="","",ROUND(BS453/365.25,2))</f>
        <v/>
      </c>
      <c r="BU453" s="28" t="str">
        <f aca="false">IF(BS453="","",IF(BS453&gt;=730.5,"Yes","No"))</f>
        <v/>
      </c>
      <c r="BV453" s="27"/>
      <c r="BW453" s="29"/>
      <c r="BX453" s="27"/>
      <c r="BY453" s="27"/>
      <c r="BZ453" s="28" t="str">
        <f aca="false">IF(N(E453)=0,"",IF(E453&lt;65,"Under 65","≥65"))</f>
        <v/>
      </c>
      <c r="CA453" s="28" t="str">
        <f aca="false">IF(OR(AC453="Yes",AC453="No"),AC453,"")</f>
        <v/>
      </c>
      <c r="CB453" s="28" t="str">
        <f aca="false">IF(OR(AD453="Yes",AD453="No"),AD453,"")</f>
        <v/>
      </c>
      <c r="CC453" s="28" t="str">
        <f aca="false">IF(F453="","",F453)</f>
        <v/>
      </c>
      <c r="CD453" s="27"/>
      <c r="CE453" s="27"/>
    </row>
    <row r="454" customFormat="false" ht="15" hidden="false" customHeight="false" outlineLevel="0" collapsed="false">
      <c r="A454" s="27"/>
      <c r="B454" s="27"/>
      <c r="C454" s="27"/>
      <c r="D454" s="27"/>
      <c r="E454" s="27"/>
      <c r="F454" s="27"/>
      <c r="G454" s="27"/>
      <c r="H454" s="27"/>
      <c r="I454" s="27"/>
      <c r="J454" s="28" t="str">
        <f aca="false">IF(AND(N(H454)&gt;0,N(I454)&gt;0),ROUND(I454/(H454/100)^2,1),"")</f>
        <v/>
      </c>
      <c r="K454" s="27"/>
      <c r="L454" s="27"/>
      <c r="M454" s="27"/>
      <c r="N454" s="27"/>
      <c r="O454" s="27"/>
      <c r="P454" s="27"/>
      <c r="Q454" s="27"/>
      <c r="R454" s="29"/>
      <c r="S454" s="29"/>
      <c r="T454" s="27"/>
      <c r="U454" s="28" t="str">
        <f aca="false">IF(N(T454)=0,"",IF(T454&lt;12,"Under 12 months",IF(T454&lt;36,"12-35 months",IF(T454&lt;60,"36-59 months","≥60 months"))))</f>
        <v/>
      </c>
      <c r="V454" s="27"/>
      <c r="W454" s="30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9"/>
      <c r="AT454" s="30"/>
      <c r="AU454" s="30"/>
      <c r="AV454" s="30"/>
      <c r="AW454" s="27"/>
      <c r="AX454" s="27"/>
      <c r="AY454" s="29"/>
      <c r="AZ454" s="27"/>
      <c r="BA454" s="27"/>
      <c r="BB454" s="29"/>
      <c r="BC454" s="30"/>
      <c r="BD454" s="30"/>
      <c r="BE454" s="30"/>
      <c r="BF454" s="27"/>
      <c r="BG454" s="27"/>
      <c r="BH454" s="28" t="str">
        <f aca="false">IF(COUNT(BC454:BE454)=0,"",IF(MIN(BC454:BE454)&lt;=-2.5,"Yes","No"))</f>
        <v/>
      </c>
      <c r="BI454" s="27"/>
      <c r="BJ454" s="29"/>
      <c r="BK454" s="27"/>
      <c r="BL454" s="27"/>
      <c r="BM454" s="27"/>
      <c r="BN454" s="28" t="str">
        <f aca="false">IF(OR(AX454="Yes",BI454="Yes"),"Yes",IF(AND(AX454="No",BI454="No"),"No",IF(AND(AX454="",BI454=""),"","Unknown")))</f>
        <v/>
      </c>
      <c r="BO454" s="31" t="str">
        <f aca="false">IF(COUNT(AY454,BJ454)=0,"",MIN(AY454,BJ454))</f>
        <v/>
      </c>
      <c r="BP454" s="29"/>
      <c r="BQ454" s="29"/>
      <c r="BR454" s="29"/>
      <c r="BS454" s="28" t="str">
        <f aca="false">IF(AND(N(BP454)&gt;0,N(BR454)&gt;0),BR454-BP454,"")</f>
        <v/>
      </c>
      <c r="BT454" s="28" t="str">
        <f aca="false">IF(BS454="","",ROUND(BS454/365.25,2))</f>
        <v/>
      </c>
      <c r="BU454" s="28" t="str">
        <f aca="false">IF(BS454="","",IF(BS454&gt;=730.5,"Yes","No"))</f>
        <v/>
      </c>
      <c r="BV454" s="27"/>
      <c r="BW454" s="29"/>
      <c r="BX454" s="27"/>
      <c r="BY454" s="27"/>
      <c r="BZ454" s="28" t="str">
        <f aca="false">IF(N(E454)=0,"",IF(E454&lt;65,"Under 65","≥65"))</f>
        <v/>
      </c>
      <c r="CA454" s="28" t="str">
        <f aca="false">IF(OR(AC454="Yes",AC454="No"),AC454,"")</f>
        <v/>
      </c>
      <c r="CB454" s="28" t="str">
        <f aca="false">IF(OR(AD454="Yes",AD454="No"),AD454,"")</f>
        <v/>
      </c>
      <c r="CC454" s="28" t="str">
        <f aca="false">IF(F454="","",F454)</f>
        <v/>
      </c>
      <c r="CD454" s="27"/>
      <c r="CE454" s="27"/>
    </row>
    <row r="455" customFormat="false" ht="15" hidden="false" customHeight="false" outlineLevel="0" collapsed="false">
      <c r="A455" s="27"/>
      <c r="B455" s="27"/>
      <c r="C455" s="27"/>
      <c r="D455" s="27"/>
      <c r="E455" s="27"/>
      <c r="F455" s="27"/>
      <c r="G455" s="27"/>
      <c r="H455" s="27"/>
      <c r="I455" s="27"/>
      <c r="J455" s="28" t="str">
        <f aca="false">IF(AND(N(H455)&gt;0,N(I455)&gt;0),ROUND(I455/(H455/100)^2,1),"")</f>
        <v/>
      </c>
      <c r="K455" s="27"/>
      <c r="L455" s="27"/>
      <c r="M455" s="27"/>
      <c r="N455" s="27"/>
      <c r="O455" s="27"/>
      <c r="P455" s="27"/>
      <c r="Q455" s="27"/>
      <c r="R455" s="29"/>
      <c r="S455" s="29"/>
      <c r="T455" s="27"/>
      <c r="U455" s="28" t="str">
        <f aca="false">IF(N(T455)=0,"",IF(T455&lt;12,"Under 12 months",IF(T455&lt;36,"12-35 months",IF(T455&lt;60,"36-59 months","≥60 months"))))</f>
        <v/>
      </c>
      <c r="V455" s="27"/>
      <c r="W455" s="30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9"/>
      <c r="AT455" s="30"/>
      <c r="AU455" s="30"/>
      <c r="AV455" s="30"/>
      <c r="AW455" s="27"/>
      <c r="AX455" s="27"/>
      <c r="AY455" s="29"/>
      <c r="AZ455" s="27"/>
      <c r="BA455" s="27"/>
      <c r="BB455" s="29"/>
      <c r="BC455" s="30"/>
      <c r="BD455" s="30"/>
      <c r="BE455" s="30"/>
      <c r="BF455" s="27"/>
      <c r="BG455" s="27"/>
      <c r="BH455" s="28" t="str">
        <f aca="false">IF(COUNT(BC455:BE455)=0,"",IF(MIN(BC455:BE455)&lt;=-2.5,"Yes","No"))</f>
        <v/>
      </c>
      <c r="BI455" s="27"/>
      <c r="BJ455" s="29"/>
      <c r="BK455" s="27"/>
      <c r="BL455" s="27"/>
      <c r="BM455" s="27"/>
      <c r="BN455" s="28" t="str">
        <f aca="false">IF(OR(AX455="Yes",BI455="Yes"),"Yes",IF(AND(AX455="No",BI455="No"),"No",IF(AND(AX455="",BI455=""),"","Unknown")))</f>
        <v/>
      </c>
      <c r="BO455" s="31" t="str">
        <f aca="false">IF(COUNT(AY455,BJ455)=0,"",MIN(AY455,BJ455))</f>
        <v/>
      </c>
      <c r="BP455" s="29"/>
      <c r="BQ455" s="29"/>
      <c r="BR455" s="29"/>
      <c r="BS455" s="28" t="str">
        <f aca="false">IF(AND(N(BP455)&gt;0,N(BR455)&gt;0),BR455-BP455,"")</f>
        <v/>
      </c>
      <c r="BT455" s="28" t="str">
        <f aca="false">IF(BS455="","",ROUND(BS455/365.25,2))</f>
        <v/>
      </c>
      <c r="BU455" s="28" t="str">
        <f aca="false">IF(BS455="","",IF(BS455&gt;=730.5,"Yes","No"))</f>
        <v/>
      </c>
      <c r="BV455" s="27"/>
      <c r="BW455" s="29"/>
      <c r="BX455" s="27"/>
      <c r="BY455" s="27"/>
      <c r="BZ455" s="28" t="str">
        <f aca="false">IF(N(E455)=0,"",IF(E455&lt;65,"Under 65","≥65"))</f>
        <v/>
      </c>
      <c r="CA455" s="28" t="str">
        <f aca="false">IF(OR(AC455="Yes",AC455="No"),AC455,"")</f>
        <v/>
      </c>
      <c r="CB455" s="28" t="str">
        <f aca="false">IF(OR(AD455="Yes",AD455="No"),AD455,"")</f>
        <v/>
      </c>
      <c r="CC455" s="28" t="str">
        <f aca="false">IF(F455="","",F455)</f>
        <v/>
      </c>
      <c r="CD455" s="27"/>
      <c r="CE455" s="27"/>
    </row>
    <row r="456" customFormat="false" ht="15" hidden="false" customHeight="false" outlineLevel="0" collapsed="false">
      <c r="A456" s="27"/>
      <c r="B456" s="27"/>
      <c r="C456" s="27"/>
      <c r="D456" s="27"/>
      <c r="E456" s="27"/>
      <c r="F456" s="27"/>
      <c r="G456" s="27"/>
      <c r="H456" s="27"/>
      <c r="I456" s="27"/>
      <c r="J456" s="28" t="str">
        <f aca="false">IF(AND(N(H456)&gt;0,N(I456)&gt;0),ROUND(I456/(H456/100)^2,1),"")</f>
        <v/>
      </c>
      <c r="K456" s="27"/>
      <c r="L456" s="27"/>
      <c r="M456" s="27"/>
      <c r="N456" s="27"/>
      <c r="O456" s="27"/>
      <c r="P456" s="27"/>
      <c r="Q456" s="27"/>
      <c r="R456" s="29"/>
      <c r="S456" s="29"/>
      <c r="T456" s="27"/>
      <c r="U456" s="28" t="str">
        <f aca="false">IF(N(T456)=0,"",IF(T456&lt;12,"Under 12 months",IF(T456&lt;36,"12-35 months",IF(T456&lt;60,"36-59 months","≥60 months"))))</f>
        <v/>
      </c>
      <c r="V456" s="27"/>
      <c r="W456" s="30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9"/>
      <c r="AT456" s="30"/>
      <c r="AU456" s="30"/>
      <c r="AV456" s="30"/>
      <c r="AW456" s="27"/>
      <c r="AX456" s="27"/>
      <c r="AY456" s="29"/>
      <c r="AZ456" s="27"/>
      <c r="BA456" s="27"/>
      <c r="BB456" s="29"/>
      <c r="BC456" s="30"/>
      <c r="BD456" s="30"/>
      <c r="BE456" s="30"/>
      <c r="BF456" s="27"/>
      <c r="BG456" s="27"/>
      <c r="BH456" s="28" t="str">
        <f aca="false">IF(COUNT(BC456:BE456)=0,"",IF(MIN(BC456:BE456)&lt;=-2.5,"Yes","No"))</f>
        <v/>
      </c>
      <c r="BI456" s="27"/>
      <c r="BJ456" s="29"/>
      <c r="BK456" s="27"/>
      <c r="BL456" s="27"/>
      <c r="BM456" s="27"/>
      <c r="BN456" s="28" t="str">
        <f aca="false">IF(OR(AX456="Yes",BI456="Yes"),"Yes",IF(AND(AX456="No",BI456="No"),"No",IF(AND(AX456="",BI456=""),"","Unknown")))</f>
        <v/>
      </c>
      <c r="BO456" s="31" t="str">
        <f aca="false">IF(COUNT(AY456,BJ456)=0,"",MIN(AY456,BJ456))</f>
        <v/>
      </c>
      <c r="BP456" s="29"/>
      <c r="BQ456" s="29"/>
      <c r="BR456" s="29"/>
      <c r="BS456" s="28" t="str">
        <f aca="false">IF(AND(N(BP456)&gt;0,N(BR456)&gt;0),BR456-BP456,"")</f>
        <v/>
      </c>
      <c r="BT456" s="28" t="str">
        <f aca="false">IF(BS456="","",ROUND(BS456/365.25,2))</f>
        <v/>
      </c>
      <c r="BU456" s="28" t="str">
        <f aca="false">IF(BS456="","",IF(BS456&gt;=730.5,"Yes","No"))</f>
        <v/>
      </c>
      <c r="BV456" s="27"/>
      <c r="BW456" s="29"/>
      <c r="BX456" s="27"/>
      <c r="BY456" s="27"/>
      <c r="BZ456" s="28" t="str">
        <f aca="false">IF(N(E456)=0,"",IF(E456&lt;65,"Under 65","≥65"))</f>
        <v/>
      </c>
      <c r="CA456" s="28" t="str">
        <f aca="false">IF(OR(AC456="Yes",AC456="No"),AC456,"")</f>
        <v/>
      </c>
      <c r="CB456" s="28" t="str">
        <f aca="false">IF(OR(AD456="Yes",AD456="No"),AD456,"")</f>
        <v/>
      </c>
      <c r="CC456" s="28" t="str">
        <f aca="false">IF(F456="","",F456)</f>
        <v/>
      </c>
      <c r="CD456" s="27"/>
      <c r="CE456" s="27"/>
    </row>
    <row r="457" customFormat="false" ht="15" hidden="false" customHeight="false" outlineLevel="0" collapsed="false">
      <c r="A457" s="27"/>
      <c r="B457" s="27"/>
      <c r="C457" s="27"/>
      <c r="D457" s="27"/>
      <c r="E457" s="27"/>
      <c r="F457" s="27"/>
      <c r="G457" s="27"/>
      <c r="H457" s="27"/>
      <c r="I457" s="27"/>
      <c r="J457" s="28" t="str">
        <f aca="false">IF(AND(N(H457)&gt;0,N(I457)&gt;0),ROUND(I457/(H457/100)^2,1),"")</f>
        <v/>
      </c>
      <c r="K457" s="27"/>
      <c r="L457" s="27"/>
      <c r="M457" s="27"/>
      <c r="N457" s="27"/>
      <c r="O457" s="27"/>
      <c r="P457" s="27"/>
      <c r="Q457" s="27"/>
      <c r="R457" s="29"/>
      <c r="S457" s="29"/>
      <c r="T457" s="27"/>
      <c r="U457" s="28" t="str">
        <f aca="false">IF(N(T457)=0,"",IF(T457&lt;12,"Under 12 months",IF(T457&lt;36,"12-35 months",IF(T457&lt;60,"36-59 months","≥60 months"))))</f>
        <v/>
      </c>
      <c r="V457" s="27"/>
      <c r="W457" s="30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9"/>
      <c r="AT457" s="30"/>
      <c r="AU457" s="30"/>
      <c r="AV457" s="30"/>
      <c r="AW457" s="27"/>
      <c r="AX457" s="27"/>
      <c r="AY457" s="29"/>
      <c r="AZ457" s="27"/>
      <c r="BA457" s="27"/>
      <c r="BB457" s="29"/>
      <c r="BC457" s="30"/>
      <c r="BD457" s="30"/>
      <c r="BE457" s="30"/>
      <c r="BF457" s="27"/>
      <c r="BG457" s="27"/>
      <c r="BH457" s="28" t="str">
        <f aca="false">IF(COUNT(BC457:BE457)=0,"",IF(MIN(BC457:BE457)&lt;=-2.5,"Yes","No"))</f>
        <v/>
      </c>
      <c r="BI457" s="27"/>
      <c r="BJ457" s="29"/>
      <c r="BK457" s="27"/>
      <c r="BL457" s="27"/>
      <c r="BM457" s="27"/>
      <c r="BN457" s="28" t="str">
        <f aca="false">IF(OR(AX457="Yes",BI457="Yes"),"Yes",IF(AND(AX457="No",BI457="No"),"No",IF(AND(AX457="",BI457=""),"","Unknown")))</f>
        <v/>
      </c>
      <c r="BO457" s="31" t="str">
        <f aca="false">IF(COUNT(AY457,BJ457)=0,"",MIN(AY457,BJ457))</f>
        <v/>
      </c>
      <c r="BP457" s="29"/>
      <c r="BQ457" s="29"/>
      <c r="BR457" s="29"/>
      <c r="BS457" s="28" t="str">
        <f aca="false">IF(AND(N(BP457)&gt;0,N(BR457)&gt;0),BR457-BP457,"")</f>
        <v/>
      </c>
      <c r="BT457" s="28" t="str">
        <f aca="false">IF(BS457="","",ROUND(BS457/365.25,2))</f>
        <v/>
      </c>
      <c r="BU457" s="28" t="str">
        <f aca="false">IF(BS457="","",IF(BS457&gt;=730.5,"Yes","No"))</f>
        <v/>
      </c>
      <c r="BV457" s="27"/>
      <c r="BW457" s="29"/>
      <c r="BX457" s="27"/>
      <c r="BY457" s="27"/>
      <c r="BZ457" s="28" t="str">
        <f aca="false">IF(N(E457)=0,"",IF(E457&lt;65,"Under 65","≥65"))</f>
        <v/>
      </c>
      <c r="CA457" s="28" t="str">
        <f aca="false">IF(OR(AC457="Yes",AC457="No"),AC457,"")</f>
        <v/>
      </c>
      <c r="CB457" s="28" t="str">
        <f aca="false">IF(OR(AD457="Yes",AD457="No"),AD457,"")</f>
        <v/>
      </c>
      <c r="CC457" s="28" t="str">
        <f aca="false">IF(F457="","",F457)</f>
        <v/>
      </c>
      <c r="CD457" s="27"/>
      <c r="CE457" s="27"/>
    </row>
    <row r="458" customFormat="false" ht="15" hidden="false" customHeight="false" outlineLevel="0" collapsed="false">
      <c r="A458" s="27"/>
      <c r="B458" s="27"/>
      <c r="C458" s="27"/>
      <c r="D458" s="27"/>
      <c r="E458" s="27"/>
      <c r="F458" s="27"/>
      <c r="G458" s="27"/>
      <c r="H458" s="27"/>
      <c r="I458" s="27"/>
      <c r="J458" s="28" t="str">
        <f aca="false">IF(AND(N(H458)&gt;0,N(I458)&gt;0),ROUND(I458/(H458/100)^2,1),"")</f>
        <v/>
      </c>
      <c r="K458" s="27"/>
      <c r="L458" s="27"/>
      <c r="M458" s="27"/>
      <c r="N458" s="27"/>
      <c r="O458" s="27"/>
      <c r="P458" s="27"/>
      <c r="Q458" s="27"/>
      <c r="R458" s="29"/>
      <c r="S458" s="29"/>
      <c r="T458" s="27"/>
      <c r="U458" s="28" t="str">
        <f aca="false">IF(N(T458)=0,"",IF(T458&lt;12,"Under 12 months",IF(T458&lt;36,"12-35 months",IF(T458&lt;60,"36-59 months","≥60 months"))))</f>
        <v/>
      </c>
      <c r="V458" s="27"/>
      <c r="W458" s="30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9"/>
      <c r="AT458" s="30"/>
      <c r="AU458" s="30"/>
      <c r="AV458" s="30"/>
      <c r="AW458" s="27"/>
      <c r="AX458" s="27"/>
      <c r="AY458" s="29"/>
      <c r="AZ458" s="27"/>
      <c r="BA458" s="27"/>
      <c r="BB458" s="29"/>
      <c r="BC458" s="30"/>
      <c r="BD458" s="30"/>
      <c r="BE458" s="30"/>
      <c r="BF458" s="27"/>
      <c r="BG458" s="27"/>
      <c r="BH458" s="28" t="str">
        <f aca="false">IF(COUNT(BC458:BE458)=0,"",IF(MIN(BC458:BE458)&lt;=-2.5,"Yes","No"))</f>
        <v/>
      </c>
      <c r="BI458" s="27"/>
      <c r="BJ458" s="29"/>
      <c r="BK458" s="27"/>
      <c r="BL458" s="27"/>
      <c r="BM458" s="27"/>
      <c r="BN458" s="28" t="str">
        <f aca="false">IF(OR(AX458="Yes",BI458="Yes"),"Yes",IF(AND(AX458="No",BI458="No"),"No",IF(AND(AX458="",BI458=""),"","Unknown")))</f>
        <v/>
      </c>
      <c r="BO458" s="31" t="str">
        <f aca="false">IF(COUNT(AY458,BJ458)=0,"",MIN(AY458,BJ458))</f>
        <v/>
      </c>
      <c r="BP458" s="29"/>
      <c r="BQ458" s="29"/>
      <c r="BR458" s="29"/>
      <c r="BS458" s="28" t="str">
        <f aca="false">IF(AND(N(BP458)&gt;0,N(BR458)&gt;0),BR458-BP458,"")</f>
        <v/>
      </c>
      <c r="BT458" s="28" t="str">
        <f aca="false">IF(BS458="","",ROUND(BS458/365.25,2))</f>
        <v/>
      </c>
      <c r="BU458" s="28" t="str">
        <f aca="false">IF(BS458="","",IF(BS458&gt;=730.5,"Yes","No"))</f>
        <v/>
      </c>
      <c r="BV458" s="27"/>
      <c r="BW458" s="29"/>
      <c r="BX458" s="27"/>
      <c r="BY458" s="27"/>
      <c r="BZ458" s="28" t="str">
        <f aca="false">IF(N(E458)=0,"",IF(E458&lt;65,"Under 65","≥65"))</f>
        <v/>
      </c>
      <c r="CA458" s="28" t="str">
        <f aca="false">IF(OR(AC458="Yes",AC458="No"),AC458,"")</f>
        <v/>
      </c>
      <c r="CB458" s="28" t="str">
        <f aca="false">IF(OR(AD458="Yes",AD458="No"),AD458,"")</f>
        <v/>
      </c>
      <c r="CC458" s="28" t="str">
        <f aca="false">IF(F458="","",F458)</f>
        <v/>
      </c>
      <c r="CD458" s="27"/>
      <c r="CE458" s="27"/>
    </row>
    <row r="459" customFormat="false" ht="15" hidden="false" customHeight="false" outlineLevel="0" collapsed="false">
      <c r="A459" s="27"/>
      <c r="B459" s="27"/>
      <c r="C459" s="27"/>
      <c r="D459" s="27"/>
      <c r="E459" s="27"/>
      <c r="F459" s="27"/>
      <c r="G459" s="27"/>
      <c r="H459" s="27"/>
      <c r="I459" s="27"/>
      <c r="J459" s="28" t="str">
        <f aca="false">IF(AND(N(H459)&gt;0,N(I459)&gt;0),ROUND(I459/(H459/100)^2,1),"")</f>
        <v/>
      </c>
      <c r="K459" s="27"/>
      <c r="L459" s="27"/>
      <c r="M459" s="27"/>
      <c r="N459" s="27"/>
      <c r="O459" s="27"/>
      <c r="P459" s="27"/>
      <c r="Q459" s="27"/>
      <c r="R459" s="29"/>
      <c r="S459" s="29"/>
      <c r="T459" s="27"/>
      <c r="U459" s="28" t="str">
        <f aca="false">IF(N(T459)=0,"",IF(T459&lt;12,"Under 12 months",IF(T459&lt;36,"12-35 months",IF(T459&lt;60,"36-59 months","≥60 months"))))</f>
        <v/>
      </c>
      <c r="V459" s="27"/>
      <c r="W459" s="30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9"/>
      <c r="AT459" s="30"/>
      <c r="AU459" s="30"/>
      <c r="AV459" s="30"/>
      <c r="AW459" s="27"/>
      <c r="AX459" s="27"/>
      <c r="AY459" s="29"/>
      <c r="AZ459" s="27"/>
      <c r="BA459" s="27"/>
      <c r="BB459" s="29"/>
      <c r="BC459" s="30"/>
      <c r="BD459" s="30"/>
      <c r="BE459" s="30"/>
      <c r="BF459" s="27"/>
      <c r="BG459" s="27"/>
      <c r="BH459" s="28" t="str">
        <f aca="false">IF(COUNT(BC459:BE459)=0,"",IF(MIN(BC459:BE459)&lt;=-2.5,"Yes","No"))</f>
        <v/>
      </c>
      <c r="BI459" s="27"/>
      <c r="BJ459" s="29"/>
      <c r="BK459" s="27"/>
      <c r="BL459" s="27"/>
      <c r="BM459" s="27"/>
      <c r="BN459" s="28" t="str">
        <f aca="false">IF(OR(AX459="Yes",BI459="Yes"),"Yes",IF(AND(AX459="No",BI459="No"),"No",IF(AND(AX459="",BI459=""),"","Unknown")))</f>
        <v/>
      </c>
      <c r="BO459" s="31" t="str">
        <f aca="false">IF(COUNT(AY459,BJ459)=0,"",MIN(AY459,BJ459))</f>
        <v/>
      </c>
      <c r="BP459" s="29"/>
      <c r="BQ459" s="29"/>
      <c r="BR459" s="29"/>
      <c r="BS459" s="28" t="str">
        <f aca="false">IF(AND(N(BP459)&gt;0,N(BR459)&gt;0),BR459-BP459,"")</f>
        <v/>
      </c>
      <c r="BT459" s="28" t="str">
        <f aca="false">IF(BS459="","",ROUND(BS459/365.25,2))</f>
        <v/>
      </c>
      <c r="BU459" s="28" t="str">
        <f aca="false">IF(BS459="","",IF(BS459&gt;=730.5,"Yes","No"))</f>
        <v/>
      </c>
      <c r="BV459" s="27"/>
      <c r="BW459" s="29"/>
      <c r="BX459" s="27"/>
      <c r="BY459" s="27"/>
      <c r="BZ459" s="28" t="str">
        <f aca="false">IF(N(E459)=0,"",IF(E459&lt;65,"Under 65","≥65"))</f>
        <v/>
      </c>
      <c r="CA459" s="28" t="str">
        <f aca="false">IF(OR(AC459="Yes",AC459="No"),AC459,"")</f>
        <v/>
      </c>
      <c r="CB459" s="28" t="str">
        <f aca="false">IF(OR(AD459="Yes",AD459="No"),AD459,"")</f>
        <v/>
      </c>
      <c r="CC459" s="28" t="str">
        <f aca="false">IF(F459="","",F459)</f>
        <v/>
      </c>
      <c r="CD459" s="27"/>
      <c r="CE459" s="27"/>
    </row>
    <row r="460" customFormat="false" ht="15" hidden="false" customHeight="false" outlineLevel="0" collapsed="false">
      <c r="A460" s="27"/>
      <c r="B460" s="27"/>
      <c r="C460" s="27"/>
      <c r="D460" s="27"/>
      <c r="E460" s="27"/>
      <c r="F460" s="27"/>
      <c r="G460" s="27"/>
      <c r="H460" s="27"/>
      <c r="I460" s="27"/>
      <c r="J460" s="28" t="str">
        <f aca="false">IF(AND(N(H460)&gt;0,N(I460)&gt;0),ROUND(I460/(H460/100)^2,1),"")</f>
        <v/>
      </c>
      <c r="K460" s="27"/>
      <c r="L460" s="27"/>
      <c r="M460" s="27"/>
      <c r="N460" s="27"/>
      <c r="O460" s="27"/>
      <c r="P460" s="27"/>
      <c r="Q460" s="27"/>
      <c r="R460" s="29"/>
      <c r="S460" s="29"/>
      <c r="T460" s="27"/>
      <c r="U460" s="28" t="str">
        <f aca="false">IF(N(T460)=0,"",IF(T460&lt;12,"Under 12 months",IF(T460&lt;36,"12-35 months",IF(T460&lt;60,"36-59 months","≥60 months"))))</f>
        <v/>
      </c>
      <c r="V460" s="27"/>
      <c r="W460" s="30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9"/>
      <c r="AT460" s="30"/>
      <c r="AU460" s="30"/>
      <c r="AV460" s="30"/>
      <c r="AW460" s="27"/>
      <c r="AX460" s="27"/>
      <c r="AY460" s="29"/>
      <c r="AZ460" s="27"/>
      <c r="BA460" s="27"/>
      <c r="BB460" s="29"/>
      <c r="BC460" s="30"/>
      <c r="BD460" s="30"/>
      <c r="BE460" s="30"/>
      <c r="BF460" s="27"/>
      <c r="BG460" s="27"/>
      <c r="BH460" s="28" t="str">
        <f aca="false">IF(COUNT(BC460:BE460)=0,"",IF(MIN(BC460:BE460)&lt;=-2.5,"Yes","No"))</f>
        <v/>
      </c>
      <c r="BI460" s="27"/>
      <c r="BJ460" s="29"/>
      <c r="BK460" s="27"/>
      <c r="BL460" s="27"/>
      <c r="BM460" s="27"/>
      <c r="BN460" s="28" t="str">
        <f aca="false">IF(OR(AX460="Yes",BI460="Yes"),"Yes",IF(AND(AX460="No",BI460="No"),"No",IF(AND(AX460="",BI460=""),"","Unknown")))</f>
        <v/>
      </c>
      <c r="BO460" s="31" t="str">
        <f aca="false">IF(COUNT(AY460,BJ460)=0,"",MIN(AY460,BJ460))</f>
        <v/>
      </c>
      <c r="BP460" s="29"/>
      <c r="BQ460" s="29"/>
      <c r="BR460" s="29"/>
      <c r="BS460" s="28" t="str">
        <f aca="false">IF(AND(N(BP460)&gt;0,N(BR460)&gt;0),BR460-BP460,"")</f>
        <v/>
      </c>
      <c r="BT460" s="28" t="str">
        <f aca="false">IF(BS460="","",ROUND(BS460/365.25,2))</f>
        <v/>
      </c>
      <c r="BU460" s="28" t="str">
        <f aca="false">IF(BS460="","",IF(BS460&gt;=730.5,"Yes","No"))</f>
        <v/>
      </c>
      <c r="BV460" s="27"/>
      <c r="BW460" s="29"/>
      <c r="BX460" s="27"/>
      <c r="BY460" s="27"/>
      <c r="BZ460" s="28" t="str">
        <f aca="false">IF(N(E460)=0,"",IF(E460&lt;65,"Under 65","≥65"))</f>
        <v/>
      </c>
      <c r="CA460" s="28" t="str">
        <f aca="false">IF(OR(AC460="Yes",AC460="No"),AC460,"")</f>
        <v/>
      </c>
      <c r="CB460" s="28" t="str">
        <f aca="false">IF(OR(AD460="Yes",AD460="No"),AD460,"")</f>
        <v/>
      </c>
      <c r="CC460" s="28" t="str">
        <f aca="false">IF(F460="","",F460)</f>
        <v/>
      </c>
      <c r="CD460" s="27"/>
      <c r="CE460" s="27"/>
    </row>
    <row r="461" customFormat="false" ht="15" hidden="false" customHeight="false" outlineLevel="0" collapsed="false">
      <c r="A461" s="27"/>
      <c r="B461" s="27"/>
      <c r="C461" s="27"/>
      <c r="D461" s="27"/>
      <c r="E461" s="27"/>
      <c r="F461" s="27"/>
      <c r="G461" s="27"/>
      <c r="H461" s="27"/>
      <c r="I461" s="27"/>
      <c r="J461" s="28" t="str">
        <f aca="false">IF(AND(N(H461)&gt;0,N(I461)&gt;0),ROUND(I461/(H461/100)^2,1),"")</f>
        <v/>
      </c>
      <c r="K461" s="27"/>
      <c r="L461" s="27"/>
      <c r="M461" s="27"/>
      <c r="N461" s="27"/>
      <c r="O461" s="27"/>
      <c r="P461" s="27"/>
      <c r="Q461" s="27"/>
      <c r="R461" s="29"/>
      <c r="S461" s="29"/>
      <c r="T461" s="27"/>
      <c r="U461" s="28" t="str">
        <f aca="false">IF(N(T461)=0,"",IF(T461&lt;12,"Under 12 months",IF(T461&lt;36,"12-35 months",IF(T461&lt;60,"36-59 months","≥60 months"))))</f>
        <v/>
      </c>
      <c r="V461" s="27"/>
      <c r="W461" s="30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9"/>
      <c r="AT461" s="30"/>
      <c r="AU461" s="30"/>
      <c r="AV461" s="30"/>
      <c r="AW461" s="27"/>
      <c r="AX461" s="27"/>
      <c r="AY461" s="29"/>
      <c r="AZ461" s="27"/>
      <c r="BA461" s="27"/>
      <c r="BB461" s="29"/>
      <c r="BC461" s="30"/>
      <c r="BD461" s="30"/>
      <c r="BE461" s="30"/>
      <c r="BF461" s="27"/>
      <c r="BG461" s="27"/>
      <c r="BH461" s="28" t="str">
        <f aca="false">IF(COUNT(BC461:BE461)=0,"",IF(MIN(BC461:BE461)&lt;=-2.5,"Yes","No"))</f>
        <v/>
      </c>
      <c r="BI461" s="27"/>
      <c r="BJ461" s="29"/>
      <c r="BK461" s="27"/>
      <c r="BL461" s="27"/>
      <c r="BM461" s="27"/>
      <c r="BN461" s="28" t="str">
        <f aca="false">IF(OR(AX461="Yes",BI461="Yes"),"Yes",IF(AND(AX461="No",BI461="No"),"No",IF(AND(AX461="",BI461=""),"","Unknown")))</f>
        <v/>
      </c>
      <c r="BO461" s="31" t="str">
        <f aca="false">IF(COUNT(AY461,BJ461)=0,"",MIN(AY461,BJ461))</f>
        <v/>
      </c>
      <c r="BP461" s="29"/>
      <c r="BQ461" s="29"/>
      <c r="BR461" s="29"/>
      <c r="BS461" s="28" t="str">
        <f aca="false">IF(AND(N(BP461)&gt;0,N(BR461)&gt;0),BR461-BP461,"")</f>
        <v/>
      </c>
      <c r="BT461" s="28" t="str">
        <f aca="false">IF(BS461="","",ROUND(BS461/365.25,2))</f>
        <v/>
      </c>
      <c r="BU461" s="28" t="str">
        <f aca="false">IF(BS461="","",IF(BS461&gt;=730.5,"Yes","No"))</f>
        <v/>
      </c>
      <c r="BV461" s="27"/>
      <c r="BW461" s="29"/>
      <c r="BX461" s="27"/>
      <c r="BY461" s="27"/>
      <c r="BZ461" s="28" t="str">
        <f aca="false">IF(N(E461)=0,"",IF(E461&lt;65,"Under 65","≥65"))</f>
        <v/>
      </c>
      <c r="CA461" s="28" t="str">
        <f aca="false">IF(OR(AC461="Yes",AC461="No"),AC461,"")</f>
        <v/>
      </c>
      <c r="CB461" s="28" t="str">
        <f aca="false">IF(OR(AD461="Yes",AD461="No"),AD461,"")</f>
        <v/>
      </c>
      <c r="CC461" s="28" t="str">
        <f aca="false">IF(F461="","",F461)</f>
        <v/>
      </c>
      <c r="CD461" s="27"/>
      <c r="CE461" s="27"/>
    </row>
    <row r="462" customFormat="false" ht="15" hidden="false" customHeight="false" outlineLevel="0" collapsed="false">
      <c r="A462" s="27"/>
      <c r="B462" s="27"/>
      <c r="C462" s="27"/>
      <c r="D462" s="27"/>
      <c r="E462" s="27"/>
      <c r="F462" s="27"/>
      <c r="G462" s="27"/>
      <c r="H462" s="27"/>
      <c r="I462" s="27"/>
      <c r="J462" s="28" t="str">
        <f aca="false">IF(AND(N(H462)&gt;0,N(I462)&gt;0),ROUND(I462/(H462/100)^2,1),"")</f>
        <v/>
      </c>
      <c r="K462" s="27"/>
      <c r="L462" s="27"/>
      <c r="M462" s="27"/>
      <c r="N462" s="27"/>
      <c r="O462" s="27"/>
      <c r="P462" s="27"/>
      <c r="Q462" s="27"/>
      <c r="R462" s="29"/>
      <c r="S462" s="29"/>
      <c r="T462" s="27"/>
      <c r="U462" s="28" t="str">
        <f aca="false">IF(N(T462)=0,"",IF(T462&lt;12,"Under 12 months",IF(T462&lt;36,"12-35 months",IF(T462&lt;60,"36-59 months","≥60 months"))))</f>
        <v/>
      </c>
      <c r="V462" s="27"/>
      <c r="W462" s="30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9"/>
      <c r="AT462" s="30"/>
      <c r="AU462" s="30"/>
      <c r="AV462" s="30"/>
      <c r="AW462" s="27"/>
      <c r="AX462" s="27"/>
      <c r="AY462" s="29"/>
      <c r="AZ462" s="27"/>
      <c r="BA462" s="27"/>
      <c r="BB462" s="29"/>
      <c r="BC462" s="30"/>
      <c r="BD462" s="30"/>
      <c r="BE462" s="30"/>
      <c r="BF462" s="27"/>
      <c r="BG462" s="27"/>
      <c r="BH462" s="28" t="str">
        <f aca="false">IF(COUNT(BC462:BE462)=0,"",IF(MIN(BC462:BE462)&lt;=-2.5,"Yes","No"))</f>
        <v/>
      </c>
      <c r="BI462" s="27"/>
      <c r="BJ462" s="29"/>
      <c r="BK462" s="27"/>
      <c r="BL462" s="27"/>
      <c r="BM462" s="27"/>
      <c r="BN462" s="28" t="str">
        <f aca="false">IF(OR(AX462="Yes",BI462="Yes"),"Yes",IF(AND(AX462="No",BI462="No"),"No",IF(AND(AX462="",BI462=""),"","Unknown")))</f>
        <v/>
      </c>
      <c r="BO462" s="31" t="str">
        <f aca="false">IF(COUNT(AY462,BJ462)=0,"",MIN(AY462,BJ462))</f>
        <v/>
      </c>
      <c r="BP462" s="29"/>
      <c r="BQ462" s="29"/>
      <c r="BR462" s="29"/>
      <c r="BS462" s="28" t="str">
        <f aca="false">IF(AND(N(BP462)&gt;0,N(BR462)&gt;0),BR462-BP462,"")</f>
        <v/>
      </c>
      <c r="BT462" s="28" t="str">
        <f aca="false">IF(BS462="","",ROUND(BS462/365.25,2))</f>
        <v/>
      </c>
      <c r="BU462" s="28" t="str">
        <f aca="false">IF(BS462="","",IF(BS462&gt;=730.5,"Yes","No"))</f>
        <v/>
      </c>
      <c r="BV462" s="27"/>
      <c r="BW462" s="29"/>
      <c r="BX462" s="27"/>
      <c r="BY462" s="27"/>
      <c r="BZ462" s="28" t="str">
        <f aca="false">IF(N(E462)=0,"",IF(E462&lt;65,"Under 65","≥65"))</f>
        <v/>
      </c>
      <c r="CA462" s="28" t="str">
        <f aca="false">IF(OR(AC462="Yes",AC462="No"),AC462,"")</f>
        <v/>
      </c>
      <c r="CB462" s="28" t="str">
        <f aca="false">IF(OR(AD462="Yes",AD462="No"),AD462,"")</f>
        <v/>
      </c>
      <c r="CC462" s="28" t="str">
        <f aca="false">IF(F462="","",F462)</f>
        <v/>
      </c>
      <c r="CD462" s="27"/>
      <c r="CE462" s="27"/>
    </row>
    <row r="463" customFormat="false" ht="15" hidden="false" customHeight="false" outlineLevel="0" collapsed="false">
      <c r="A463" s="27"/>
      <c r="B463" s="27"/>
      <c r="C463" s="27"/>
      <c r="D463" s="27"/>
      <c r="E463" s="27"/>
      <c r="F463" s="27"/>
      <c r="G463" s="27"/>
      <c r="H463" s="27"/>
      <c r="I463" s="27"/>
      <c r="J463" s="28" t="str">
        <f aca="false">IF(AND(N(H463)&gt;0,N(I463)&gt;0),ROUND(I463/(H463/100)^2,1),"")</f>
        <v/>
      </c>
      <c r="K463" s="27"/>
      <c r="L463" s="27"/>
      <c r="M463" s="27"/>
      <c r="N463" s="27"/>
      <c r="O463" s="27"/>
      <c r="P463" s="27"/>
      <c r="Q463" s="27"/>
      <c r="R463" s="29"/>
      <c r="S463" s="29"/>
      <c r="T463" s="27"/>
      <c r="U463" s="28" t="str">
        <f aca="false">IF(N(T463)=0,"",IF(T463&lt;12,"Under 12 months",IF(T463&lt;36,"12-35 months",IF(T463&lt;60,"36-59 months","≥60 months"))))</f>
        <v/>
      </c>
      <c r="V463" s="27"/>
      <c r="W463" s="30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9"/>
      <c r="AT463" s="30"/>
      <c r="AU463" s="30"/>
      <c r="AV463" s="30"/>
      <c r="AW463" s="27"/>
      <c r="AX463" s="27"/>
      <c r="AY463" s="29"/>
      <c r="AZ463" s="27"/>
      <c r="BA463" s="27"/>
      <c r="BB463" s="29"/>
      <c r="BC463" s="30"/>
      <c r="BD463" s="30"/>
      <c r="BE463" s="30"/>
      <c r="BF463" s="27"/>
      <c r="BG463" s="27"/>
      <c r="BH463" s="28" t="str">
        <f aca="false">IF(COUNT(BC463:BE463)=0,"",IF(MIN(BC463:BE463)&lt;=-2.5,"Yes","No"))</f>
        <v/>
      </c>
      <c r="BI463" s="27"/>
      <c r="BJ463" s="29"/>
      <c r="BK463" s="27"/>
      <c r="BL463" s="27"/>
      <c r="BM463" s="27"/>
      <c r="BN463" s="28" t="str">
        <f aca="false">IF(OR(AX463="Yes",BI463="Yes"),"Yes",IF(AND(AX463="No",BI463="No"),"No",IF(AND(AX463="",BI463=""),"","Unknown")))</f>
        <v/>
      </c>
      <c r="BO463" s="31" t="str">
        <f aca="false">IF(COUNT(AY463,BJ463)=0,"",MIN(AY463,BJ463))</f>
        <v/>
      </c>
      <c r="BP463" s="29"/>
      <c r="BQ463" s="29"/>
      <c r="BR463" s="29"/>
      <c r="BS463" s="28" t="str">
        <f aca="false">IF(AND(N(BP463)&gt;0,N(BR463)&gt;0),BR463-BP463,"")</f>
        <v/>
      </c>
      <c r="BT463" s="28" t="str">
        <f aca="false">IF(BS463="","",ROUND(BS463/365.25,2))</f>
        <v/>
      </c>
      <c r="BU463" s="28" t="str">
        <f aca="false">IF(BS463="","",IF(BS463&gt;=730.5,"Yes","No"))</f>
        <v/>
      </c>
      <c r="BV463" s="27"/>
      <c r="BW463" s="29"/>
      <c r="BX463" s="27"/>
      <c r="BY463" s="27"/>
      <c r="BZ463" s="28" t="str">
        <f aca="false">IF(N(E463)=0,"",IF(E463&lt;65,"Under 65","≥65"))</f>
        <v/>
      </c>
      <c r="CA463" s="28" t="str">
        <f aca="false">IF(OR(AC463="Yes",AC463="No"),AC463,"")</f>
        <v/>
      </c>
      <c r="CB463" s="28" t="str">
        <f aca="false">IF(OR(AD463="Yes",AD463="No"),AD463,"")</f>
        <v/>
      </c>
      <c r="CC463" s="28" t="str">
        <f aca="false">IF(F463="","",F463)</f>
        <v/>
      </c>
      <c r="CD463" s="27"/>
      <c r="CE463" s="27"/>
    </row>
    <row r="464" customFormat="false" ht="15" hidden="false" customHeight="false" outlineLevel="0" collapsed="false">
      <c r="A464" s="27"/>
      <c r="B464" s="27"/>
      <c r="C464" s="27"/>
      <c r="D464" s="27"/>
      <c r="E464" s="27"/>
      <c r="F464" s="27"/>
      <c r="G464" s="27"/>
      <c r="H464" s="27"/>
      <c r="I464" s="27"/>
      <c r="J464" s="28" t="str">
        <f aca="false">IF(AND(N(H464)&gt;0,N(I464)&gt;0),ROUND(I464/(H464/100)^2,1),"")</f>
        <v/>
      </c>
      <c r="K464" s="27"/>
      <c r="L464" s="27"/>
      <c r="M464" s="27"/>
      <c r="N464" s="27"/>
      <c r="O464" s="27"/>
      <c r="P464" s="27"/>
      <c r="Q464" s="27"/>
      <c r="R464" s="29"/>
      <c r="S464" s="29"/>
      <c r="T464" s="27"/>
      <c r="U464" s="28" t="str">
        <f aca="false">IF(N(T464)=0,"",IF(T464&lt;12,"Under 12 months",IF(T464&lt;36,"12-35 months",IF(T464&lt;60,"36-59 months","≥60 months"))))</f>
        <v/>
      </c>
      <c r="V464" s="27"/>
      <c r="W464" s="30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9"/>
      <c r="AT464" s="30"/>
      <c r="AU464" s="30"/>
      <c r="AV464" s="30"/>
      <c r="AW464" s="27"/>
      <c r="AX464" s="27"/>
      <c r="AY464" s="29"/>
      <c r="AZ464" s="27"/>
      <c r="BA464" s="27"/>
      <c r="BB464" s="29"/>
      <c r="BC464" s="30"/>
      <c r="BD464" s="30"/>
      <c r="BE464" s="30"/>
      <c r="BF464" s="27"/>
      <c r="BG464" s="27"/>
      <c r="BH464" s="28" t="str">
        <f aca="false">IF(COUNT(BC464:BE464)=0,"",IF(MIN(BC464:BE464)&lt;=-2.5,"Yes","No"))</f>
        <v/>
      </c>
      <c r="BI464" s="27"/>
      <c r="BJ464" s="29"/>
      <c r="BK464" s="27"/>
      <c r="BL464" s="27"/>
      <c r="BM464" s="27"/>
      <c r="BN464" s="28" t="str">
        <f aca="false">IF(OR(AX464="Yes",BI464="Yes"),"Yes",IF(AND(AX464="No",BI464="No"),"No",IF(AND(AX464="",BI464=""),"","Unknown")))</f>
        <v/>
      </c>
      <c r="BO464" s="31" t="str">
        <f aca="false">IF(COUNT(AY464,BJ464)=0,"",MIN(AY464,BJ464))</f>
        <v/>
      </c>
      <c r="BP464" s="29"/>
      <c r="BQ464" s="29"/>
      <c r="BR464" s="29"/>
      <c r="BS464" s="28" t="str">
        <f aca="false">IF(AND(N(BP464)&gt;0,N(BR464)&gt;0),BR464-BP464,"")</f>
        <v/>
      </c>
      <c r="BT464" s="28" t="str">
        <f aca="false">IF(BS464="","",ROUND(BS464/365.25,2))</f>
        <v/>
      </c>
      <c r="BU464" s="28" t="str">
        <f aca="false">IF(BS464="","",IF(BS464&gt;=730.5,"Yes","No"))</f>
        <v/>
      </c>
      <c r="BV464" s="27"/>
      <c r="BW464" s="29"/>
      <c r="BX464" s="27"/>
      <c r="BY464" s="27"/>
      <c r="BZ464" s="28" t="str">
        <f aca="false">IF(N(E464)=0,"",IF(E464&lt;65,"Under 65","≥65"))</f>
        <v/>
      </c>
      <c r="CA464" s="28" t="str">
        <f aca="false">IF(OR(AC464="Yes",AC464="No"),AC464,"")</f>
        <v/>
      </c>
      <c r="CB464" s="28" t="str">
        <f aca="false">IF(OR(AD464="Yes",AD464="No"),AD464,"")</f>
        <v/>
      </c>
      <c r="CC464" s="28" t="str">
        <f aca="false">IF(F464="","",F464)</f>
        <v/>
      </c>
      <c r="CD464" s="27"/>
      <c r="CE464" s="27"/>
    </row>
    <row r="465" customFormat="false" ht="15" hidden="false" customHeight="false" outlineLevel="0" collapsed="false">
      <c r="A465" s="27"/>
      <c r="B465" s="27"/>
      <c r="C465" s="27"/>
      <c r="D465" s="27"/>
      <c r="E465" s="27"/>
      <c r="F465" s="27"/>
      <c r="G465" s="27"/>
      <c r="H465" s="27"/>
      <c r="I465" s="27"/>
      <c r="J465" s="28" t="str">
        <f aca="false">IF(AND(N(H465)&gt;0,N(I465)&gt;0),ROUND(I465/(H465/100)^2,1),"")</f>
        <v/>
      </c>
      <c r="K465" s="27"/>
      <c r="L465" s="27"/>
      <c r="M465" s="27"/>
      <c r="N465" s="27"/>
      <c r="O465" s="27"/>
      <c r="P465" s="27"/>
      <c r="Q465" s="27"/>
      <c r="R465" s="29"/>
      <c r="S465" s="29"/>
      <c r="T465" s="27"/>
      <c r="U465" s="28" t="str">
        <f aca="false">IF(N(T465)=0,"",IF(T465&lt;12,"Under 12 months",IF(T465&lt;36,"12-35 months",IF(T465&lt;60,"36-59 months","≥60 months"))))</f>
        <v/>
      </c>
      <c r="V465" s="27"/>
      <c r="W465" s="30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9"/>
      <c r="AT465" s="30"/>
      <c r="AU465" s="30"/>
      <c r="AV465" s="30"/>
      <c r="AW465" s="27"/>
      <c r="AX465" s="27"/>
      <c r="AY465" s="29"/>
      <c r="AZ465" s="27"/>
      <c r="BA465" s="27"/>
      <c r="BB465" s="29"/>
      <c r="BC465" s="30"/>
      <c r="BD465" s="30"/>
      <c r="BE465" s="30"/>
      <c r="BF465" s="27"/>
      <c r="BG465" s="27"/>
      <c r="BH465" s="28" t="str">
        <f aca="false">IF(COUNT(BC465:BE465)=0,"",IF(MIN(BC465:BE465)&lt;=-2.5,"Yes","No"))</f>
        <v/>
      </c>
      <c r="BI465" s="27"/>
      <c r="BJ465" s="29"/>
      <c r="BK465" s="27"/>
      <c r="BL465" s="27"/>
      <c r="BM465" s="27"/>
      <c r="BN465" s="28" t="str">
        <f aca="false">IF(OR(AX465="Yes",BI465="Yes"),"Yes",IF(AND(AX465="No",BI465="No"),"No",IF(AND(AX465="",BI465=""),"","Unknown")))</f>
        <v/>
      </c>
      <c r="BO465" s="31" t="str">
        <f aca="false">IF(COUNT(AY465,BJ465)=0,"",MIN(AY465,BJ465))</f>
        <v/>
      </c>
      <c r="BP465" s="29"/>
      <c r="BQ465" s="29"/>
      <c r="BR465" s="29"/>
      <c r="BS465" s="28" t="str">
        <f aca="false">IF(AND(N(BP465)&gt;0,N(BR465)&gt;0),BR465-BP465,"")</f>
        <v/>
      </c>
      <c r="BT465" s="28" t="str">
        <f aca="false">IF(BS465="","",ROUND(BS465/365.25,2))</f>
        <v/>
      </c>
      <c r="BU465" s="28" t="str">
        <f aca="false">IF(BS465="","",IF(BS465&gt;=730.5,"Yes","No"))</f>
        <v/>
      </c>
      <c r="BV465" s="27"/>
      <c r="BW465" s="29"/>
      <c r="BX465" s="27"/>
      <c r="BY465" s="27"/>
      <c r="BZ465" s="28" t="str">
        <f aca="false">IF(N(E465)=0,"",IF(E465&lt;65,"Under 65","≥65"))</f>
        <v/>
      </c>
      <c r="CA465" s="28" t="str">
        <f aca="false">IF(OR(AC465="Yes",AC465="No"),AC465,"")</f>
        <v/>
      </c>
      <c r="CB465" s="28" t="str">
        <f aca="false">IF(OR(AD465="Yes",AD465="No"),AD465,"")</f>
        <v/>
      </c>
      <c r="CC465" s="28" t="str">
        <f aca="false">IF(F465="","",F465)</f>
        <v/>
      </c>
      <c r="CD465" s="27"/>
      <c r="CE465" s="27"/>
    </row>
    <row r="466" customFormat="false" ht="15" hidden="false" customHeight="false" outlineLevel="0" collapsed="false">
      <c r="A466" s="27"/>
      <c r="B466" s="27"/>
      <c r="C466" s="27"/>
      <c r="D466" s="27"/>
      <c r="E466" s="27"/>
      <c r="F466" s="27"/>
      <c r="G466" s="27"/>
      <c r="H466" s="27"/>
      <c r="I466" s="27"/>
      <c r="J466" s="28" t="str">
        <f aca="false">IF(AND(N(H466)&gt;0,N(I466)&gt;0),ROUND(I466/(H466/100)^2,1),"")</f>
        <v/>
      </c>
      <c r="K466" s="27"/>
      <c r="L466" s="27"/>
      <c r="M466" s="27"/>
      <c r="N466" s="27"/>
      <c r="O466" s="27"/>
      <c r="P466" s="27"/>
      <c r="Q466" s="27"/>
      <c r="R466" s="29"/>
      <c r="S466" s="29"/>
      <c r="T466" s="27"/>
      <c r="U466" s="28" t="str">
        <f aca="false">IF(N(T466)=0,"",IF(T466&lt;12,"Under 12 months",IF(T466&lt;36,"12-35 months",IF(T466&lt;60,"36-59 months","≥60 months"))))</f>
        <v/>
      </c>
      <c r="V466" s="27"/>
      <c r="W466" s="30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9"/>
      <c r="AT466" s="30"/>
      <c r="AU466" s="30"/>
      <c r="AV466" s="30"/>
      <c r="AW466" s="27"/>
      <c r="AX466" s="27"/>
      <c r="AY466" s="29"/>
      <c r="AZ466" s="27"/>
      <c r="BA466" s="27"/>
      <c r="BB466" s="29"/>
      <c r="BC466" s="30"/>
      <c r="BD466" s="30"/>
      <c r="BE466" s="30"/>
      <c r="BF466" s="27"/>
      <c r="BG466" s="27"/>
      <c r="BH466" s="28" t="str">
        <f aca="false">IF(COUNT(BC466:BE466)=0,"",IF(MIN(BC466:BE466)&lt;=-2.5,"Yes","No"))</f>
        <v/>
      </c>
      <c r="BI466" s="27"/>
      <c r="BJ466" s="29"/>
      <c r="BK466" s="27"/>
      <c r="BL466" s="27"/>
      <c r="BM466" s="27"/>
      <c r="BN466" s="28" t="str">
        <f aca="false">IF(OR(AX466="Yes",BI466="Yes"),"Yes",IF(AND(AX466="No",BI466="No"),"No",IF(AND(AX466="",BI466=""),"","Unknown")))</f>
        <v/>
      </c>
      <c r="BO466" s="31" t="str">
        <f aca="false">IF(COUNT(AY466,BJ466)=0,"",MIN(AY466,BJ466))</f>
        <v/>
      </c>
      <c r="BP466" s="29"/>
      <c r="BQ466" s="29"/>
      <c r="BR466" s="29"/>
      <c r="BS466" s="28" t="str">
        <f aca="false">IF(AND(N(BP466)&gt;0,N(BR466)&gt;0),BR466-BP466,"")</f>
        <v/>
      </c>
      <c r="BT466" s="28" t="str">
        <f aca="false">IF(BS466="","",ROUND(BS466/365.25,2))</f>
        <v/>
      </c>
      <c r="BU466" s="28" t="str">
        <f aca="false">IF(BS466="","",IF(BS466&gt;=730.5,"Yes","No"))</f>
        <v/>
      </c>
      <c r="BV466" s="27"/>
      <c r="BW466" s="29"/>
      <c r="BX466" s="27"/>
      <c r="BY466" s="27"/>
      <c r="BZ466" s="28" t="str">
        <f aca="false">IF(N(E466)=0,"",IF(E466&lt;65,"Under 65","≥65"))</f>
        <v/>
      </c>
      <c r="CA466" s="28" t="str">
        <f aca="false">IF(OR(AC466="Yes",AC466="No"),AC466,"")</f>
        <v/>
      </c>
      <c r="CB466" s="28" t="str">
        <f aca="false">IF(OR(AD466="Yes",AD466="No"),AD466,"")</f>
        <v/>
      </c>
      <c r="CC466" s="28" t="str">
        <f aca="false">IF(F466="","",F466)</f>
        <v/>
      </c>
      <c r="CD466" s="27"/>
      <c r="CE466" s="27"/>
    </row>
    <row r="467" customFormat="false" ht="15" hidden="false" customHeight="false" outlineLevel="0" collapsed="false">
      <c r="A467" s="27"/>
      <c r="B467" s="27"/>
      <c r="C467" s="27"/>
      <c r="D467" s="27"/>
      <c r="E467" s="27"/>
      <c r="F467" s="27"/>
      <c r="G467" s="27"/>
      <c r="H467" s="27"/>
      <c r="I467" s="27"/>
      <c r="J467" s="28" t="str">
        <f aca="false">IF(AND(N(H467)&gt;0,N(I467)&gt;0),ROUND(I467/(H467/100)^2,1),"")</f>
        <v/>
      </c>
      <c r="K467" s="27"/>
      <c r="L467" s="27"/>
      <c r="M467" s="27"/>
      <c r="N467" s="27"/>
      <c r="O467" s="27"/>
      <c r="P467" s="27"/>
      <c r="Q467" s="27"/>
      <c r="R467" s="29"/>
      <c r="S467" s="29"/>
      <c r="T467" s="27"/>
      <c r="U467" s="28" t="str">
        <f aca="false">IF(N(T467)=0,"",IF(T467&lt;12,"Under 12 months",IF(T467&lt;36,"12-35 months",IF(T467&lt;60,"36-59 months","≥60 months"))))</f>
        <v/>
      </c>
      <c r="V467" s="27"/>
      <c r="W467" s="30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9"/>
      <c r="AT467" s="30"/>
      <c r="AU467" s="30"/>
      <c r="AV467" s="30"/>
      <c r="AW467" s="27"/>
      <c r="AX467" s="27"/>
      <c r="AY467" s="29"/>
      <c r="AZ467" s="27"/>
      <c r="BA467" s="27"/>
      <c r="BB467" s="29"/>
      <c r="BC467" s="30"/>
      <c r="BD467" s="30"/>
      <c r="BE467" s="30"/>
      <c r="BF467" s="27"/>
      <c r="BG467" s="27"/>
      <c r="BH467" s="28" t="str">
        <f aca="false">IF(COUNT(BC467:BE467)=0,"",IF(MIN(BC467:BE467)&lt;=-2.5,"Yes","No"))</f>
        <v/>
      </c>
      <c r="BI467" s="27"/>
      <c r="BJ467" s="29"/>
      <c r="BK467" s="27"/>
      <c r="BL467" s="27"/>
      <c r="BM467" s="27"/>
      <c r="BN467" s="28" t="str">
        <f aca="false">IF(OR(AX467="Yes",BI467="Yes"),"Yes",IF(AND(AX467="No",BI467="No"),"No",IF(AND(AX467="",BI467=""),"","Unknown")))</f>
        <v/>
      </c>
      <c r="BO467" s="31" t="str">
        <f aca="false">IF(COUNT(AY467,BJ467)=0,"",MIN(AY467,BJ467))</f>
        <v/>
      </c>
      <c r="BP467" s="29"/>
      <c r="BQ467" s="29"/>
      <c r="BR467" s="29"/>
      <c r="BS467" s="28" t="str">
        <f aca="false">IF(AND(N(BP467)&gt;0,N(BR467)&gt;0),BR467-BP467,"")</f>
        <v/>
      </c>
      <c r="BT467" s="28" t="str">
        <f aca="false">IF(BS467="","",ROUND(BS467/365.25,2))</f>
        <v/>
      </c>
      <c r="BU467" s="28" t="str">
        <f aca="false">IF(BS467="","",IF(BS467&gt;=730.5,"Yes","No"))</f>
        <v/>
      </c>
      <c r="BV467" s="27"/>
      <c r="BW467" s="29"/>
      <c r="BX467" s="27"/>
      <c r="BY467" s="27"/>
      <c r="BZ467" s="28" t="str">
        <f aca="false">IF(N(E467)=0,"",IF(E467&lt;65,"Under 65","≥65"))</f>
        <v/>
      </c>
      <c r="CA467" s="28" t="str">
        <f aca="false">IF(OR(AC467="Yes",AC467="No"),AC467,"")</f>
        <v/>
      </c>
      <c r="CB467" s="28" t="str">
        <f aca="false">IF(OR(AD467="Yes",AD467="No"),AD467,"")</f>
        <v/>
      </c>
      <c r="CC467" s="28" t="str">
        <f aca="false">IF(F467="","",F467)</f>
        <v/>
      </c>
      <c r="CD467" s="27"/>
      <c r="CE467" s="27"/>
    </row>
    <row r="468" customFormat="false" ht="15" hidden="false" customHeight="false" outlineLevel="0" collapsed="false">
      <c r="A468" s="27"/>
      <c r="B468" s="27"/>
      <c r="C468" s="27"/>
      <c r="D468" s="27"/>
      <c r="E468" s="27"/>
      <c r="F468" s="27"/>
      <c r="G468" s="27"/>
      <c r="H468" s="27"/>
      <c r="I468" s="27"/>
      <c r="J468" s="28" t="str">
        <f aca="false">IF(AND(N(H468)&gt;0,N(I468)&gt;0),ROUND(I468/(H468/100)^2,1),"")</f>
        <v/>
      </c>
      <c r="K468" s="27"/>
      <c r="L468" s="27"/>
      <c r="M468" s="27"/>
      <c r="N468" s="27"/>
      <c r="O468" s="27"/>
      <c r="P468" s="27"/>
      <c r="Q468" s="27"/>
      <c r="R468" s="29"/>
      <c r="S468" s="29"/>
      <c r="T468" s="27"/>
      <c r="U468" s="28" t="str">
        <f aca="false">IF(N(T468)=0,"",IF(T468&lt;12,"Under 12 months",IF(T468&lt;36,"12-35 months",IF(T468&lt;60,"36-59 months","≥60 months"))))</f>
        <v/>
      </c>
      <c r="V468" s="27"/>
      <c r="W468" s="30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9"/>
      <c r="AT468" s="30"/>
      <c r="AU468" s="30"/>
      <c r="AV468" s="30"/>
      <c r="AW468" s="27"/>
      <c r="AX468" s="27"/>
      <c r="AY468" s="29"/>
      <c r="AZ468" s="27"/>
      <c r="BA468" s="27"/>
      <c r="BB468" s="29"/>
      <c r="BC468" s="30"/>
      <c r="BD468" s="30"/>
      <c r="BE468" s="30"/>
      <c r="BF468" s="27"/>
      <c r="BG468" s="27"/>
      <c r="BH468" s="28" t="str">
        <f aca="false">IF(COUNT(BC468:BE468)=0,"",IF(MIN(BC468:BE468)&lt;=-2.5,"Yes","No"))</f>
        <v/>
      </c>
      <c r="BI468" s="27"/>
      <c r="BJ468" s="29"/>
      <c r="BK468" s="27"/>
      <c r="BL468" s="27"/>
      <c r="BM468" s="27"/>
      <c r="BN468" s="28" t="str">
        <f aca="false">IF(OR(AX468="Yes",BI468="Yes"),"Yes",IF(AND(AX468="No",BI468="No"),"No",IF(AND(AX468="",BI468=""),"","Unknown")))</f>
        <v/>
      </c>
      <c r="BO468" s="31" t="str">
        <f aca="false">IF(COUNT(AY468,BJ468)=0,"",MIN(AY468,BJ468))</f>
        <v/>
      </c>
      <c r="BP468" s="29"/>
      <c r="BQ468" s="29"/>
      <c r="BR468" s="29"/>
      <c r="BS468" s="28" t="str">
        <f aca="false">IF(AND(N(BP468)&gt;0,N(BR468)&gt;0),BR468-BP468,"")</f>
        <v/>
      </c>
      <c r="BT468" s="28" t="str">
        <f aca="false">IF(BS468="","",ROUND(BS468/365.25,2))</f>
        <v/>
      </c>
      <c r="BU468" s="28" t="str">
        <f aca="false">IF(BS468="","",IF(BS468&gt;=730.5,"Yes","No"))</f>
        <v/>
      </c>
      <c r="BV468" s="27"/>
      <c r="BW468" s="29"/>
      <c r="BX468" s="27"/>
      <c r="BY468" s="27"/>
      <c r="BZ468" s="28" t="str">
        <f aca="false">IF(N(E468)=0,"",IF(E468&lt;65,"Under 65","≥65"))</f>
        <v/>
      </c>
      <c r="CA468" s="28" t="str">
        <f aca="false">IF(OR(AC468="Yes",AC468="No"),AC468,"")</f>
        <v/>
      </c>
      <c r="CB468" s="28" t="str">
        <f aca="false">IF(OR(AD468="Yes",AD468="No"),AD468,"")</f>
        <v/>
      </c>
      <c r="CC468" s="28" t="str">
        <f aca="false">IF(F468="","",F468)</f>
        <v/>
      </c>
      <c r="CD468" s="27"/>
      <c r="CE468" s="27"/>
    </row>
    <row r="469" customFormat="false" ht="15" hidden="false" customHeight="false" outlineLevel="0" collapsed="false">
      <c r="A469" s="27"/>
      <c r="B469" s="27"/>
      <c r="C469" s="27"/>
      <c r="D469" s="27"/>
      <c r="E469" s="27"/>
      <c r="F469" s="27"/>
      <c r="G469" s="27"/>
      <c r="H469" s="27"/>
      <c r="I469" s="27"/>
      <c r="J469" s="28" t="str">
        <f aca="false">IF(AND(N(H469)&gt;0,N(I469)&gt;0),ROUND(I469/(H469/100)^2,1),"")</f>
        <v/>
      </c>
      <c r="K469" s="27"/>
      <c r="L469" s="27"/>
      <c r="M469" s="27"/>
      <c r="N469" s="27"/>
      <c r="O469" s="27"/>
      <c r="P469" s="27"/>
      <c r="Q469" s="27"/>
      <c r="R469" s="29"/>
      <c r="S469" s="29"/>
      <c r="T469" s="27"/>
      <c r="U469" s="28" t="str">
        <f aca="false">IF(N(T469)=0,"",IF(T469&lt;12,"Under 12 months",IF(T469&lt;36,"12-35 months",IF(T469&lt;60,"36-59 months","≥60 months"))))</f>
        <v/>
      </c>
      <c r="V469" s="27"/>
      <c r="W469" s="30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9"/>
      <c r="AT469" s="30"/>
      <c r="AU469" s="30"/>
      <c r="AV469" s="30"/>
      <c r="AW469" s="27"/>
      <c r="AX469" s="27"/>
      <c r="AY469" s="29"/>
      <c r="AZ469" s="27"/>
      <c r="BA469" s="27"/>
      <c r="BB469" s="29"/>
      <c r="BC469" s="30"/>
      <c r="BD469" s="30"/>
      <c r="BE469" s="30"/>
      <c r="BF469" s="27"/>
      <c r="BG469" s="27"/>
      <c r="BH469" s="28" t="str">
        <f aca="false">IF(COUNT(BC469:BE469)=0,"",IF(MIN(BC469:BE469)&lt;=-2.5,"Yes","No"))</f>
        <v/>
      </c>
      <c r="BI469" s="27"/>
      <c r="BJ469" s="29"/>
      <c r="BK469" s="27"/>
      <c r="BL469" s="27"/>
      <c r="BM469" s="27"/>
      <c r="BN469" s="28" t="str">
        <f aca="false">IF(OR(AX469="Yes",BI469="Yes"),"Yes",IF(AND(AX469="No",BI469="No"),"No",IF(AND(AX469="",BI469=""),"","Unknown")))</f>
        <v/>
      </c>
      <c r="BO469" s="31" t="str">
        <f aca="false">IF(COUNT(AY469,BJ469)=0,"",MIN(AY469,BJ469))</f>
        <v/>
      </c>
      <c r="BP469" s="29"/>
      <c r="BQ469" s="29"/>
      <c r="BR469" s="29"/>
      <c r="BS469" s="28" t="str">
        <f aca="false">IF(AND(N(BP469)&gt;0,N(BR469)&gt;0),BR469-BP469,"")</f>
        <v/>
      </c>
      <c r="BT469" s="28" t="str">
        <f aca="false">IF(BS469="","",ROUND(BS469/365.25,2))</f>
        <v/>
      </c>
      <c r="BU469" s="28" t="str">
        <f aca="false">IF(BS469="","",IF(BS469&gt;=730.5,"Yes","No"))</f>
        <v/>
      </c>
      <c r="BV469" s="27"/>
      <c r="BW469" s="29"/>
      <c r="BX469" s="27"/>
      <c r="BY469" s="27"/>
      <c r="BZ469" s="28" t="str">
        <f aca="false">IF(N(E469)=0,"",IF(E469&lt;65,"Under 65","≥65"))</f>
        <v/>
      </c>
      <c r="CA469" s="28" t="str">
        <f aca="false">IF(OR(AC469="Yes",AC469="No"),AC469,"")</f>
        <v/>
      </c>
      <c r="CB469" s="28" t="str">
        <f aca="false">IF(OR(AD469="Yes",AD469="No"),AD469,"")</f>
        <v/>
      </c>
      <c r="CC469" s="28" t="str">
        <f aca="false">IF(F469="","",F469)</f>
        <v/>
      </c>
      <c r="CD469" s="27"/>
      <c r="CE469" s="27"/>
    </row>
    <row r="470" customFormat="false" ht="15" hidden="false" customHeight="false" outlineLevel="0" collapsed="false">
      <c r="A470" s="27"/>
      <c r="B470" s="27"/>
      <c r="C470" s="27"/>
      <c r="D470" s="27"/>
      <c r="E470" s="27"/>
      <c r="F470" s="27"/>
      <c r="G470" s="27"/>
      <c r="H470" s="27"/>
      <c r="I470" s="27"/>
      <c r="J470" s="28" t="str">
        <f aca="false">IF(AND(N(H470)&gt;0,N(I470)&gt;0),ROUND(I470/(H470/100)^2,1),"")</f>
        <v/>
      </c>
      <c r="K470" s="27"/>
      <c r="L470" s="27"/>
      <c r="M470" s="27"/>
      <c r="N470" s="27"/>
      <c r="O470" s="27"/>
      <c r="P470" s="27"/>
      <c r="Q470" s="27"/>
      <c r="R470" s="29"/>
      <c r="S470" s="29"/>
      <c r="T470" s="27"/>
      <c r="U470" s="28" t="str">
        <f aca="false">IF(N(T470)=0,"",IF(T470&lt;12,"Under 12 months",IF(T470&lt;36,"12-35 months",IF(T470&lt;60,"36-59 months","≥60 months"))))</f>
        <v/>
      </c>
      <c r="V470" s="27"/>
      <c r="W470" s="30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9"/>
      <c r="AT470" s="30"/>
      <c r="AU470" s="30"/>
      <c r="AV470" s="30"/>
      <c r="AW470" s="27"/>
      <c r="AX470" s="27"/>
      <c r="AY470" s="29"/>
      <c r="AZ470" s="27"/>
      <c r="BA470" s="27"/>
      <c r="BB470" s="29"/>
      <c r="BC470" s="30"/>
      <c r="BD470" s="30"/>
      <c r="BE470" s="30"/>
      <c r="BF470" s="27"/>
      <c r="BG470" s="27"/>
      <c r="BH470" s="28" t="str">
        <f aca="false">IF(COUNT(BC470:BE470)=0,"",IF(MIN(BC470:BE470)&lt;=-2.5,"Yes","No"))</f>
        <v/>
      </c>
      <c r="BI470" s="27"/>
      <c r="BJ470" s="29"/>
      <c r="BK470" s="27"/>
      <c r="BL470" s="27"/>
      <c r="BM470" s="27"/>
      <c r="BN470" s="28" t="str">
        <f aca="false">IF(OR(AX470="Yes",BI470="Yes"),"Yes",IF(AND(AX470="No",BI470="No"),"No",IF(AND(AX470="",BI470=""),"","Unknown")))</f>
        <v/>
      </c>
      <c r="BO470" s="31" t="str">
        <f aca="false">IF(COUNT(AY470,BJ470)=0,"",MIN(AY470,BJ470))</f>
        <v/>
      </c>
      <c r="BP470" s="29"/>
      <c r="BQ470" s="29"/>
      <c r="BR470" s="29"/>
      <c r="BS470" s="28" t="str">
        <f aca="false">IF(AND(N(BP470)&gt;0,N(BR470)&gt;0),BR470-BP470,"")</f>
        <v/>
      </c>
      <c r="BT470" s="28" t="str">
        <f aca="false">IF(BS470="","",ROUND(BS470/365.25,2))</f>
        <v/>
      </c>
      <c r="BU470" s="28" t="str">
        <f aca="false">IF(BS470="","",IF(BS470&gt;=730.5,"Yes","No"))</f>
        <v/>
      </c>
      <c r="BV470" s="27"/>
      <c r="BW470" s="29"/>
      <c r="BX470" s="27"/>
      <c r="BY470" s="27"/>
      <c r="BZ470" s="28" t="str">
        <f aca="false">IF(N(E470)=0,"",IF(E470&lt;65,"Under 65","≥65"))</f>
        <v/>
      </c>
      <c r="CA470" s="28" t="str">
        <f aca="false">IF(OR(AC470="Yes",AC470="No"),AC470,"")</f>
        <v/>
      </c>
      <c r="CB470" s="28" t="str">
        <f aca="false">IF(OR(AD470="Yes",AD470="No"),AD470,"")</f>
        <v/>
      </c>
      <c r="CC470" s="28" t="str">
        <f aca="false">IF(F470="","",F470)</f>
        <v/>
      </c>
      <c r="CD470" s="27"/>
      <c r="CE470" s="27"/>
    </row>
    <row r="471" customFormat="false" ht="15" hidden="false" customHeight="false" outlineLevel="0" collapsed="false">
      <c r="A471" s="27"/>
      <c r="B471" s="27"/>
      <c r="C471" s="27"/>
      <c r="D471" s="27"/>
      <c r="E471" s="27"/>
      <c r="F471" s="27"/>
      <c r="G471" s="27"/>
      <c r="H471" s="27"/>
      <c r="I471" s="27"/>
      <c r="J471" s="28" t="str">
        <f aca="false">IF(AND(N(H471)&gt;0,N(I471)&gt;0),ROUND(I471/(H471/100)^2,1),"")</f>
        <v/>
      </c>
      <c r="K471" s="27"/>
      <c r="L471" s="27"/>
      <c r="M471" s="27"/>
      <c r="N471" s="27"/>
      <c r="O471" s="27"/>
      <c r="P471" s="27"/>
      <c r="Q471" s="27"/>
      <c r="R471" s="29"/>
      <c r="S471" s="29"/>
      <c r="T471" s="27"/>
      <c r="U471" s="28" t="str">
        <f aca="false">IF(N(T471)=0,"",IF(T471&lt;12,"Under 12 months",IF(T471&lt;36,"12-35 months",IF(T471&lt;60,"36-59 months","≥60 months"))))</f>
        <v/>
      </c>
      <c r="V471" s="27"/>
      <c r="W471" s="30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9"/>
      <c r="AT471" s="30"/>
      <c r="AU471" s="30"/>
      <c r="AV471" s="30"/>
      <c r="AW471" s="27"/>
      <c r="AX471" s="27"/>
      <c r="AY471" s="29"/>
      <c r="AZ471" s="27"/>
      <c r="BA471" s="27"/>
      <c r="BB471" s="29"/>
      <c r="BC471" s="30"/>
      <c r="BD471" s="30"/>
      <c r="BE471" s="30"/>
      <c r="BF471" s="27"/>
      <c r="BG471" s="27"/>
      <c r="BH471" s="28" t="str">
        <f aca="false">IF(COUNT(BC471:BE471)=0,"",IF(MIN(BC471:BE471)&lt;=-2.5,"Yes","No"))</f>
        <v/>
      </c>
      <c r="BI471" s="27"/>
      <c r="BJ471" s="29"/>
      <c r="BK471" s="27"/>
      <c r="BL471" s="27"/>
      <c r="BM471" s="27"/>
      <c r="BN471" s="28" t="str">
        <f aca="false">IF(OR(AX471="Yes",BI471="Yes"),"Yes",IF(AND(AX471="No",BI471="No"),"No",IF(AND(AX471="",BI471=""),"","Unknown")))</f>
        <v/>
      </c>
      <c r="BO471" s="31" t="str">
        <f aca="false">IF(COUNT(AY471,BJ471)=0,"",MIN(AY471,BJ471))</f>
        <v/>
      </c>
      <c r="BP471" s="29"/>
      <c r="BQ471" s="29"/>
      <c r="BR471" s="29"/>
      <c r="BS471" s="28" t="str">
        <f aca="false">IF(AND(N(BP471)&gt;0,N(BR471)&gt;0),BR471-BP471,"")</f>
        <v/>
      </c>
      <c r="BT471" s="28" t="str">
        <f aca="false">IF(BS471="","",ROUND(BS471/365.25,2))</f>
        <v/>
      </c>
      <c r="BU471" s="28" t="str">
        <f aca="false">IF(BS471="","",IF(BS471&gt;=730.5,"Yes","No"))</f>
        <v/>
      </c>
      <c r="BV471" s="27"/>
      <c r="BW471" s="29"/>
      <c r="BX471" s="27"/>
      <c r="BY471" s="27"/>
      <c r="BZ471" s="28" t="str">
        <f aca="false">IF(N(E471)=0,"",IF(E471&lt;65,"Under 65","≥65"))</f>
        <v/>
      </c>
      <c r="CA471" s="28" t="str">
        <f aca="false">IF(OR(AC471="Yes",AC471="No"),AC471,"")</f>
        <v/>
      </c>
      <c r="CB471" s="28" t="str">
        <f aca="false">IF(OR(AD471="Yes",AD471="No"),AD471,"")</f>
        <v/>
      </c>
      <c r="CC471" s="28" t="str">
        <f aca="false">IF(F471="","",F471)</f>
        <v/>
      </c>
      <c r="CD471" s="27"/>
      <c r="CE471" s="27"/>
    </row>
    <row r="472" customFormat="false" ht="15" hidden="false" customHeight="false" outlineLevel="0" collapsed="false">
      <c r="A472" s="27"/>
      <c r="B472" s="27"/>
      <c r="C472" s="27"/>
      <c r="D472" s="27"/>
      <c r="E472" s="27"/>
      <c r="F472" s="27"/>
      <c r="G472" s="27"/>
      <c r="H472" s="27"/>
      <c r="I472" s="27"/>
      <c r="J472" s="28" t="str">
        <f aca="false">IF(AND(N(H472)&gt;0,N(I472)&gt;0),ROUND(I472/(H472/100)^2,1),"")</f>
        <v/>
      </c>
      <c r="K472" s="27"/>
      <c r="L472" s="27"/>
      <c r="M472" s="27"/>
      <c r="N472" s="27"/>
      <c r="O472" s="27"/>
      <c r="P472" s="27"/>
      <c r="Q472" s="27"/>
      <c r="R472" s="29"/>
      <c r="S472" s="29"/>
      <c r="T472" s="27"/>
      <c r="U472" s="28" t="str">
        <f aca="false">IF(N(T472)=0,"",IF(T472&lt;12,"Under 12 months",IF(T472&lt;36,"12-35 months",IF(T472&lt;60,"36-59 months","≥60 months"))))</f>
        <v/>
      </c>
      <c r="V472" s="27"/>
      <c r="W472" s="30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9"/>
      <c r="AT472" s="30"/>
      <c r="AU472" s="30"/>
      <c r="AV472" s="30"/>
      <c r="AW472" s="27"/>
      <c r="AX472" s="27"/>
      <c r="AY472" s="29"/>
      <c r="AZ472" s="27"/>
      <c r="BA472" s="27"/>
      <c r="BB472" s="29"/>
      <c r="BC472" s="30"/>
      <c r="BD472" s="30"/>
      <c r="BE472" s="30"/>
      <c r="BF472" s="27"/>
      <c r="BG472" s="27"/>
      <c r="BH472" s="28" t="str">
        <f aca="false">IF(COUNT(BC472:BE472)=0,"",IF(MIN(BC472:BE472)&lt;=-2.5,"Yes","No"))</f>
        <v/>
      </c>
      <c r="BI472" s="27"/>
      <c r="BJ472" s="29"/>
      <c r="BK472" s="27"/>
      <c r="BL472" s="27"/>
      <c r="BM472" s="27"/>
      <c r="BN472" s="28" t="str">
        <f aca="false">IF(OR(AX472="Yes",BI472="Yes"),"Yes",IF(AND(AX472="No",BI472="No"),"No",IF(AND(AX472="",BI472=""),"","Unknown")))</f>
        <v/>
      </c>
      <c r="BO472" s="31" t="str">
        <f aca="false">IF(COUNT(AY472,BJ472)=0,"",MIN(AY472,BJ472))</f>
        <v/>
      </c>
      <c r="BP472" s="29"/>
      <c r="BQ472" s="29"/>
      <c r="BR472" s="29"/>
      <c r="BS472" s="28" t="str">
        <f aca="false">IF(AND(N(BP472)&gt;0,N(BR472)&gt;0),BR472-BP472,"")</f>
        <v/>
      </c>
      <c r="BT472" s="28" t="str">
        <f aca="false">IF(BS472="","",ROUND(BS472/365.25,2))</f>
        <v/>
      </c>
      <c r="BU472" s="28" t="str">
        <f aca="false">IF(BS472="","",IF(BS472&gt;=730.5,"Yes","No"))</f>
        <v/>
      </c>
      <c r="BV472" s="27"/>
      <c r="BW472" s="29"/>
      <c r="BX472" s="27"/>
      <c r="BY472" s="27"/>
      <c r="BZ472" s="28" t="str">
        <f aca="false">IF(N(E472)=0,"",IF(E472&lt;65,"Under 65","≥65"))</f>
        <v/>
      </c>
      <c r="CA472" s="28" t="str">
        <f aca="false">IF(OR(AC472="Yes",AC472="No"),AC472,"")</f>
        <v/>
      </c>
      <c r="CB472" s="28" t="str">
        <f aca="false">IF(OR(AD472="Yes",AD472="No"),AD472,"")</f>
        <v/>
      </c>
      <c r="CC472" s="28" t="str">
        <f aca="false">IF(F472="","",F472)</f>
        <v/>
      </c>
      <c r="CD472" s="27"/>
      <c r="CE472" s="27"/>
    </row>
    <row r="473" customFormat="false" ht="15" hidden="false" customHeight="false" outlineLevel="0" collapsed="false">
      <c r="A473" s="27"/>
      <c r="B473" s="27"/>
      <c r="C473" s="27"/>
      <c r="D473" s="27"/>
      <c r="E473" s="27"/>
      <c r="F473" s="27"/>
      <c r="G473" s="27"/>
      <c r="H473" s="27"/>
      <c r="I473" s="27"/>
      <c r="J473" s="28" t="str">
        <f aca="false">IF(AND(N(H473)&gt;0,N(I473)&gt;0),ROUND(I473/(H473/100)^2,1),"")</f>
        <v/>
      </c>
      <c r="K473" s="27"/>
      <c r="L473" s="27"/>
      <c r="M473" s="27"/>
      <c r="N473" s="27"/>
      <c r="O473" s="27"/>
      <c r="P473" s="27"/>
      <c r="Q473" s="27"/>
      <c r="R473" s="29"/>
      <c r="S473" s="29"/>
      <c r="T473" s="27"/>
      <c r="U473" s="28" t="str">
        <f aca="false">IF(N(T473)=0,"",IF(T473&lt;12,"Under 12 months",IF(T473&lt;36,"12-35 months",IF(T473&lt;60,"36-59 months","≥60 months"))))</f>
        <v/>
      </c>
      <c r="V473" s="27"/>
      <c r="W473" s="30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9"/>
      <c r="AT473" s="30"/>
      <c r="AU473" s="30"/>
      <c r="AV473" s="30"/>
      <c r="AW473" s="27"/>
      <c r="AX473" s="27"/>
      <c r="AY473" s="29"/>
      <c r="AZ473" s="27"/>
      <c r="BA473" s="27"/>
      <c r="BB473" s="29"/>
      <c r="BC473" s="30"/>
      <c r="BD473" s="30"/>
      <c r="BE473" s="30"/>
      <c r="BF473" s="27"/>
      <c r="BG473" s="27"/>
      <c r="BH473" s="28" t="str">
        <f aca="false">IF(COUNT(BC473:BE473)=0,"",IF(MIN(BC473:BE473)&lt;=-2.5,"Yes","No"))</f>
        <v/>
      </c>
      <c r="BI473" s="27"/>
      <c r="BJ473" s="29"/>
      <c r="BK473" s="27"/>
      <c r="BL473" s="27"/>
      <c r="BM473" s="27"/>
      <c r="BN473" s="28" t="str">
        <f aca="false">IF(OR(AX473="Yes",BI473="Yes"),"Yes",IF(AND(AX473="No",BI473="No"),"No",IF(AND(AX473="",BI473=""),"","Unknown")))</f>
        <v/>
      </c>
      <c r="BO473" s="31" t="str">
        <f aca="false">IF(COUNT(AY473,BJ473)=0,"",MIN(AY473,BJ473))</f>
        <v/>
      </c>
      <c r="BP473" s="29"/>
      <c r="BQ473" s="29"/>
      <c r="BR473" s="29"/>
      <c r="BS473" s="28" t="str">
        <f aca="false">IF(AND(N(BP473)&gt;0,N(BR473)&gt;0),BR473-BP473,"")</f>
        <v/>
      </c>
      <c r="BT473" s="28" t="str">
        <f aca="false">IF(BS473="","",ROUND(BS473/365.25,2))</f>
        <v/>
      </c>
      <c r="BU473" s="28" t="str">
        <f aca="false">IF(BS473="","",IF(BS473&gt;=730.5,"Yes","No"))</f>
        <v/>
      </c>
      <c r="BV473" s="27"/>
      <c r="BW473" s="29"/>
      <c r="BX473" s="27"/>
      <c r="BY473" s="27"/>
      <c r="BZ473" s="28" t="str">
        <f aca="false">IF(N(E473)=0,"",IF(E473&lt;65,"Under 65","≥65"))</f>
        <v/>
      </c>
      <c r="CA473" s="28" t="str">
        <f aca="false">IF(OR(AC473="Yes",AC473="No"),AC473,"")</f>
        <v/>
      </c>
      <c r="CB473" s="28" t="str">
        <f aca="false">IF(OR(AD473="Yes",AD473="No"),AD473,"")</f>
        <v/>
      </c>
      <c r="CC473" s="28" t="str">
        <f aca="false">IF(F473="","",F473)</f>
        <v/>
      </c>
      <c r="CD473" s="27"/>
      <c r="CE473" s="27"/>
    </row>
    <row r="474" customFormat="false" ht="15" hidden="false" customHeight="false" outlineLevel="0" collapsed="false">
      <c r="A474" s="27"/>
      <c r="B474" s="27"/>
      <c r="C474" s="27"/>
      <c r="D474" s="27"/>
      <c r="E474" s="27"/>
      <c r="F474" s="27"/>
      <c r="G474" s="27"/>
      <c r="H474" s="27"/>
      <c r="I474" s="27"/>
      <c r="J474" s="28" t="str">
        <f aca="false">IF(AND(N(H474)&gt;0,N(I474)&gt;0),ROUND(I474/(H474/100)^2,1),"")</f>
        <v/>
      </c>
      <c r="K474" s="27"/>
      <c r="L474" s="27"/>
      <c r="M474" s="27"/>
      <c r="N474" s="27"/>
      <c r="O474" s="27"/>
      <c r="P474" s="27"/>
      <c r="Q474" s="27"/>
      <c r="R474" s="29"/>
      <c r="S474" s="29"/>
      <c r="T474" s="27"/>
      <c r="U474" s="28" t="str">
        <f aca="false">IF(N(T474)=0,"",IF(T474&lt;12,"Under 12 months",IF(T474&lt;36,"12-35 months",IF(T474&lt;60,"36-59 months","≥60 months"))))</f>
        <v/>
      </c>
      <c r="V474" s="27"/>
      <c r="W474" s="30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9"/>
      <c r="AT474" s="30"/>
      <c r="AU474" s="30"/>
      <c r="AV474" s="30"/>
      <c r="AW474" s="27"/>
      <c r="AX474" s="27"/>
      <c r="AY474" s="29"/>
      <c r="AZ474" s="27"/>
      <c r="BA474" s="27"/>
      <c r="BB474" s="29"/>
      <c r="BC474" s="30"/>
      <c r="BD474" s="30"/>
      <c r="BE474" s="30"/>
      <c r="BF474" s="27"/>
      <c r="BG474" s="27"/>
      <c r="BH474" s="28" t="str">
        <f aca="false">IF(COUNT(BC474:BE474)=0,"",IF(MIN(BC474:BE474)&lt;=-2.5,"Yes","No"))</f>
        <v/>
      </c>
      <c r="BI474" s="27"/>
      <c r="BJ474" s="29"/>
      <c r="BK474" s="27"/>
      <c r="BL474" s="27"/>
      <c r="BM474" s="27"/>
      <c r="BN474" s="28" t="str">
        <f aca="false">IF(OR(AX474="Yes",BI474="Yes"),"Yes",IF(AND(AX474="No",BI474="No"),"No",IF(AND(AX474="",BI474=""),"","Unknown")))</f>
        <v/>
      </c>
      <c r="BO474" s="31" t="str">
        <f aca="false">IF(COUNT(AY474,BJ474)=0,"",MIN(AY474,BJ474))</f>
        <v/>
      </c>
      <c r="BP474" s="29"/>
      <c r="BQ474" s="29"/>
      <c r="BR474" s="29"/>
      <c r="BS474" s="28" t="str">
        <f aca="false">IF(AND(N(BP474)&gt;0,N(BR474)&gt;0),BR474-BP474,"")</f>
        <v/>
      </c>
      <c r="BT474" s="28" t="str">
        <f aca="false">IF(BS474="","",ROUND(BS474/365.25,2))</f>
        <v/>
      </c>
      <c r="BU474" s="28" t="str">
        <f aca="false">IF(BS474="","",IF(BS474&gt;=730.5,"Yes","No"))</f>
        <v/>
      </c>
      <c r="BV474" s="27"/>
      <c r="BW474" s="29"/>
      <c r="BX474" s="27"/>
      <c r="BY474" s="27"/>
      <c r="BZ474" s="28" t="str">
        <f aca="false">IF(N(E474)=0,"",IF(E474&lt;65,"Under 65","≥65"))</f>
        <v/>
      </c>
      <c r="CA474" s="28" t="str">
        <f aca="false">IF(OR(AC474="Yes",AC474="No"),AC474,"")</f>
        <v/>
      </c>
      <c r="CB474" s="28" t="str">
        <f aca="false">IF(OR(AD474="Yes",AD474="No"),AD474,"")</f>
        <v/>
      </c>
      <c r="CC474" s="28" t="str">
        <f aca="false">IF(F474="","",F474)</f>
        <v/>
      </c>
      <c r="CD474" s="27"/>
      <c r="CE474" s="27"/>
    </row>
    <row r="475" customFormat="false" ht="15" hidden="false" customHeight="false" outlineLevel="0" collapsed="false">
      <c r="A475" s="27"/>
      <c r="B475" s="27"/>
      <c r="C475" s="27"/>
      <c r="D475" s="27"/>
      <c r="E475" s="27"/>
      <c r="F475" s="27"/>
      <c r="G475" s="27"/>
      <c r="H475" s="27"/>
      <c r="I475" s="27"/>
      <c r="J475" s="28" t="str">
        <f aca="false">IF(AND(N(H475)&gt;0,N(I475)&gt;0),ROUND(I475/(H475/100)^2,1),"")</f>
        <v/>
      </c>
      <c r="K475" s="27"/>
      <c r="L475" s="27"/>
      <c r="M475" s="27"/>
      <c r="N475" s="27"/>
      <c r="O475" s="27"/>
      <c r="P475" s="27"/>
      <c r="Q475" s="27"/>
      <c r="R475" s="29"/>
      <c r="S475" s="29"/>
      <c r="T475" s="27"/>
      <c r="U475" s="28" t="str">
        <f aca="false">IF(N(T475)=0,"",IF(T475&lt;12,"Under 12 months",IF(T475&lt;36,"12-35 months",IF(T475&lt;60,"36-59 months","≥60 months"))))</f>
        <v/>
      </c>
      <c r="V475" s="27"/>
      <c r="W475" s="30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9"/>
      <c r="AT475" s="30"/>
      <c r="AU475" s="30"/>
      <c r="AV475" s="30"/>
      <c r="AW475" s="27"/>
      <c r="AX475" s="27"/>
      <c r="AY475" s="29"/>
      <c r="AZ475" s="27"/>
      <c r="BA475" s="27"/>
      <c r="BB475" s="29"/>
      <c r="BC475" s="30"/>
      <c r="BD475" s="30"/>
      <c r="BE475" s="30"/>
      <c r="BF475" s="27"/>
      <c r="BG475" s="27"/>
      <c r="BH475" s="28" t="str">
        <f aca="false">IF(COUNT(BC475:BE475)=0,"",IF(MIN(BC475:BE475)&lt;=-2.5,"Yes","No"))</f>
        <v/>
      </c>
      <c r="BI475" s="27"/>
      <c r="BJ475" s="29"/>
      <c r="BK475" s="27"/>
      <c r="BL475" s="27"/>
      <c r="BM475" s="27"/>
      <c r="BN475" s="28" t="str">
        <f aca="false">IF(OR(AX475="Yes",BI475="Yes"),"Yes",IF(AND(AX475="No",BI475="No"),"No",IF(AND(AX475="",BI475=""),"","Unknown")))</f>
        <v/>
      </c>
      <c r="BO475" s="31" t="str">
        <f aca="false">IF(COUNT(AY475,BJ475)=0,"",MIN(AY475,BJ475))</f>
        <v/>
      </c>
      <c r="BP475" s="29"/>
      <c r="BQ475" s="29"/>
      <c r="BR475" s="29"/>
      <c r="BS475" s="28" t="str">
        <f aca="false">IF(AND(N(BP475)&gt;0,N(BR475)&gt;0),BR475-BP475,"")</f>
        <v/>
      </c>
      <c r="BT475" s="28" t="str">
        <f aca="false">IF(BS475="","",ROUND(BS475/365.25,2))</f>
        <v/>
      </c>
      <c r="BU475" s="28" t="str">
        <f aca="false">IF(BS475="","",IF(BS475&gt;=730.5,"Yes","No"))</f>
        <v/>
      </c>
      <c r="BV475" s="27"/>
      <c r="BW475" s="29"/>
      <c r="BX475" s="27"/>
      <c r="BY475" s="27"/>
      <c r="BZ475" s="28" t="str">
        <f aca="false">IF(N(E475)=0,"",IF(E475&lt;65,"Under 65","≥65"))</f>
        <v/>
      </c>
      <c r="CA475" s="28" t="str">
        <f aca="false">IF(OR(AC475="Yes",AC475="No"),AC475,"")</f>
        <v/>
      </c>
      <c r="CB475" s="28" t="str">
        <f aca="false">IF(OR(AD475="Yes",AD475="No"),AD475,"")</f>
        <v/>
      </c>
      <c r="CC475" s="28" t="str">
        <f aca="false">IF(F475="","",F475)</f>
        <v/>
      </c>
      <c r="CD475" s="27"/>
      <c r="CE475" s="27"/>
    </row>
    <row r="476" customFormat="false" ht="15" hidden="false" customHeight="false" outlineLevel="0" collapsed="false">
      <c r="A476" s="27"/>
      <c r="B476" s="27"/>
      <c r="C476" s="27"/>
      <c r="D476" s="27"/>
      <c r="E476" s="27"/>
      <c r="F476" s="27"/>
      <c r="G476" s="27"/>
      <c r="H476" s="27"/>
      <c r="I476" s="27"/>
      <c r="J476" s="28" t="str">
        <f aca="false">IF(AND(N(H476)&gt;0,N(I476)&gt;0),ROUND(I476/(H476/100)^2,1),"")</f>
        <v/>
      </c>
      <c r="K476" s="27"/>
      <c r="L476" s="27"/>
      <c r="M476" s="27"/>
      <c r="N476" s="27"/>
      <c r="O476" s="27"/>
      <c r="P476" s="27"/>
      <c r="Q476" s="27"/>
      <c r="R476" s="29"/>
      <c r="S476" s="29"/>
      <c r="T476" s="27"/>
      <c r="U476" s="28" t="str">
        <f aca="false">IF(N(T476)=0,"",IF(T476&lt;12,"Under 12 months",IF(T476&lt;36,"12-35 months",IF(T476&lt;60,"36-59 months","≥60 months"))))</f>
        <v/>
      </c>
      <c r="V476" s="27"/>
      <c r="W476" s="30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9"/>
      <c r="AT476" s="30"/>
      <c r="AU476" s="30"/>
      <c r="AV476" s="30"/>
      <c r="AW476" s="27"/>
      <c r="AX476" s="27"/>
      <c r="AY476" s="29"/>
      <c r="AZ476" s="27"/>
      <c r="BA476" s="27"/>
      <c r="BB476" s="29"/>
      <c r="BC476" s="30"/>
      <c r="BD476" s="30"/>
      <c r="BE476" s="30"/>
      <c r="BF476" s="27"/>
      <c r="BG476" s="27"/>
      <c r="BH476" s="28" t="str">
        <f aca="false">IF(COUNT(BC476:BE476)=0,"",IF(MIN(BC476:BE476)&lt;=-2.5,"Yes","No"))</f>
        <v/>
      </c>
      <c r="BI476" s="27"/>
      <c r="BJ476" s="29"/>
      <c r="BK476" s="27"/>
      <c r="BL476" s="27"/>
      <c r="BM476" s="27"/>
      <c r="BN476" s="28" t="str">
        <f aca="false">IF(OR(AX476="Yes",BI476="Yes"),"Yes",IF(AND(AX476="No",BI476="No"),"No",IF(AND(AX476="",BI476=""),"","Unknown")))</f>
        <v/>
      </c>
      <c r="BO476" s="31" t="str">
        <f aca="false">IF(COUNT(AY476,BJ476)=0,"",MIN(AY476,BJ476))</f>
        <v/>
      </c>
      <c r="BP476" s="29"/>
      <c r="BQ476" s="29"/>
      <c r="BR476" s="29"/>
      <c r="BS476" s="28" t="str">
        <f aca="false">IF(AND(N(BP476)&gt;0,N(BR476)&gt;0),BR476-BP476,"")</f>
        <v/>
      </c>
      <c r="BT476" s="28" t="str">
        <f aca="false">IF(BS476="","",ROUND(BS476/365.25,2))</f>
        <v/>
      </c>
      <c r="BU476" s="28" t="str">
        <f aca="false">IF(BS476="","",IF(BS476&gt;=730.5,"Yes","No"))</f>
        <v/>
      </c>
      <c r="BV476" s="27"/>
      <c r="BW476" s="29"/>
      <c r="BX476" s="27"/>
      <c r="BY476" s="27"/>
      <c r="BZ476" s="28" t="str">
        <f aca="false">IF(N(E476)=0,"",IF(E476&lt;65,"Under 65","≥65"))</f>
        <v/>
      </c>
      <c r="CA476" s="28" t="str">
        <f aca="false">IF(OR(AC476="Yes",AC476="No"),AC476,"")</f>
        <v/>
      </c>
      <c r="CB476" s="28" t="str">
        <f aca="false">IF(OR(AD476="Yes",AD476="No"),AD476,"")</f>
        <v/>
      </c>
      <c r="CC476" s="28" t="str">
        <f aca="false">IF(F476="","",F476)</f>
        <v/>
      </c>
      <c r="CD476" s="27"/>
      <c r="CE476" s="27"/>
    </row>
    <row r="477" customFormat="false" ht="15" hidden="false" customHeight="false" outlineLevel="0" collapsed="false">
      <c r="A477" s="27"/>
      <c r="B477" s="27"/>
      <c r="C477" s="27"/>
      <c r="D477" s="27"/>
      <c r="E477" s="27"/>
      <c r="F477" s="27"/>
      <c r="G477" s="27"/>
      <c r="H477" s="27"/>
      <c r="I477" s="27"/>
      <c r="J477" s="28" t="str">
        <f aca="false">IF(AND(N(H477)&gt;0,N(I477)&gt;0),ROUND(I477/(H477/100)^2,1),"")</f>
        <v/>
      </c>
      <c r="K477" s="27"/>
      <c r="L477" s="27"/>
      <c r="M477" s="27"/>
      <c r="N477" s="27"/>
      <c r="O477" s="27"/>
      <c r="P477" s="27"/>
      <c r="Q477" s="27"/>
      <c r="R477" s="29"/>
      <c r="S477" s="29"/>
      <c r="T477" s="27"/>
      <c r="U477" s="28" t="str">
        <f aca="false">IF(N(T477)=0,"",IF(T477&lt;12,"Under 12 months",IF(T477&lt;36,"12-35 months",IF(T477&lt;60,"36-59 months","≥60 months"))))</f>
        <v/>
      </c>
      <c r="V477" s="27"/>
      <c r="W477" s="30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9"/>
      <c r="AT477" s="30"/>
      <c r="AU477" s="30"/>
      <c r="AV477" s="30"/>
      <c r="AW477" s="27"/>
      <c r="AX477" s="27"/>
      <c r="AY477" s="29"/>
      <c r="AZ477" s="27"/>
      <c r="BA477" s="27"/>
      <c r="BB477" s="29"/>
      <c r="BC477" s="30"/>
      <c r="BD477" s="30"/>
      <c r="BE477" s="30"/>
      <c r="BF477" s="27"/>
      <c r="BG477" s="27"/>
      <c r="BH477" s="28" t="str">
        <f aca="false">IF(COUNT(BC477:BE477)=0,"",IF(MIN(BC477:BE477)&lt;=-2.5,"Yes","No"))</f>
        <v/>
      </c>
      <c r="BI477" s="27"/>
      <c r="BJ477" s="29"/>
      <c r="BK477" s="27"/>
      <c r="BL477" s="27"/>
      <c r="BM477" s="27"/>
      <c r="BN477" s="28" t="str">
        <f aca="false">IF(OR(AX477="Yes",BI477="Yes"),"Yes",IF(AND(AX477="No",BI477="No"),"No",IF(AND(AX477="",BI477=""),"","Unknown")))</f>
        <v/>
      </c>
      <c r="BO477" s="31" t="str">
        <f aca="false">IF(COUNT(AY477,BJ477)=0,"",MIN(AY477,BJ477))</f>
        <v/>
      </c>
      <c r="BP477" s="29"/>
      <c r="BQ477" s="29"/>
      <c r="BR477" s="29"/>
      <c r="BS477" s="28" t="str">
        <f aca="false">IF(AND(N(BP477)&gt;0,N(BR477)&gt;0),BR477-BP477,"")</f>
        <v/>
      </c>
      <c r="BT477" s="28" t="str">
        <f aca="false">IF(BS477="","",ROUND(BS477/365.25,2))</f>
        <v/>
      </c>
      <c r="BU477" s="28" t="str">
        <f aca="false">IF(BS477="","",IF(BS477&gt;=730.5,"Yes","No"))</f>
        <v/>
      </c>
      <c r="BV477" s="27"/>
      <c r="BW477" s="29"/>
      <c r="BX477" s="27"/>
      <c r="BY477" s="27"/>
      <c r="BZ477" s="28" t="str">
        <f aca="false">IF(N(E477)=0,"",IF(E477&lt;65,"Under 65","≥65"))</f>
        <v/>
      </c>
      <c r="CA477" s="28" t="str">
        <f aca="false">IF(OR(AC477="Yes",AC477="No"),AC477,"")</f>
        <v/>
      </c>
      <c r="CB477" s="28" t="str">
        <f aca="false">IF(OR(AD477="Yes",AD477="No"),AD477,"")</f>
        <v/>
      </c>
      <c r="CC477" s="28" t="str">
        <f aca="false">IF(F477="","",F477)</f>
        <v/>
      </c>
      <c r="CD477" s="27"/>
      <c r="CE477" s="27"/>
    </row>
    <row r="478" customFormat="false" ht="15" hidden="false" customHeight="false" outlineLevel="0" collapsed="false">
      <c r="A478" s="27"/>
      <c r="B478" s="27"/>
      <c r="C478" s="27"/>
      <c r="D478" s="27"/>
      <c r="E478" s="27"/>
      <c r="F478" s="27"/>
      <c r="G478" s="27"/>
      <c r="H478" s="27"/>
      <c r="I478" s="27"/>
      <c r="J478" s="28" t="str">
        <f aca="false">IF(AND(N(H478)&gt;0,N(I478)&gt;0),ROUND(I478/(H478/100)^2,1),"")</f>
        <v/>
      </c>
      <c r="K478" s="27"/>
      <c r="L478" s="27"/>
      <c r="M478" s="27"/>
      <c r="N478" s="27"/>
      <c r="O478" s="27"/>
      <c r="P478" s="27"/>
      <c r="Q478" s="27"/>
      <c r="R478" s="29"/>
      <c r="S478" s="29"/>
      <c r="T478" s="27"/>
      <c r="U478" s="28" t="str">
        <f aca="false">IF(N(T478)=0,"",IF(T478&lt;12,"Under 12 months",IF(T478&lt;36,"12-35 months",IF(T478&lt;60,"36-59 months","≥60 months"))))</f>
        <v/>
      </c>
      <c r="V478" s="27"/>
      <c r="W478" s="30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9"/>
      <c r="AT478" s="30"/>
      <c r="AU478" s="30"/>
      <c r="AV478" s="30"/>
      <c r="AW478" s="27"/>
      <c r="AX478" s="27"/>
      <c r="AY478" s="29"/>
      <c r="AZ478" s="27"/>
      <c r="BA478" s="27"/>
      <c r="BB478" s="29"/>
      <c r="BC478" s="30"/>
      <c r="BD478" s="30"/>
      <c r="BE478" s="30"/>
      <c r="BF478" s="27"/>
      <c r="BG478" s="27"/>
      <c r="BH478" s="28" t="str">
        <f aca="false">IF(COUNT(BC478:BE478)=0,"",IF(MIN(BC478:BE478)&lt;=-2.5,"Yes","No"))</f>
        <v/>
      </c>
      <c r="BI478" s="27"/>
      <c r="BJ478" s="29"/>
      <c r="BK478" s="27"/>
      <c r="BL478" s="27"/>
      <c r="BM478" s="27"/>
      <c r="BN478" s="28" t="str">
        <f aca="false">IF(OR(AX478="Yes",BI478="Yes"),"Yes",IF(AND(AX478="No",BI478="No"),"No",IF(AND(AX478="",BI478=""),"","Unknown")))</f>
        <v/>
      </c>
      <c r="BO478" s="31" t="str">
        <f aca="false">IF(COUNT(AY478,BJ478)=0,"",MIN(AY478,BJ478))</f>
        <v/>
      </c>
      <c r="BP478" s="29"/>
      <c r="BQ478" s="29"/>
      <c r="BR478" s="29"/>
      <c r="BS478" s="28" t="str">
        <f aca="false">IF(AND(N(BP478)&gt;0,N(BR478)&gt;0),BR478-BP478,"")</f>
        <v/>
      </c>
      <c r="BT478" s="28" t="str">
        <f aca="false">IF(BS478="","",ROUND(BS478/365.25,2))</f>
        <v/>
      </c>
      <c r="BU478" s="28" t="str">
        <f aca="false">IF(BS478="","",IF(BS478&gt;=730.5,"Yes","No"))</f>
        <v/>
      </c>
      <c r="BV478" s="27"/>
      <c r="BW478" s="29"/>
      <c r="BX478" s="27"/>
      <c r="BY478" s="27"/>
      <c r="BZ478" s="28" t="str">
        <f aca="false">IF(N(E478)=0,"",IF(E478&lt;65,"Under 65","≥65"))</f>
        <v/>
      </c>
      <c r="CA478" s="28" t="str">
        <f aca="false">IF(OR(AC478="Yes",AC478="No"),AC478,"")</f>
        <v/>
      </c>
      <c r="CB478" s="28" t="str">
        <f aca="false">IF(OR(AD478="Yes",AD478="No"),AD478,"")</f>
        <v/>
      </c>
      <c r="CC478" s="28" t="str">
        <f aca="false">IF(F478="","",F478)</f>
        <v/>
      </c>
      <c r="CD478" s="27"/>
      <c r="CE478" s="27"/>
    </row>
    <row r="479" customFormat="false" ht="15" hidden="false" customHeight="false" outlineLevel="0" collapsed="false">
      <c r="A479" s="27"/>
      <c r="B479" s="27"/>
      <c r="C479" s="27"/>
      <c r="D479" s="27"/>
      <c r="E479" s="27"/>
      <c r="F479" s="27"/>
      <c r="G479" s="27"/>
      <c r="H479" s="27"/>
      <c r="I479" s="27"/>
      <c r="J479" s="28" t="str">
        <f aca="false">IF(AND(N(H479)&gt;0,N(I479)&gt;0),ROUND(I479/(H479/100)^2,1),"")</f>
        <v/>
      </c>
      <c r="K479" s="27"/>
      <c r="L479" s="27"/>
      <c r="M479" s="27"/>
      <c r="N479" s="27"/>
      <c r="O479" s="27"/>
      <c r="P479" s="27"/>
      <c r="Q479" s="27"/>
      <c r="R479" s="29"/>
      <c r="S479" s="29"/>
      <c r="T479" s="27"/>
      <c r="U479" s="28" t="str">
        <f aca="false">IF(N(T479)=0,"",IF(T479&lt;12,"Under 12 months",IF(T479&lt;36,"12-35 months",IF(T479&lt;60,"36-59 months","≥60 months"))))</f>
        <v/>
      </c>
      <c r="V479" s="27"/>
      <c r="W479" s="30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9"/>
      <c r="AT479" s="30"/>
      <c r="AU479" s="30"/>
      <c r="AV479" s="30"/>
      <c r="AW479" s="27"/>
      <c r="AX479" s="27"/>
      <c r="AY479" s="29"/>
      <c r="AZ479" s="27"/>
      <c r="BA479" s="27"/>
      <c r="BB479" s="29"/>
      <c r="BC479" s="30"/>
      <c r="BD479" s="30"/>
      <c r="BE479" s="30"/>
      <c r="BF479" s="27"/>
      <c r="BG479" s="27"/>
      <c r="BH479" s="28" t="str">
        <f aca="false">IF(COUNT(BC479:BE479)=0,"",IF(MIN(BC479:BE479)&lt;=-2.5,"Yes","No"))</f>
        <v/>
      </c>
      <c r="BI479" s="27"/>
      <c r="BJ479" s="29"/>
      <c r="BK479" s="27"/>
      <c r="BL479" s="27"/>
      <c r="BM479" s="27"/>
      <c r="BN479" s="28" t="str">
        <f aca="false">IF(OR(AX479="Yes",BI479="Yes"),"Yes",IF(AND(AX479="No",BI479="No"),"No",IF(AND(AX479="",BI479=""),"","Unknown")))</f>
        <v/>
      </c>
      <c r="BO479" s="31" t="str">
        <f aca="false">IF(COUNT(AY479,BJ479)=0,"",MIN(AY479,BJ479))</f>
        <v/>
      </c>
      <c r="BP479" s="29"/>
      <c r="BQ479" s="29"/>
      <c r="BR479" s="29"/>
      <c r="BS479" s="28" t="str">
        <f aca="false">IF(AND(N(BP479)&gt;0,N(BR479)&gt;0),BR479-BP479,"")</f>
        <v/>
      </c>
      <c r="BT479" s="28" t="str">
        <f aca="false">IF(BS479="","",ROUND(BS479/365.25,2))</f>
        <v/>
      </c>
      <c r="BU479" s="28" t="str">
        <f aca="false">IF(BS479="","",IF(BS479&gt;=730.5,"Yes","No"))</f>
        <v/>
      </c>
      <c r="BV479" s="27"/>
      <c r="BW479" s="29"/>
      <c r="BX479" s="27"/>
      <c r="BY479" s="27"/>
      <c r="BZ479" s="28" t="str">
        <f aca="false">IF(N(E479)=0,"",IF(E479&lt;65,"Under 65","≥65"))</f>
        <v/>
      </c>
      <c r="CA479" s="28" t="str">
        <f aca="false">IF(OR(AC479="Yes",AC479="No"),AC479,"")</f>
        <v/>
      </c>
      <c r="CB479" s="28" t="str">
        <f aca="false">IF(OR(AD479="Yes",AD479="No"),AD479,"")</f>
        <v/>
      </c>
      <c r="CC479" s="28" t="str">
        <f aca="false">IF(F479="","",F479)</f>
        <v/>
      </c>
      <c r="CD479" s="27"/>
      <c r="CE479" s="27"/>
    </row>
    <row r="480" customFormat="false" ht="15" hidden="false" customHeight="false" outlineLevel="0" collapsed="false">
      <c r="A480" s="27"/>
      <c r="B480" s="27"/>
      <c r="C480" s="27"/>
      <c r="D480" s="27"/>
      <c r="E480" s="27"/>
      <c r="F480" s="27"/>
      <c r="G480" s="27"/>
      <c r="H480" s="27"/>
      <c r="I480" s="27"/>
      <c r="J480" s="28" t="str">
        <f aca="false">IF(AND(N(H480)&gt;0,N(I480)&gt;0),ROUND(I480/(H480/100)^2,1),"")</f>
        <v/>
      </c>
      <c r="K480" s="27"/>
      <c r="L480" s="27"/>
      <c r="M480" s="27"/>
      <c r="N480" s="27"/>
      <c r="O480" s="27"/>
      <c r="P480" s="27"/>
      <c r="Q480" s="27"/>
      <c r="R480" s="29"/>
      <c r="S480" s="29"/>
      <c r="T480" s="27"/>
      <c r="U480" s="28" t="str">
        <f aca="false">IF(N(T480)=0,"",IF(T480&lt;12,"Under 12 months",IF(T480&lt;36,"12-35 months",IF(T480&lt;60,"36-59 months","≥60 months"))))</f>
        <v/>
      </c>
      <c r="V480" s="27"/>
      <c r="W480" s="30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9"/>
      <c r="AT480" s="30"/>
      <c r="AU480" s="30"/>
      <c r="AV480" s="30"/>
      <c r="AW480" s="27"/>
      <c r="AX480" s="27"/>
      <c r="AY480" s="29"/>
      <c r="AZ480" s="27"/>
      <c r="BA480" s="27"/>
      <c r="BB480" s="29"/>
      <c r="BC480" s="30"/>
      <c r="BD480" s="30"/>
      <c r="BE480" s="30"/>
      <c r="BF480" s="27"/>
      <c r="BG480" s="27"/>
      <c r="BH480" s="28" t="str">
        <f aca="false">IF(COUNT(BC480:BE480)=0,"",IF(MIN(BC480:BE480)&lt;=-2.5,"Yes","No"))</f>
        <v/>
      </c>
      <c r="BI480" s="27"/>
      <c r="BJ480" s="29"/>
      <c r="BK480" s="27"/>
      <c r="BL480" s="27"/>
      <c r="BM480" s="27"/>
      <c r="BN480" s="28" t="str">
        <f aca="false">IF(OR(AX480="Yes",BI480="Yes"),"Yes",IF(AND(AX480="No",BI480="No"),"No",IF(AND(AX480="",BI480=""),"","Unknown")))</f>
        <v/>
      </c>
      <c r="BO480" s="31" t="str">
        <f aca="false">IF(COUNT(AY480,BJ480)=0,"",MIN(AY480,BJ480))</f>
        <v/>
      </c>
      <c r="BP480" s="29"/>
      <c r="BQ480" s="29"/>
      <c r="BR480" s="29"/>
      <c r="BS480" s="28" t="str">
        <f aca="false">IF(AND(N(BP480)&gt;0,N(BR480)&gt;0),BR480-BP480,"")</f>
        <v/>
      </c>
      <c r="BT480" s="28" t="str">
        <f aca="false">IF(BS480="","",ROUND(BS480/365.25,2))</f>
        <v/>
      </c>
      <c r="BU480" s="28" t="str">
        <f aca="false">IF(BS480="","",IF(BS480&gt;=730.5,"Yes","No"))</f>
        <v/>
      </c>
      <c r="BV480" s="27"/>
      <c r="BW480" s="29"/>
      <c r="BX480" s="27"/>
      <c r="BY480" s="27"/>
      <c r="BZ480" s="28" t="str">
        <f aca="false">IF(N(E480)=0,"",IF(E480&lt;65,"Under 65","≥65"))</f>
        <v/>
      </c>
      <c r="CA480" s="28" t="str">
        <f aca="false">IF(OR(AC480="Yes",AC480="No"),AC480,"")</f>
        <v/>
      </c>
      <c r="CB480" s="28" t="str">
        <f aca="false">IF(OR(AD480="Yes",AD480="No"),AD480,"")</f>
        <v/>
      </c>
      <c r="CC480" s="28" t="str">
        <f aca="false">IF(F480="","",F480)</f>
        <v/>
      </c>
      <c r="CD480" s="27"/>
      <c r="CE480" s="27"/>
    </row>
    <row r="481" customFormat="false" ht="15" hidden="false" customHeight="false" outlineLevel="0" collapsed="false">
      <c r="A481" s="27"/>
      <c r="B481" s="27"/>
      <c r="C481" s="27"/>
      <c r="D481" s="27"/>
      <c r="E481" s="27"/>
      <c r="F481" s="27"/>
      <c r="G481" s="27"/>
      <c r="H481" s="27"/>
      <c r="I481" s="27"/>
      <c r="J481" s="28" t="str">
        <f aca="false">IF(AND(N(H481)&gt;0,N(I481)&gt;0),ROUND(I481/(H481/100)^2,1),"")</f>
        <v/>
      </c>
      <c r="K481" s="27"/>
      <c r="L481" s="27"/>
      <c r="M481" s="27"/>
      <c r="N481" s="27"/>
      <c r="O481" s="27"/>
      <c r="P481" s="27"/>
      <c r="Q481" s="27"/>
      <c r="R481" s="29"/>
      <c r="S481" s="29"/>
      <c r="T481" s="27"/>
      <c r="U481" s="28" t="str">
        <f aca="false">IF(N(T481)=0,"",IF(T481&lt;12,"Under 12 months",IF(T481&lt;36,"12-35 months",IF(T481&lt;60,"36-59 months","≥60 months"))))</f>
        <v/>
      </c>
      <c r="V481" s="27"/>
      <c r="W481" s="30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9"/>
      <c r="AT481" s="30"/>
      <c r="AU481" s="30"/>
      <c r="AV481" s="30"/>
      <c r="AW481" s="27"/>
      <c r="AX481" s="27"/>
      <c r="AY481" s="29"/>
      <c r="AZ481" s="27"/>
      <c r="BA481" s="27"/>
      <c r="BB481" s="29"/>
      <c r="BC481" s="30"/>
      <c r="BD481" s="30"/>
      <c r="BE481" s="30"/>
      <c r="BF481" s="27"/>
      <c r="BG481" s="27"/>
      <c r="BH481" s="28" t="str">
        <f aca="false">IF(COUNT(BC481:BE481)=0,"",IF(MIN(BC481:BE481)&lt;=-2.5,"Yes","No"))</f>
        <v/>
      </c>
      <c r="BI481" s="27"/>
      <c r="BJ481" s="29"/>
      <c r="BK481" s="27"/>
      <c r="BL481" s="27"/>
      <c r="BM481" s="27"/>
      <c r="BN481" s="28" t="str">
        <f aca="false">IF(OR(AX481="Yes",BI481="Yes"),"Yes",IF(AND(AX481="No",BI481="No"),"No",IF(AND(AX481="",BI481=""),"","Unknown")))</f>
        <v/>
      </c>
      <c r="BO481" s="31" t="str">
        <f aca="false">IF(COUNT(AY481,BJ481)=0,"",MIN(AY481,BJ481))</f>
        <v/>
      </c>
      <c r="BP481" s="29"/>
      <c r="BQ481" s="29"/>
      <c r="BR481" s="29"/>
      <c r="BS481" s="28" t="str">
        <f aca="false">IF(AND(N(BP481)&gt;0,N(BR481)&gt;0),BR481-BP481,"")</f>
        <v/>
      </c>
      <c r="BT481" s="28" t="str">
        <f aca="false">IF(BS481="","",ROUND(BS481/365.25,2))</f>
        <v/>
      </c>
      <c r="BU481" s="28" t="str">
        <f aca="false">IF(BS481="","",IF(BS481&gt;=730.5,"Yes","No"))</f>
        <v/>
      </c>
      <c r="BV481" s="27"/>
      <c r="BW481" s="29"/>
      <c r="BX481" s="27"/>
      <c r="BY481" s="27"/>
      <c r="BZ481" s="28" t="str">
        <f aca="false">IF(N(E481)=0,"",IF(E481&lt;65,"Under 65","≥65"))</f>
        <v/>
      </c>
      <c r="CA481" s="28" t="str">
        <f aca="false">IF(OR(AC481="Yes",AC481="No"),AC481,"")</f>
        <v/>
      </c>
      <c r="CB481" s="28" t="str">
        <f aca="false">IF(OR(AD481="Yes",AD481="No"),AD481,"")</f>
        <v/>
      </c>
      <c r="CC481" s="28" t="str">
        <f aca="false">IF(F481="","",F481)</f>
        <v/>
      </c>
      <c r="CD481" s="27"/>
      <c r="CE481" s="27"/>
    </row>
    <row r="482" customFormat="false" ht="15" hidden="false" customHeight="false" outlineLevel="0" collapsed="false">
      <c r="A482" s="27"/>
      <c r="B482" s="27"/>
      <c r="C482" s="27"/>
      <c r="D482" s="27"/>
      <c r="E482" s="27"/>
      <c r="F482" s="27"/>
      <c r="G482" s="27"/>
      <c r="H482" s="27"/>
      <c r="I482" s="27"/>
      <c r="J482" s="28" t="str">
        <f aca="false">IF(AND(N(H482)&gt;0,N(I482)&gt;0),ROUND(I482/(H482/100)^2,1),"")</f>
        <v/>
      </c>
      <c r="K482" s="27"/>
      <c r="L482" s="27"/>
      <c r="M482" s="27"/>
      <c r="N482" s="27"/>
      <c r="O482" s="27"/>
      <c r="P482" s="27"/>
      <c r="Q482" s="27"/>
      <c r="R482" s="29"/>
      <c r="S482" s="29"/>
      <c r="T482" s="27"/>
      <c r="U482" s="28" t="str">
        <f aca="false">IF(N(T482)=0,"",IF(T482&lt;12,"Under 12 months",IF(T482&lt;36,"12-35 months",IF(T482&lt;60,"36-59 months","≥60 months"))))</f>
        <v/>
      </c>
      <c r="V482" s="27"/>
      <c r="W482" s="30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9"/>
      <c r="AT482" s="30"/>
      <c r="AU482" s="30"/>
      <c r="AV482" s="30"/>
      <c r="AW482" s="27"/>
      <c r="AX482" s="27"/>
      <c r="AY482" s="29"/>
      <c r="AZ482" s="27"/>
      <c r="BA482" s="27"/>
      <c r="BB482" s="29"/>
      <c r="BC482" s="30"/>
      <c r="BD482" s="30"/>
      <c r="BE482" s="30"/>
      <c r="BF482" s="27"/>
      <c r="BG482" s="27"/>
      <c r="BH482" s="28" t="str">
        <f aca="false">IF(COUNT(BC482:BE482)=0,"",IF(MIN(BC482:BE482)&lt;=-2.5,"Yes","No"))</f>
        <v/>
      </c>
      <c r="BI482" s="27"/>
      <c r="BJ482" s="29"/>
      <c r="BK482" s="27"/>
      <c r="BL482" s="27"/>
      <c r="BM482" s="27"/>
      <c r="BN482" s="28" t="str">
        <f aca="false">IF(OR(AX482="Yes",BI482="Yes"),"Yes",IF(AND(AX482="No",BI482="No"),"No",IF(AND(AX482="",BI482=""),"","Unknown")))</f>
        <v/>
      </c>
      <c r="BO482" s="31" t="str">
        <f aca="false">IF(COUNT(AY482,BJ482)=0,"",MIN(AY482,BJ482))</f>
        <v/>
      </c>
      <c r="BP482" s="29"/>
      <c r="BQ482" s="29"/>
      <c r="BR482" s="29"/>
      <c r="BS482" s="28" t="str">
        <f aca="false">IF(AND(N(BP482)&gt;0,N(BR482)&gt;0),BR482-BP482,"")</f>
        <v/>
      </c>
      <c r="BT482" s="28" t="str">
        <f aca="false">IF(BS482="","",ROUND(BS482/365.25,2))</f>
        <v/>
      </c>
      <c r="BU482" s="28" t="str">
        <f aca="false">IF(BS482="","",IF(BS482&gt;=730.5,"Yes","No"))</f>
        <v/>
      </c>
      <c r="BV482" s="27"/>
      <c r="BW482" s="29"/>
      <c r="BX482" s="27"/>
      <c r="BY482" s="27"/>
      <c r="BZ482" s="28" t="str">
        <f aca="false">IF(N(E482)=0,"",IF(E482&lt;65,"Under 65","≥65"))</f>
        <v/>
      </c>
      <c r="CA482" s="28" t="str">
        <f aca="false">IF(OR(AC482="Yes",AC482="No"),AC482,"")</f>
        <v/>
      </c>
      <c r="CB482" s="28" t="str">
        <f aca="false">IF(OR(AD482="Yes",AD482="No"),AD482,"")</f>
        <v/>
      </c>
      <c r="CC482" s="28" t="str">
        <f aca="false">IF(F482="","",F482)</f>
        <v/>
      </c>
      <c r="CD482" s="27"/>
      <c r="CE482" s="27"/>
    </row>
    <row r="483" customFormat="false" ht="15" hidden="false" customHeight="false" outlineLevel="0" collapsed="false">
      <c r="A483" s="27"/>
      <c r="B483" s="27"/>
      <c r="C483" s="27"/>
      <c r="D483" s="27"/>
      <c r="E483" s="27"/>
      <c r="F483" s="27"/>
      <c r="G483" s="27"/>
      <c r="H483" s="27"/>
      <c r="I483" s="27"/>
      <c r="J483" s="28" t="str">
        <f aca="false">IF(AND(N(H483)&gt;0,N(I483)&gt;0),ROUND(I483/(H483/100)^2,1),"")</f>
        <v/>
      </c>
      <c r="K483" s="27"/>
      <c r="L483" s="27"/>
      <c r="M483" s="27"/>
      <c r="N483" s="27"/>
      <c r="O483" s="27"/>
      <c r="P483" s="27"/>
      <c r="Q483" s="27"/>
      <c r="R483" s="29"/>
      <c r="S483" s="29"/>
      <c r="T483" s="27"/>
      <c r="U483" s="28" t="str">
        <f aca="false">IF(N(T483)=0,"",IF(T483&lt;12,"Under 12 months",IF(T483&lt;36,"12-35 months",IF(T483&lt;60,"36-59 months","≥60 months"))))</f>
        <v/>
      </c>
      <c r="V483" s="27"/>
      <c r="W483" s="30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9"/>
      <c r="AT483" s="30"/>
      <c r="AU483" s="30"/>
      <c r="AV483" s="30"/>
      <c r="AW483" s="27"/>
      <c r="AX483" s="27"/>
      <c r="AY483" s="29"/>
      <c r="AZ483" s="27"/>
      <c r="BA483" s="27"/>
      <c r="BB483" s="29"/>
      <c r="BC483" s="30"/>
      <c r="BD483" s="30"/>
      <c r="BE483" s="30"/>
      <c r="BF483" s="27"/>
      <c r="BG483" s="27"/>
      <c r="BH483" s="28" t="str">
        <f aca="false">IF(COUNT(BC483:BE483)=0,"",IF(MIN(BC483:BE483)&lt;=-2.5,"Yes","No"))</f>
        <v/>
      </c>
      <c r="BI483" s="27"/>
      <c r="BJ483" s="29"/>
      <c r="BK483" s="27"/>
      <c r="BL483" s="27"/>
      <c r="BM483" s="27"/>
      <c r="BN483" s="28" t="str">
        <f aca="false">IF(OR(AX483="Yes",BI483="Yes"),"Yes",IF(AND(AX483="No",BI483="No"),"No",IF(AND(AX483="",BI483=""),"","Unknown")))</f>
        <v/>
      </c>
      <c r="BO483" s="31" t="str">
        <f aca="false">IF(COUNT(AY483,BJ483)=0,"",MIN(AY483,BJ483))</f>
        <v/>
      </c>
      <c r="BP483" s="29"/>
      <c r="BQ483" s="29"/>
      <c r="BR483" s="29"/>
      <c r="BS483" s="28" t="str">
        <f aca="false">IF(AND(N(BP483)&gt;0,N(BR483)&gt;0),BR483-BP483,"")</f>
        <v/>
      </c>
      <c r="BT483" s="28" t="str">
        <f aca="false">IF(BS483="","",ROUND(BS483/365.25,2))</f>
        <v/>
      </c>
      <c r="BU483" s="28" t="str">
        <f aca="false">IF(BS483="","",IF(BS483&gt;=730.5,"Yes","No"))</f>
        <v/>
      </c>
      <c r="BV483" s="27"/>
      <c r="BW483" s="29"/>
      <c r="BX483" s="27"/>
      <c r="BY483" s="27"/>
      <c r="BZ483" s="28" t="str">
        <f aca="false">IF(N(E483)=0,"",IF(E483&lt;65,"Under 65","≥65"))</f>
        <v/>
      </c>
      <c r="CA483" s="28" t="str">
        <f aca="false">IF(OR(AC483="Yes",AC483="No"),AC483,"")</f>
        <v/>
      </c>
      <c r="CB483" s="28" t="str">
        <f aca="false">IF(OR(AD483="Yes",AD483="No"),AD483,"")</f>
        <v/>
      </c>
      <c r="CC483" s="28" t="str">
        <f aca="false">IF(F483="","",F483)</f>
        <v/>
      </c>
      <c r="CD483" s="27"/>
      <c r="CE483" s="27"/>
    </row>
    <row r="484" customFormat="false" ht="15" hidden="false" customHeight="false" outlineLevel="0" collapsed="false">
      <c r="A484" s="27"/>
      <c r="B484" s="27"/>
      <c r="C484" s="27"/>
      <c r="D484" s="27"/>
      <c r="E484" s="27"/>
      <c r="F484" s="27"/>
      <c r="G484" s="27"/>
      <c r="H484" s="27"/>
      <c r="I484" s="27"/>
      <c r="J484" s="28" t="str">
        <f aca="false">IF(AND(N(H484)&gt;0,N(I484)&gt;0),ROUND(I484/(H484/100)^2,1),"")</f>
        <v/>
      </c>
      <c r="K484" s="27"/>
      <c r="L484" s="27"/>
      <c r="M484" s="27"/>
      <c r="N484" s="27"/>
      <c r="O484" s="27"/>
      <c r="P484" s="27"/>
      <c r="Q484" s="27"/>
      <c r="R484" s="29"/>
      <c r="S484" s="29"/>
      <c r="T484" s="27"/>
      <c r="U484" s="28" t="str">
        <f aca="false">IF(N(T484)=0,"",IF(T484&lt;12,"Under 12 months",IF(T484&lt;36,"12-35 months",IF(T484&lt;60,"36-59 months","≥60 months"))))</f>
        <v/>
      </c>
      <c r="V484" s="27"/>
      <c r="W484" s="30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9"/>
      <c r="AT484" s="30"/>
      <c r="AU484" s="30"/>
      <c r="AV484" s="30"/>
      <c r="AW484" s="27"/>
      <c r="AX484" s="27"/>
      <c r="AY484" s="29"/>
      <c r="AZ484" s="27"/>
      <c r="BA484" s="27"/>
      <c r="BB484" s="29"/>
      <c r="BC484" s="30"/>
      <c r="BD484" s="30"/>
      <c r="BE484" s="30"/>
      <c r="BF484" s="27"/>
      <c r="BG484" s="27"/>
      <c r="BH484" s="28" t="str">
        <f aca="false">IF(COUNT(BC484:BE484)=0,"",IF(MIN(BC484:BE484)&lt;=-2.5,"Yes","No"))</f>
        <v/>
      </c>
      <c r="BI484" s="27"/>
      <c r="BJ484" s="29"/>
      <c r="BK484" s="27"/>
      <c r="BL484" s="27"/>
      <c r="BM484" s="27"/>
      <c r="BN484" s="28" t="str">
        <f aca="false">IF(OR(AX484="Yes",BI484="Yes"),"Yes",IF(AND(AX484="No",BI484="No"),"No",IF(AND(AX484="",BI484=""),"","Unknown")))</f>
        <v/>
      </c>
      <c r="BO484" s="31" t="str">
        <f aca="false">IF(COUNT(AY484,BJ484)=0,"",MIN(AY484,BJ484))</f>
        <v/>
      </c>
      <c r="BP484" s="29"/>
      <c r="BQ484" s="29"/>
      <c r="BR484" s="29"/>
      <c r="BS484" s="28" t="str">
        <f aca="false">IF(AND(N(BP484)&gt;0,N(BR484)&gt;0),BR484-BP484,"")</f>
        <v/>
      </c>
      <c r="BT484" s="28" t="str">
        <f aca="false">IF(BS484="","",ROUND(BS484/365.25,2))</f>
        <v/>
      </c>
      <c r="BU484" s="28" t="str">
        <f aca="false">IF(BS484="","",IF(BS484&gt;=730.5,"Yes","No"))</f>
        <v/>
      </c>
      <c r="BV484" s="27"/>
      <c r="BW484" s="29"/>
      <c r="BX484" s="27"/>
      <c r="BY484" s="27"/>
      <c r="BZ484" s="28" t="str">
        <f aca="false">IF(N(E484)=0,"",IF(E484&lt;65,"Under 65","≥65"))</f>
        <v/>
      </c>
      <c r="CA484" s="28" t="str">
        <f aca="false">IF(OR(AC484="Yes",AC484="No"),AC484,"")</f>
        <v/>
      </c>
      <c r="CB484" s="28" t="str">
        <f aca="false">IF(OR(AD484="Yes",AD484="No"),AD484,"")</f>
        <v/>
      </c>
      <c r="CC484" s="28" t="str">
        <f aca="false">IF(F484="","",F484)</f>
        <v/>
      </c>
      <c r="CD484" s="27"/>
      <c r="CE484" s="27"/>
    </row>
    <row r="485" customFormat="false" ht="15" hidden="false" customHeight="false" outlineLevel="0" collapsed="false">
      <c r="A485" s="27"/>
      <c r="B485" s="27"/>
      <c r="C485" s="27"/>
      <c r="D485" s="27"/>
      <c r="E485" s="27"/>
      <c r="F485" s="27"/>
      <c r="G485" s="27"/>
      <c r="H485" s="27"/>
      <c r="I485" s="27"/>
      <c r="J485" s="28" t="str">
        <f aca="false">IF(AND(N(H485)&gt;0,N(I485)&gt;0),ROUND(I485/(H485/100)^2,1),"")</f>
        <v/>
      </c>
      <c r="K485" s="27"/>
      <c r="L485" s="27"/>
      <c r="M485" s="27"/>
      <c r="N485" s="27"/>
      <c r="O485" s="27"/>
      <c r="P485" s="27"/>
      <c r="Q485" s="27"/>
      <c r="R485" s="29"/>
      <c r="S485" s="29"/>
      <c r="T485" s="27"/>
      <c r="U485" s="28" t="str">
        <f aca="false">IF(N(T485)=0,"",IF(T485&lt;12,"Under 12 months",IF(T485&lt;36,"12-35 months",IF(T485&lt;60,"36-59 months","≥60 months"))))</f>
        <v/>
      </c>
      <c r="V485" s="27"/>
      <c r="W485" s="30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9"/>
      <c r="AT485" s="30"/>
      <c r="AU485" s="30"/>
      <c r="AV485" s="30"/>
      <c r="AW485" s="27"/>
      <c r="AX485" s="27"/>
      <c r="AY485" s="29"/>
      <c r="AZ485" s="27"/>
      <c r="BA485" s="27"/>
      <c r="BB485" s="29"/>
      <c r="BC485" s="30"/>
      <c r="BD485" s="30"/>
      <c r="BE485" s="30"/>
      <c r="BF485" s="27"/>
      <c r="BG485" s="27"/>
      <c r="BH485" s="28" t="str">
        <f aca="false">IF(COUNT(BC485:BE485)=0,"",IF(MIN(BC485:BE485)&lt;=-2.5,"Yes","No"))</f>
        <v/>
      </c>
      <c r="BI485" s="27"/>
      <c r="BJ485" s="29"/>
      <c r="BK485" s="27"/>
      <c r="BL485" s="27"/>
      <c r="BM485" s="27"/>
      <c r="BN485" s="28" t="str">
        <f aca="false">IF(OR(AX485="Yes",BI485="Yes"),"Yes",IF(AND(AX485="No",BI485="No"),"No",IF(AND(AX485="",BI485=""),"","Unknown")))</f>
        <v/>
      </c>
      <c r="BO485" s="31" t="str">
        <f aca="false">IF(COUNT(AY485,BJ485)=0,"",MIN(AY485,BJ485))</f>
        <v/>
      </c>
      <c r="BP485" s="29"/>
      <c r="BQ485" s="29"/>
      <c r="BR485" s="29"/>
      <c r="BS485" s="28" t="str">
        <f aca="false">IF(AND(N(BP485)&gt;0,N(BR485)&gt;0),BR485-BP485,"")</f>
        <v/>
      </c>
      <c r="BT485" s="28" t="str">
        <f aca="false">IF(BS485="","",ROUND(BS485/365.25,2))</f>
        <v/>
      </c>
      <c r="BU485" s="28" t="str">
        <f aca="false">IF(BS485="","",IF(BS485&gt;=730.5,"Yes","No"))</f>
        <v/>
      </c>
      <c r="BV485" s="27"/>
      <c r="BW485" s="29"/>
      <c r="BX485" s="27"/>
      <c r="BY485" s="27"/>
      <c r="BZ485" s="28" t="str">
        <f aca="false">IF(N(E485)=0,"",IF(E485&lt;65,"Under 65","≥65"))</f>
        <v/>
      </c>
      <c r="CA485" s="28" t="str">
        <f aca="false">IF(OR(AC485="Yes",AC485="No"),AC485,"")</f>
        <v/>
      </c>
      <c r="CB485" s="28" t="str">
        <f aca="false">IF(OR(AD485="Yes",AD485="No"),AD485,"")</f>
        <v/>
      </c>
      <c r="CC485" s="28" t="str">
        <f aca="false">IF(F485="","",F485)</f>
        <v/>
      </c>
      <c r="CD485" s="27"/>
      <c r="CE485" s="27"/>
    </row>
    <row r="486" customFormat="false" ht="15" hidden="false" customHeight="false" outlineLevel="0" collapsed="false">
      <c r="A486" s="27"/>
      <c r="B486" s="27"/>
      <c r="C486" s="27"/>
      <c r="D486" s="27"/>
      <c r="E486" s="27"/>
      <c r="F486" s="27"/>
      <c r="G486" s="27"/>
      <c r="H486" s="27"/>
      <c r="I486" s="27"/>
      <c r="J486" s="28" t="str">
        <f aca="false">IF(AND(N(H486)&gt;0,N(I486)&gt;0),ROUND(I486/(H486/100)^2,1),"")</f>
        <v/>
      </c>
      <c r="K486" s="27"/>
      <c r="L486" s="27"/>
      <c r="M486" s="27"/>
      <c r="N486" s="27"/>
      <c r="O486" s="27"/>
      <c r="P486" s="27"/>
      <c r="Q486" s="27"/>
      <c r="R486" s="29"/>
      <c r="S486" s="29"/>
      <c r="T486" s="27"/>
      <c r="U486" s="28" t="str">
        <f aca="false">IF(N(T486)=0,"",IF(T486&lt;12,"Under 12 months",IF(T486&lt;36,"12-35 months",IF(T486&lt;60,"36-59 months","≥60 months"))))</f>
        <v/>
      </c>
      <c r="V486" s="27"/>
      <c r="W486" s="30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9"/>
      <c r="AT486" s="30"/>
      <c r="AU486" s="30"/>
      <c r="AV486" s="30"/>
      <c r="AW486" s="27"/>
      <c r="AX486" s="27"/>
      <c r="AY486" s="29"/>
      <c r="AZ486" s="27"/>
      <c r="BA486" s="27"/>
      <c r="BB486" s="29"/>
      <c r="BC486" s="30"/>
      <c r="BD486" s="30"/>
      <c r="BE486" s="30"/>
      <c r="BF486" s="27"/>
      <c r="BG486" s="27"/>
      <c r="BH486" s="28" t="str">
        <f aca="false">IF(COUNT(BC486:BE486)=0,"",IF(MIN(BC486:BE486)&lt;=-2.5,"Yes","No"))</f>
        <v/>
      </c>
      <c r="BI486" s="27"/>
      <c r="BJ486" s="29"/>
      <c r="BK486" s="27"/>
      <c r="BL486" s="27"/>
      <c r="BM486" s="27"/>
      <c r="BN486" s="28" t="str">
        <f aca="false">IF(OR(AX486="Yes",BI486="Yes"),"Yes",IF(AND(AX486="No",BI486="No"),"No",IF(AND(AX486="",BI486=""),"","Unknown")))</f>
        <v/>
      </c>
      <c r="BO486" s="31" t="str">
        <f aca="false">IF(COUNT(AY486,BJ486)=0,"",MIN(AY486,BJ486))</f>
        <v/>
      </c>
      <c r="BP486" s="29"/>
      <c r="BQ486" s="29"/>
      <c r="BR486" s="29"/>
      <c r="BS486" s="28" t="str">
        <f aca="false">IF(AND(N(BP486)&gt;0,N(BR486)&gt;0),BR486-BP486,"")</f>
        <v/>
      </c>
      <c r="BT486" s="28" t="str">
        <f aca="false">IF(BS486="","",ROUND(BS486/365.25,2))</f>
        <v/>
      </c>
      <c r="BU486" s="28" t="str">
        <f aca="false">IF(BS486="","",IF(BS486&gt;=730.5,"Yes","No"))</f>
        <v/>
      </c>
      <c r="BV486" s="27"/>
      <c r="BW486" s="29"/>
      <c r="BX486" s="27"/>
      <c r="BY486" s="27"/>
      <c r="BZ486" s="28" t="str">
        <f aca="false">IF(N(E486)=0,"",IF(E486&lt;65,"Under 65","≥65"))</f>
        <v/>
      </c>
      <c r="CA486" s="28" t="str">
        <f aca="false">IF(OR(AC486="Yes",AC486="No"),AC486,"")</f>
        <v/>
      </c>
      <c r="CB486" s="28" t="str">
        <f aca="false">IF(OR(AD486="Yes",AD486="No"),AD486,"")</f>
        <v/>
      </c>
      <c r="CC486" s="28" t="str">
        <f aca="false">IF(F486="","",F486)</f>
        <v/>
      </c>
      <c r="CD486" s="27"/>
      <c r="CE486" s="27"/>
    </row>
    <row r="487" customFormat="false" ht="15" hidden="false" customHeight="false" outlineLevel="0" collapsed="false">
      <c r="A487" s="27"/>
      <c r="B487" s="27"/>
      <c r="C487" s="27"/>
      <c r="D487" s="27"/>
      <c r="E487" s="27"/>
      <c r="F487" s="27"/>
      <c r="G487" s="27"/>
      <c r="H487" s="27"/>
      <c r="I487" s="27"/>
      <c r="J487" s="28" t="str">
        <f aca="false">IF(AND(N(H487)&gt;0,N(I487)&gt;0),ROUND(I487/(H487/100)^2,1),"")</f>
        <v/>
      </c>
      <c r="K487" s="27"/>
      <c r="L487" s="27"/>
      <c r="M487" s="27"/>
      <c r="N487" s="27"/>
      <c r="O487" s="27"/>
      <c r="P487" s="27"/>
      <c r="Q487" s="27"/>
      <c r="R487" s="29"/>
      <c r="S487" s="29"/>
      <c r="T487" s="27"/>
      <c r="U487" s="28" t="str">
        <f aca="false">IF(N(T487)=0,"",IF(T487&lt;12,"Under 12 months",IF(T487&lt;36,"12-35 months",IF(T487&lt;60,"36-59 months","≥60 months"))))</f>
        <v/>
      </c>
      <c r="V487" s="27"/>
      <c r="W487" s="30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9"/>
      <c r="AT487" s="30"/>
      <c r="AU487" s="30"/>
      <c r="AV487" s="30"/>
      <c r="AW487" s="27"/>
      <c r="AX487" s="27"/>
      <c r="AY487" s="29"/>
      <c r="AZ487" s="27"/>
      <c r="BA487" s="27"/>
      <c r="BB487" s="29"/>
      <c r="BC487" s="30"/>
      <c r="BD487" s="30"/>
      <c r="BE487" s="30"/>
      <c r="BF487" s="27"/>
      <c r="BG487" s="27"/>
      <c r="BH487" s="28" t="str">
        <f aca="false">IF(COUNT(BC487:BE487)=0,"",IF(MIN(BC487:BE487)&lt;=-2.5,"Yes","No"))</f>
        <v/>
      </c>
      <c r="BI487" s="27"/>
      <c r="BJ487" s="29"/>
      <c r="BK487" s="27"/>
      <c r="BL487" s="27"/>
      <c r="BM487" s="27"/>
      <c r="BN487" s="28" t="str">
        <f aca="false">IF(OR(AX487="Yes",BI487="Yes"),"Yes",IF(AND(AX487="No",BI487="No"),"No",IF(AND(AX487="",BI487=""),"","Unknown")))</f>
        <v/>
      </c>
      <c r="BO487" s="31" t="str">
        <f aca="false">IF(COUNT(AY487,BJ487)=0,"",MIN(AY487,BJ487))</f>
        <v/>
      </c>
      <c r="BP487" s="29"/>
      <c r="BQ487" s="29"/>
      <c r="BR487" s="29"/>
      <c r="BS487" s="28" t="str">
        <f aca="false">IF(AND(N(BP487)&gt;0,N(BR487)&gt;0),BR487-BP487,"")</f>
        <v/>
      </c>
      <c r="BT487" s="28" t="str">
        <f aca="false">IF(BS487="","",ROUND(BS487/365.25,2))</f>
        <v/>
      </c>
      <c r="BU487" s="28" t="str">
        <f aca="false">IF(BS487="","",IF(BS487&gt;=730.5,"Yes","No"))</f>
        <v/>
      </c>
      <c r="BV487" s="27"/>
      <c r="BW487" s="29"/>
      <c r="BX487" s="27"/>
      <c r="BY487" s="27"/>
      <c r="BZ487" s="28" t="str">
        <f aca="false">IF(N(E487)=0,"",IF(E487&lt;65,"Under 65","≥65"))</f>
        <v/>
      </c>
      <c r="CA487" s="28" t="str">
        <f aca="false">IF(OR(AC487="Yes",AC487="No"),AC487,"")</f>
        <v/>
      </c>
      <c r="CB487" s="28" t="str">
        <f aca="false">IF(OR(AD487="Yes",AD487="No"),AD487,"")</f>
        <v/>
      </c>
      <c r="CC487" s="28" t="str">
        <f aca="false">IF(F487="","",F487)</f>
        <v/>
      </c>
      <c r="CD487" s="27"/>
      <c r="CE487" s="27"/>
    </row>
    <row r="488" customFormat="false" ht="15" hidden="false" customHeight="false" outlineLevel="0" collapsed="false">
      <c r="A488" s="27"/>
      <c r="B488" s="27"/>
      <c r="C488" s="27"/>
      <c r="D488" s="27"/>
      <c r="E488" s="27"/>
      <c r="F488" s="27"/>
      <c r="G488" s="27"/>
      <c r="H488" s="27"/>
      <c r="I488" s="27"/>
      <c r="J488" s="28" t="str">
        <f aca="false">IF(AND(N(H488)&gt;0,N(I488)&gt;0),ROUND(I488/(H488/100)^2,1),"")</f>
        <v/>
      </c>
      <c r="K488" s="27"/>
      <c r="L488" s="27"/>
      <c r="M488" s="27"/>
      <c r="N488" s="27"/>
      <c r="O488" s="27"/>
      <c r="P488" s="27"/>
      <c r="Q488" s="27"/>
      <c r="R488" s="29"/>
      <c r="S488" s="29"/>
      <c r="T488" s="27"/>
      <c r="U488" s="28" t="str">
        <f aca="false">IF(N(T488)=0,"",IF(T488&lt;12,"Under 12 months",IF(T488&lt;36,"12-35 months",IF(T488&lt;60,"36-59 months","≥60 months"))))</f>
        <v/>
      </c>
      <c r="V488" s="27"/>
      <c r="W488" s="30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9"/>
      <c r="AT488" s="30"/>
      <c r="AU488" s="30"/>
      <c r="AV488" s="30"/>
      <c r="AW488" s="27"/>
      <c r="AX488" s="27"/>
      <c r="AY488" s="29"/>
      <c r="AZ488" s="27"/>
      <c r="BA488" s="27"/>
      <c r="BB488" s="29"/>
      <c r="BC488" s="30"/>
      <c r="BD488" s="30"/>
      <c r="BE488" s="30"/>
      <c r="BF488" s="27"/>
      <c r="BG488" s="27"/>
      <c r="BH488" s="28" t="str">
        <f aca="false">IF(COUNT(BC488:BE488)=0,"",IF(MIN(BC488:BE488)&lt;=-2.5,"Yes","No"))</f>
        <v/>
      </c>
      <c r="BI488" s="27"/>
      <c r="BJ488" s="29"/>
      <c r="BK488" s="27"/>
      <c r="BL488" s="27"/>
      <c r="BM488" s="27"/>
      <c r="BN488" s="28" t="str">
        <f aca="false">IF(OR(AX488="Yes",BI488="Yes"),"Yes",IF(AND(AX488="No",BI488="No"),"No",IF(AND(AX488="",BI488=""),"","Unknown")))</f>
        <v/>
      </c>
      <c r="BO488" s="31" t="str">
        <f aca="false">IF(COUNT(AY488,BJ488)=0,"",MIN(AY488,BJ488))</f>
        <v/>
      </c>
      <c r="BP488" s="29"/>
      <c r="BQ488" s="29"/>
      <c r="BR488" s="29"/>
      <c r="BS488" s="28" t="str">
        <f aca="false">IF(AND(N(BP488)&gt;0,N(BR488)&gt;0),BR488-BP488,"")</f>
        <v/>
      </c>
      <c r="BT488" s="28" t="str">
        <f aca="false">IF(BS488="","",ROUND(BS488/365.25,2))</f>
        <v/>
      </c>
      <c r="BU488" s="28" t="str">
        <f aca="false">IF(BS488="","",IF(BS488&gt;=730.5,"Yes","No"))</f>
        <v/>
      </c>
      <c r="BV488" s="27"/>
      <c r="BW488" s="29"/>
      <c r="BX488" s="27"/>
      <c r="BY488" s="27"/>
      <c r="BZ488" s="28" t="str">
        <f aca="false">IF(N(E488)=0,"",IF(E488&lt;65,"Under 65","≥65"))</f>
        <v/>
      </c>
      <c r="CA488" s="28" t="str">
        <f aca="false">IF(OR(AC488="Yes",AC488="No"),AC488,"")</f>
        <v/>
      </c>
      <c r="CB488" s="28" t="str">
        <f aca="false">IF(OR(AD488="Yes",AD488="No"),AD488,"")</f>
        <v/>
      </c>
      <c r="CC488" s="28" t="str">
        <f aca="false">IF(F488="","",F488)</f>
        <v/>
      </c>
      <c r="CD488" s="27"/>
      <c r="CE488" s="27"/>
    </row>
    <row r="489" customFormat="false" ht="15" hidden="false" customHeight="false" outlineLevel="0" collapsed="false">
      <c r="A489" s="27"/>
      <c r="B489" s="27"/>
      <c r="C489" s="27"/>
      <c r="D489" s="27"/>
      <c r="E489" s="27"/>
      <c r="F489" s="27"/>
      <c r="G489" s="27"/>
      <c r="H489" s="27"/>
      <c r="I489" s="27"/>
      <c r="J489" s="28" t="str">
        <f aca="false">IF(AND(N(H489)&gt;0,N(I489)&gt;0),ROUND(I489/(H489/100)^2,1),"")</f>
        <v/>
      </c>
      <c r="K489" s="27"/>
      <c r="L489" s="27"/>
      <c r="M489" s="27"/>
      <c r="N489" s="27"/>
      <c r="O489" s="27"/>
      <c r="P489" s="27"/>
      <c r="Q489" s="27"/>
      <c r="R489" s="29"/>
      <c r="S489" s="29"/>
      <c r="T489" s="27"/>
      <c r="U489" s="28" t="str">
        <f aca="false">IF(N(T489)=0,"",IF(T489&lt;12,"Under 12 months",IF(T489&lt;36,"12-35 months",IF(T489&lt;60,"36-59 months","≥60 months"))))</f>
        <v/>
      </c>
      <c r="V489" s="27"/>
      <c r="W489" s="30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9"/>
      <c r="AT489" s="30"/>
      <c r="AU489" s="30"/>
      <c r="AV489" s="30"/>
      <c r="AW489" s="27"/>
      <c r="AX489" s="27"/>
      <c r="AY489" s="29"/>
      <c r="AZ489" s="27"/>
      <c r="BA489" s="27"/>
      <c r="BB489" s="29"/>
      <c r="BC489" s="30"/>
      <c r="BD489" s="30"/>
      <c r="BE489" s="30"/>
      <c r="BF489" s="27"/>
      <c r="BG489" s="27"/>
      <c r="BH489" s="28" t="str">
        <f aca="false">IF(COUNT(BC489:BE489)=0,"",IF(MIN(BC489:BE489)&lt;=-2.5,"Yes","No"))</f>
        <v/>
      </c>
      <c r="BI489" s="27"/>
      <c r="BJ489" s="29"/>
      <c r="BK489" s="27"/>
      <c r="BL489" s="27"/>
      <c r="BM489" s="27"/>
      <c r="BN489" s="28" t="str">
        <f aca="false">IF(OR(AX489="Yes",BI489="Yes"),"Yes",IF(AND(AX489="No",BI489="No"),"No",IF(AND(AX489="",BI489=""),"","Unknown")))</f>
        <v/>
      </c>
      <c r="BO489" s="31" t="str">
        <f aca="false">IF(COUNT(AY489,BJ489)=0,"",MIN(AY489,BJ489))</f>
        <v/>
      </c>
      <c r="BP489" s="29"/>
      <c r="BQ489" s="29"/>
      <c r="BR489" s="29"/>
      <c r="BS489" s="28" t="str">
        <f aca="false">IF(AND(N(BP489)&gt;0,N(BR489)&gt;0),BR489-BP489,"")</f>
        <v/>
      </c>
      <c r="BT489" s="28" t="str">
        <f aca="false">IF(BS489="","",ROUND(BS489/365.25,2))</f>
        <v/>
      </c>
      <c r="BU489" s="28" t="str">
        <f aca="false">IF(BS489="","",IF(BS489&gt;=730.5,"Yes","No"))</f>
        <v/>
      </c>
      <c r="BV489" s="27"/>
      <c r="BW489" s="29"/>
      <c r="BX489" s="27"/>
      <c r="BY489" s="27"/>
      <c r="BZ489" s="28" t="str">
        <f aca="false">IF(N(E489)=0,"",IF(E489&lt;65,"Under 65","≥65"))</f>
        <v/>
      </c>
      <c r="CA489" s="28" t="str">
        <f aca="false">IF(OR(AC489="Yes",AC489="No"),AC489,"")</f>
        <v/>
      </c>
      <c r="CB489" s="28" t="str">
        <f aca="false">IF(OR(AD489="Yes",AD489="No"),AD489,"")</f>
        <v/>
      </c>
      <c r="CC489" s="28" t="str">
        <f aca="false">IF(F489="","",F489)</f>
        <v/>
      </c>
      <c r="CD489" s="27"/>
      <c r="CE489" s="27"/>
    </row>
    <row r="490" customFormat="false" ht="15" hidden="false" customHeight="false" outlineLevel="0" collapsed="false">
      <c r="A490" s="27"/>
      <c r="B490" s="27"/>
      <c r="C490" s="27"/>
      <c r="D490" s="27"/>
      <c r="E490" s="27"/>
      <c r="F490" s="27"/>
      <c r="G490" s="27"/>
      <c r="H490" s="27"/>
      <c r="I490" s="27"/>
      <c r="J490" s="28" t="str">
        <f aca="false">IF(AND(N(H490)&gt;0,N(I490)&gt;0),ROUND(I490/(H490/100)^2,1),"")</f>
        <v/>
      </c>
      <c r="K490" s="27"/>
      <c r="L490" s="27"/>
      <c r="M490" s="27"/>
      <c r="N490" s="27"/>
      <c r="O490" s="27"/>
      <c r="P490" s="27"/>
      <c r="Q490" s="27"/>
      <c r="R490" s="29"/>
      <c r="S490" s="29"/>
      <c r="T490" s="27"/>
      <c r="U490" s="28" t="str">
        <f aca="false">IF(N(T490)=0,"",IF(T490&lt;12,"Under 12 months",IF(T490&lt;36,"12-35 months",IF(T490&lt;60,"36-59 months","≥60 months"))))</f>
        <v/>
      </c>
      <c r="V490" s="27"/>
      <c r="W490" s="30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9"/>
      <c r="AT490" s="30"/>
      <c r="AU490" s="30"/>
      <c r="AV490" s="30"/>
      <c r="AW490" s="27"/>
      <c r="AX490" s="27"/>
      <c r="AY490" s="29"/>
      <c r="AZ490" s="27"/>
      <c r="BA490" s="27"/>
      <c r="BB490" s="29"/>
      <c r="BC490" s="30"/>
      <c r="BD490" s="30"/>
      <c r="BE490" s="30"/>
      <c r="BF490" s="27"/>
      <c r="BG490" s="27"/>
      <c r="BH490" s="28" t="str">
        <f aca="false">IF(COUNT(BC490:BE490)=0,"",IF(MIN(BC490:BE490)&lt;=-2.5,"Yes","No"))</f>
        <v/>
      </c>
      <c r="BI490" s="27"/>
      <c r="BJ490" s="29"/>
      <c r="BK490" s="27"/>
      <c r="BL490" s="27"/>
      <c r="BM490" s="27"/>
      <c r="BN490" s="28" t="str">
        <f aca="false">IF(OR(AX490="Yes",BI490="Yes"),"Yes",IF(AND(AX490="No",BI490="No"),"No",IF(AND(AX490="",BI490=""),"","Unknown")))</f>
        <v/>
      </c>
      <c r="BO490" s="31" t="str">
        <f aca="false">IF(COUNT(AY490,BJ490)=0,"",MIN(AY490,BJ490))</f>
        <v/>
      </c>
      <c r="BP490" s="29"/>
      <c r="BQ490" s="29"/>
      <c r="BR490" s="29"/>
      <c r="BS490" s="28" t="str">
        <f aca="false">IF(AND(N(BP490)&gt;0,N(BR490)&gt;0),BR490-BP490,"")</f>
        <v/>
      </c>
      <c r="BT490" s="28" t="str">
        <f aca="false">IF(BS490="","",ROUND(BS490/365.25,2))</f>
        <v/>
      </c>
      <c r="BU490" s="28" t="str">
        <f aca="false">IF(BS490="","",IF(BS490&gt;=730.5,"Yes","No"))</f>
        <v/>
      </c>
      <c r="BV490" s="27"/>
      <c r="BW490" s="29"/>
      <c r="BX490" s="27"/>
      <c r="BY490" s="27"/>
      <c r="BZ490" s="28" t="str">
        <f aca="false">IF(N(E490)=0,"",IF(E490&lt;65,"Under 65","≥65"))</f>
        <v/>
      </c>
      <c r="CA490" s="28" t="str">
        <f aca="false">IF(OR(AC490="Yes",AC490="No"),AC490,"")</f>
        <v/>
      </c>
      <c r="CB490" s="28" t="str">
        <f aca="false">IF(OR(AD490="Yes",AD490="No"),AD490,"")</f>
        <v/>
      </c>
      <c r="CC490" s="28" t="str">
        <f aca="false">IF(F490="","",F490)</f>
        <v/>
      </c>
      <c r="CD490" s="27"/>
      <c r="CE490" s="27"/>
    </row>
    <row r="491" customFormat="false" ht="15" hidden="false" customHeight="false" outlineLevel="0" collapsed="false">
      <c r="A491" s="27"/>
      <c r="B491" s="27"/>
      <c r="C491" s="27"/>
      <c r="D491" s="27"/>
      <c r="E491" s="27"/>
      <c r="F491" s="27"/>
      <c r="G491" s="27"/>
      <c r="H491" s="27"/>
      <c r="I491" s="27"/>
      <c r="J491" s="28" t="str">
        <f aca="false">IF(AND(N(H491)&gt;0,N(I491)&gt;0),ROUND(I491/(H491/100)^2,1),"")</f>
        <v/>
      </c>
      <c r="K491" s="27"/>
      <c r="L491" s="27"/>
      <c r="M491" s="27"/>
      <c r="N491" s="27"/>
      <c r="O491" s="27"/>
      <c r="P491" s="27"/>
      <c r="Q491" s="27"/>
      <c r="R491" s="29"/>
      <c r="S491" s="29"/>
      <c r="T491" s="27"/>
      <c r="U491" s="28" t="str">
        <f aca="false">IF(N(T491)=0,"",IF(T491&lt;12,"Under 12 months",IF(T491&lt;36,"12-35 months",IF(T491&lt;60,"36-59 months","≥60 months"))))</f>
        <v/>
      </c>
      <c r="V491" s="27"/>
      <c r="W491" s="30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9"/>
      <c r="AT491" s="30"/>
      <c r="AU491" s="30"/>
      <c r="AV491" s="30"/>
      <c r="AW491" s="27"/>
      <c r="AX491" s="27"/>
      <c r="AY491" s="29"/>
      <c r="AZ491" s="27"/>
      <c r="BA491" s="27"/>
      <c r="BB491" s="29"/>
      <c r="BC491" s="30"/>
      <c r="BD491" s="30"/>
      <c r="BE491" s="30"/>
      <c r="BF491" s="27"/>
      <c r="BG491" s="27"/>
      <c r="BH491" s="28" t="str">
        <f aca="false">IF(COUNT(BC491:BE491)=0,"",IF(MIN(BC491:BE491)&lt;=-2.5,"Yes","No"))</f>
        <v/>
      </c>
      <c r="BI491" s="27"/>
      <c r="BJ491" s="29"/>
      <c r="BK491" s="27"/>
      <c r="BL491" s="27"/>
      <c r="BM491" s="27"/>
      <c r="BN491" s="28" t="str">
        <f aca="false">IF(OR(AX491="Yes",BI491="Yes"),"Yes",IF(AND(AX491="No",BI491="No"),"No",IF(AND(AX491="",BI491=""),"","Unknown")))</f>
        <v/>
      </c>
      <c r="BO491" s="31" t="str">
        <f aca="false">IF(COUNT(AY491,BJ491)=0,"",MIN(AY491,BJ491))</f>
        <v/>
      </c>
      <c r="BP491" s="29"/>
      <c r="BQ491" s="29"/>
      <c r="BR491" s="29"/>
      <c r="BS491" s="28" t="str">
        <f aca="false">IF(AND(N(BP491)&gt;0,N(BR491)&gt;0),BR491-BP491,"")</f>
        <v/>
      </c>
      <c r="BT491" s="28" t="str">
        <f aca="false">IF(BS491="","",ROUND(BS491/365.25,2))</f>
        <v/>
      </c>
      <c r="BU491" s="28" t="str">
        <f aca="false">IF(BS491="","",IF(BS491&gt;=730.5,"Yes","No"))</f>
        <v/>
      </c>
      <c r="BV491" s="27"/>
      <c r="BW491" s="29"/>
      <c r="BX491" s="27"/>
      <c r="BY491" s="27"/>
      <c r="BZ491" s="28" t="str">
        <f aca="false">IF(N(E491)=0,"",IF(E491&lt;65,"Under 65","≥65"))</f>
        <v/>
      </c>
      <c r="CA491" s="28" t="str">
        <f aca="false">IF(OR(AC491="Yes",AC491="No"),AC491,"")</f>
        <v/>
      </c>
      <c r="CB491" s="28" t="str">
        <f aca="false">IF(OR(AD491="Yes",AD491="No"),AD491,"")</f>
        <v/>
      </c>
      <c r="CC491" s="28" t="str">
        <f aca="false">IF(F491="","",F491)</f>
        <v/>
      </c>
      <c r="CD491" s="27"/>
      <c r="CE491" s="27"/>
    </row>
    <row r="492" customFormat="false" ht="15" hidden="false" customHeight="false" outlineLevel="0" collapsed="false">
      <c r="A492" s="27"/>
      <c r="B492" s="27"/>
      <c r="C492" s="27"/>
      <c r="D492" s="27"/>
      <c r="E492" s="27"/>
      <c r="F492" s="27"/>
      <c r="G492" s="27"/>
      <c r="H492" s="27"/>
      <c r="I492" s="27"/>
      <c r="J492" s="28" t="str">
        <f aca="false">IF(AND(N(H492)&gt;0,N(I492)&gt;0),ROUND(I492/(H492/100)^2,1),"")</f>
        <v/>
      </c>
      <c r="K492" s="27"/>
      <c r="L492" s="27"/>
      <c r="M492" s="27"/>
      <c r="N492" s="27"/>
      <c r="O492" s="27"/>
      <c r="P492" s="27"/>
      <c r="Q492" s="27"/>
      <c r="R492" s="29"/>
      <c r="S492" s="29"/>
      <c r="T492" s="27"/>
      <c r="U492" s="28" t="str">
        <f aca="false">IF(N(T492)=0,"",IF(T492&lt;12,"Under 12 months",IF(T492&lt;36,"12-35 months",IF(T492&lt;60,"36-59 months","≥60 months"))))</f>
        <v/>
      </c>
      <c r="V492" s="27"/>
      <c r="W492" s="30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9"/>
      <c r="AT492" s="30"/>
      <c r="AU492" s="30"/>
      <c r="AV492" s="30"/>
      <c r="AW492" s="27"/>
      <c r="AX492" s="27"/>
      <c r="AY492" s="29"/>
      <c r="AZ492" s="27"/>
      <c r="BA492" s="27"/>
      <c r="BB492" s="29"/>
      <c r="BC492" s="30"/>
      <c r="BD492" s="30"/>
      <c r="BE492" s="30"/>
      <c r="BF492" s="27"/>
      <c r="BG492" s="27"/>
      <c r="BH492" s="28" t="str">
        <f aca="false">IF(COUNT(BC492:BE492)=0,"",IF(MIN(BC492:BE492)&lt;=-2.5,"Yes","No"))</f>
        <v/>
      </c>
      <c r="BI492" s="27"/>
      <c r="BJ492" s="29"/>
      <c r="BK492" s="27"/>
      <c r="BL492" s="27"/>
      <c r="BM492" s="27"/>
      <c r="BN492" s="28" t="str">
        <f aca="false">IF(OR(AX492="Yes",BI492="Yes"),"Yes",IF(AND(AX492="No",BI492="No"),"No",IF(AND(AX492="",BI492=""),"","Unknown")))</f>
        <v/>
      </c>
      <c r="BO492" s="31" t="str">
        <f aca="false">IF(COUNT(AY492,BJ492)=0,"",MIN(AY492,BJ492))</f>
        <v/>
      </c>
      <c r="BP492" s="29"/>
      <c r="BQ492" s="29"/>
      <c r="BR492" s="29"/>
      <c r="BS492" s="28" t="str">
        <f aca="false">IF(AND(N(BP492)&gt;0,N(BR492)&gt;0),BR492-BP492,"")</f>
        <v/>
      </c>
      <c r="BT492" s="28" t="str">
        <f aca="false">IF(BS492="","",ROUND(BS492/365.25,2))</f>
        <v/>
      </c>
      <c r="BU492" s="28" t="str">
        <f aca="false">IF(BS492="","",IF(BS492&gt;=730.5,"Yes","No"))</f>
        <v/>
      </c>
      <c r="BV492" s="27"/>
      <c r="BW492" s="29"/>
      <c r="BX492" s="27"/>
      <c r="BY492" s="27"/>
      <c r="BZ492" s="28" t="str">
        <f aca="false">IF(N(E492)=0,"",IF(E492&lt;65,"Under 65","≥65"))</f>
        <v/>
      </c>
      <c r="CA492" s="28" t="str">
        <f aca="false">IF(OR(AC492="Yes",AC492="No"),AC492,"")</f>
        <v/>
      </c>
      <c r="CB492" s="28" t="str">
        <f aca="false">IF(OR(AD492="Yes",AD492="No"),AD492,"")</f>
        <v/>
      </c>
      <c r="CC492" s="28" t="str">
        <f aca="false">IF(F492="","",F492)</f>
        <v/>
      </c>
      <c r="CD492" s="27"/>
      <c r="CE492" s="27"/>
    </row>
    <row r="493" customFormat="false" ht="15" hidden="false" customHeight="false" outlineLevel="0" collapsed="false">
      <c r="A493" s="27"/>
      <c r="B493" s="27"/>
      <c r="C493" s="27"/>
      <c r="D493" s="27"/>
      <c r="E493" s="27"/>
      <c r="F493" s="27"/>
      <c r="G493" s="27"/>
      <c r="H493" s="27"/>
      <c r="I493" s="27"/>
      <c r="J493" s="28" t="str">
        <f aca="false">IF(AND(N(H493)&gt;0,N(I493)&gt;0),ROUND(I493/(H493/100)^2,1),"")</f>
        <v/>
      </c>
      <c r="K493" s="27"/>
      <c r="L493" s="27"/>
      <c r="M493" s="27"/>
      <c r="N493" s="27"/>
      <c r="O493" s="27"/>
      <c r="P493" s="27"/>
      <c r="Q493" s="27"/>
      <c r="R493" s="29"/>
      <c r="S493" s="29"/>
      <c r="T493" s="27"/>
      <c r="U493" s="28" t="str">
        <f aca="false">IF(N(T493)=0,"",IF(T493&lt;12,"Under 12 months",IF(T493&lt;36,"12-35 months",IF(T493&lt;60,"36-59 months","≥60 months"))))</f>
        <v/>
      </c>
      <c r="V493" s="27"/>
      <c r="W493" s="30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9"/>
      <c r="AT493" s="30"/>
      <c r="AU493" s="30"/>
      <c r="AV493" s="30"/>
      <c r="AW493" s="27"/>
      <c r="AX493" s="27"/>
      <c r="AY493" s="29"/>
      <c r="AZ493" s="27"/>
      <c r="BA493" s="27"/>
      <c r="BB493" s="29"/>
      <c r="BC493" s="30"/>
      <c r="BD493" s="30"/>
      <c r="BE493" s="30"/>
      <c r="BF493" s="27"/>
      <c r="BG493" s="27"/>
      <c r="BH493" s="28" t="str">
        <f aca="false">IF(COUNT(BC493:BE493)=0,"",IF(MIN(BC493:BE493)&lt;=-2.5,"Yes","No"))</f>
        <v/>
      </c>
      <c r="BI493" s="27"/>
      <c r="BJ493" s="29"/>
      <c r="BK493" s="27"/>
      <c r="BL493" s="27"/>
      <c r="BM493" s="27"/>
      <c r="BN493" s="28" t="str">
        <f aca="false">IF(OR(AX493="Yes",BI493="Yes"),"Yes",IF(AND(AX493="No",BI493="No"),"No",IF(AND(AX493="",BI493=""),"","Unknown")))</f>
        <v/>
      </c>
      <c r="BO493" s="31" t="str">
        <f aca="false">IF(COUNT(AY493,BJ493)=0,"",MIN(AY493,BJ493))</f>
        <v/>
      </c>
      <c r="BP493" s="29"/>
      <c r="BQ493" s="29"/>
      <c r="BR493" s="29"/>
      <c r="BS493" s="28" t="str">
        <f aca="false">IF(AND(N(BP493)&gt;0,N(BR493)&gt;0),BR493-BP493,"")</f>
        <v/>
      </c>
      <c r="BT493" s="28" t="str">
        <f aca="false">IF(BS493="","",ROUND(BS493/365.25,2))</f>
        <v/>
      </c>
      <c r="BU493" s="28" t="str">
        <f aca="false">IF(BS493="","",IF(BS493&gt;=730.5,"Yes","No"))</f>
        <v/>
      </c>
      <c r="BV493" s="27"/>
      <c r="BW493" s="29"/>
      <c r="BX493" s="27"/>
      <c r="BY493" s="27"/>
      <c r="BZ493" s="28" t="str">
        <f aca="false">IF(N(E493)=0,"",IF(E493&lt;65,"Under 65","≥65"))</f>
        <v/>
      </c>
      <c r="CA493" s="28" t="str">
        <f aca="false">IF(OR(AC493="Yes",AC493="No"),AC493,"")</f>
        <v/>
      </c>
      <c r="CB493" s="28" t="str">
        <f aca="false">IF(OR(AD493="Yes",AD493="No"),AD493,"")</f>
        <v/>
      </c>
      <c r="CC493" s="28" t="str">
        <f aca="false">IF(F493="","",F493)</f>
        <v/>
      </c>
      <c r="CD493" s="27"/>
      <c r="CE493" s="27"/>
    </row>
    <row r="494" customFormat="false" ht="15" hidden="false" customHeight="false" outlineLevel="0" collapsed="false">
      <c r="A494" s="27"/>
      <c r="B494" s="27"/>
      <c r="C494" s="27"/>
      <c r="D494" s="27"/>
      <c r="E494" s="27"/>
      <c r="F494" s="27"/>
      <c r="G494" s="27"/>
      <c r="H494" s="27"/>
      <c r="I494" s="27"/>
      <c r="J494" s="28" t="str">
        <f aca="false">IF(AND(N(H494)&gt;0,N(I494)&gt;0),ROUND(I494/(H494/100)^2,1),"")</f>
        <v/>
      </c>
      <c r="K494" s="27"/>
      <c r="L494" s="27"/>
      <c r="M494" s="27"/>
      <c r="N494" s="27"/>
      <c r="O494" s="27"/>
      <c r="P494" s="27"/>
      <c r="Q494" s="27"/>
      <c r="R494" s="29"/>
      <c r="S494" s="29"/>
      <c r="T494" s="27"/>
      <c r="U494" s="28" t="str">
        <f aca="false">IF(N(T494)=0,"",IF(T494&lt;12,"Under 12 months",IF(T494&lt;36,"12-35 months",IF(T494&lt;60,"36-59 months","≥60 months"))))</f>
        <v/>
      </c>
      <c r="V494" s="27"/>
      <c r="W494" s="30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9"/>
      <c r="AT494" s="30"/>
      <c r="AU494" s="30"/>
      <c r="AV494" s="30"/>
      <c r="AW494" s="27"/>
      <c r="AX494" s="27"/>
      <c r="AY494" s="29"/>
      <c r="AZ494" s="27"/>
      <c r="BA494" s="27"/>
      <c r="BB494" s="29"/>
      <c r="BC494" s="30"/>
      <c r="BD494" s="30"/>
      <c r="BE494" s="30"/>
      <c r="BF494" s="27"/>
      <c r="BG494" s="27"/>
      <c r="BH494" s="28" t="str">
        <f aca="false">IF(COUNT(BC494:BE494)=0,"",IF(MIN(BC494:BE494)&lt;=-2.5,"Yes","No"))</f>
        <v/>
      </c>
      <c r="BI494" s="27"/>
      <c r="BJ494" s="29"/>
      <c r="BK494" s="27"/>
      <c r="BL494" s="27"/>
      <c r="BM494" s="27"/>
      <c r="BN494" s="28" t="str">
        <f aca="false">IF(OR(AX494="Yes",BI494="Yes"),"Yes",IF(AND(AX494="No",BI494="No"),"No",IF(AND(AX494="",BI494=""),"","Unknown")))</f>
        <v/>
      </c>
      <c r="BO494" s="31" t="str">
        <f aca="false">IF(COUNT(AY494,BJ494)=0,"",MIN(AY494,BJ494))</f>
        <v/>
      </c>
      <c r="BP494" s="29"/>
      <c r="BQ494" s="29"/>
      <c r="BR494" s="29"/>
      <c r="BS494" s="28" t="str">
        <f aca="false">IF(AND(N(BP494)&gt;0,N(BR494)&gt;0),BR494-BP494,"")</f>
        <v/>
      </c>
      <c r="BT494" s="28" t="str">
        <f aca="false">IF(BS494="","",ROUND(BS494/365.25,2))</f>
        <v/>
      </c>
      <c r="BU494" s="28" t="str">
        <f aca="false">IF(BS494="","",IF(BS494&gt;=730.5,"Yes","No"))</f>
        <v/>
      </c>
      <c r="BV494" s="27"/>
      <c r="BW494" s="29"/>
      <c r="BX494" s="27"/>
      <c r="BY494" s="27"/>
      <c r="BZ494" s="28" t="str">
        <f aca="false">IF(N(E494)=0,"",IF(E494&lt;65,"Under 65","≥65"))</f>
        <v/>
      </c>
      <c r="CA494" s="28" t="str">
        <f aca="false">IF(OR(AC494="Yes",AC494="No"),AC494,"")</f>
        <v/>
      </c>
      <c r="CB494" s="28" t="str">
        <f aca="false">IF(OR(AD494="Yes",AD494="No"),AD494,"")</f>
        <v/>
      </c>
      <c r="CC494" s="28" t="str">
        <f aca="false">IF(F494="","",F494)</f>
        <v/>
      </c>
      <c r="CD494" s="27"/>
      <c r="CE494" s="27"/>
    </row>
    <row r="495" customFormat="false" ht="15" hidden="false" customHeight="false" outlineLevel="0" collapsed="false">
      <c r="A495" s="27"/>
      <c r="B495" s="27"/>
      <c r="C495" s="27"/>
      <c r="D495" s="27"/>
      <c r="E495" s="27"/>
      <c r="F495" s="27"/>
      <c r="G495" s="27"/>
      <c r="H495" s="27"/>
      <c r="I495" s="27"/>
      <c r="J495" s="28" t="str">
        <f aca="false">IF(AND(N(H495)&gt;0,N(I495)&gt;0),ROUND(I495/(H495/100)^2,1),"")</f>
        <v/>
      </c>
      <c r="K495" s="27"/>
      <c r="L495" s="27"/>
      <c r="M495" s="27"/>
      <c r="N495" s="27"/>
      <c r="O495" s="27"/>
      <c r="P495" s="27"/>
      <c r="Q495" s="27"/>
      <c r="R495" s="29"/>
      <c r="S495" s="29"/>
      <c r="T495" s="27"/>
      <c r="U495" s="28" t="str">
        <f aca="false">IF(N(T495)=0,"",IF(T495&lt;12,"Under 12 months",IF(T495&lt;36,"12-35 months",IF(T495&lt;60,"36-59 months","≥60 months"))))</f>
        <v/>
      </c>
      <c r="V495" s="27"/>
      <c r="W495" s="30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9"/>
      <c r="AT495" s="30"/>
      <c r="AU495" s="30"/>
      <c r="AV495" s="30"/>
      <c r="AW495" s="27"/>
      <c r="AX495" s="27"/>
      <c r="AY495" s="29"/>
      <c r="AZ495" s="27"/>
      <c r="BA495" s="27"/>
      <c r="BB495" s="29"/>
      <c r="BC495" s="30"/>
      <c r="BD495" s="30"/>
      <c r="BE495" s="30"/>
      <c r="BF495" s="27"/>
      <c r="BG495" s="27"/>
      <c r="BH495" s="28" t="str">
        <f aca="false">IF(COUNT(BC495:BE495)=0,"",IF(MIN(BC495:BE495)&lt;=-2.5,"Yes","No"))</f>
        <v/>
      </c>
      <c r="BI495" s="27"/>
      <c r="BJ495" s="29"/>
      <c r="BK495" s="27"/>
      <c r="BL495" s="27"/>
      <c r="BM495" s="27"/>
      <c r="BN495" s="28" t="str">
        <f aca="false">IF(OR(AX495="Yes",BI495="Yes"),"Yes",IF(AND(AX495="No",BI495="No"),"No",IF(AND(AX495="",BI495=""),"","Unknown")))</f>
        <v/>
      </c>
      <c r="BO495" s="31" t="str">
        <f aca="false">IF(COUNT(AY495,BJ495)=0,"",MIN(AY495,BJ495))</f>
        <v/>
      </c>
      <c r="BP495" s="29"/>
      <c r="BQ495" s="29"/>
      <c r="BR495" s="29"/>
      <c r="BS495" s="28" t="str">
        <f aca="false">IF(AND(N(BP495)&gt;0,N(BR495)&gt;0),BR495-BP495,"")</f>
        <v/>
      </c>
      <c r="BT495" s="28" t="str">
        <f aca="false">IF(BS495="","",ROUND(BS495/365.25,2))</f>
        <v/>
      </c>
      <c r="BU495" s="28" t="str">
        <f aca="false">IF(BS495="","",IF(BS495&gt;=730.5,"Yes","No"))</f>
        <v/>
      </c>
      <c r="BV495" s="27"/>
      <c r="BW495" s="29"/>
      <c r="BX495" s="27"/>
      <c r="BY495" s="27"/>
      <c r="BZ495" s="28" t="str">
        <f aca="false">IF(N(E495)=0,"",IF(E495&lt;65,"Under 65","≥65"))</f>
        <v/>
      </c>
      <c r="CA495" s="28" t="str">
        <f aca="false">IF(OR(AC495="Yes",AC495="No"),AC495,"")</f>
        <v/>
      </c>
      <c r="CB495" s="28" t="str">
        <f aca="false">IF(OR(AD495="Yes",AD495="No"),AD495,"")</f>
        <v/>
      </c>
      <c r="CC495" s="28" t="str">
        <f aca="false">IF(F495="","",F495)</f>
        <v/>
      </c>
      <c r="CD495" s="27"/>
      <c r="CE495" s="27"/>
    </row>
    <row r="496" customFormat="false" ht="15" hidden="false" customHeight="false" outlineLevel="0" collapsed="false">
      <c r="A496" s="27"/>
      <c r="B496" s="27"/>
      <c r="C496" s="27"/>
      <c r="D496" s="27"/>
      <c r="E496" s="27"/>
      <c r="F496" s="27"/>
      <c r="G496" s="27"/>
      <c r="H496" s="27"/>
      <c r="I496" s="27"/>
      <c r="J496" s="28" t="str">
        <f aca="false">IF(AND(N(H496)&gt;0,N(I496)&gt;0),ROUND(I496/(H496/100)^2,1),"")</f>
        <v/>
      </c>
      <c r="K496" s="27"/>
      <c r="L496" s="27"/>
      <c r="M496" s="27"/>
      <c r="N496" s="27"/>
      <c r="O496" s="27"/>
      <c r="P496" s="27"/>
      <c r="Q496" s="27"/>
      <c r="R496" s="29"/>
      <c r="S496" s="29"/>
      <c r="T496" s="27"/>
      <c r="U496" s="28" t="str">
        <f aca="false">IF(N(T496)=0,"",IF(T496&lt;12,"Under 12 months",IF(T496&lt;36,"12-35 months",IF(T496&lt;60,"36-59 months","≥60 months"))))</f>
        <v/>
      </c>
      <c r="V496" s="27"/>
      <c r="W496" s="30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9"/>
      <c r="AT496" s="30"/>
      <c r="AU496" s="30"/>
      <c r="AV496" s="30"/>
      <c r="AW496" s="27"/>
      <c r="AX496" s="27"/>
      <c r="AY496" s="29"/>
      <c r="AZ496" s="27"/>
      <c r="BA496" s="27"/>
      <c r="BB496" s="29"/>
      <c r="BC496" s="30"/>
      <c r="BD496" s="30"/>
      <c r="BE496" s="30"/>
      <c r="BF496" s="27"/>
      <c r="BG496" s="27"/>
      <c r="BH496" s="28" t="str">
        <f aca="false">IF(COUNT(BC496:BE496)=0,"",IF(MIN(BC496:BE496)&lt;=-2.5,"Yes","No"))</f>
        <v/>
      </c>
      <c r="BI496" s="27"/>
      <c r="BJ496" s="29"/>
      <c r="BK496" s="27"/>
      <c r="BL496" s="27"/>
      <c r="BM496" s="27"/>
      <c r="BN496" s="28" t="str">
        <f aca="false">IF(OR(AX496="Yes",BI496="Yes"),"Yes",IF(AND(AX496="No",BI496="No"),"No",IF(AND(AX496="",BI496=""),"","Unknown")))</f>
        <v/>
      </c>
      <c r="BO496" s="31" t="str">
        <f aca="false">IF(COUNT(AY496,BJ496)=0,"",MIN(AY496,BJ496))</f>
        <v/>
      </c>
      <c r="BP496" s="29"/>
      <c r="BQ496" s="29"/>
      <c r="BR496" s="29"/>
      <c r="BS496" s="28" t="str">
        <f aca="false">IF(AND(N(BP496)&gt;0,N(BR496)&gt;0),BR496-BP496,"")</f>
        <v/>
      </c>
      <c r="BT496" s="28" t="str">
        <f aca="false">IF(BS496="","",ROUND(BS496/365.25,2))</f>
        <v/>
      </c>
      <c r="BU496" s="28" t="str">
        <f aca="false">IF(BS496="","",IF(BS496&gt;=730.5,"Yes","No"))</f>
        <v/>
      </c>
      <c r="BV496" s="27"/>
      <c r="BW496" s="29"/>
      <c r="BX496" s="27"/>
      <c r="BY496" s="27"/>
      <c r="BZ496" s="28" t="str">
        <f aca="false">IF(N(E496)=0,"",IF(E496&lt;65,"Under 65","≥65"))</f>
        <v/>
      </c>
      <c r="CA496" s="28" t="str">
        <f aca="false">IF(OR(AC496="Yes",AC496="No"),AC496,"")</f>
        <v/>
      </c>
      <c r="CB496" s="28" t="str">
        <f aca="false">IF(OR(AD496="Yes",AD496="No"),AD496,"")</f>
        <v/>
      </c>
      <c r="CC496" s="28" t="str">
        <f aca="false">IF(F496="","",F496)</f>
        <v/>
      </c>
      <c r="CD496" s="27"/>
      <c r="CE496" s="27"/>
    </row>
    <row r="497" customFormat="false" ht="15" hidden="false" customHeight="false" outlineLevel="0" collapsed="false">
      <c r="A497" s="27"/>
      <c r="B497" s="27"/>
      <c r="C497" s="27"/>
      <c r="D497" s="27"/>
      <c r="E497" s="27"/>
      <c r="F497" s="27"/>
      <c r="G497" s="27"/>
      <c r="H497" s="27"/>
      <c r="I497" s="27"/>
      <c r="J497" s="28" t="str">
        <f aca="false">IF(AND(N(H497)&gt;0,N(I497)&gt;0),ROUND(I497/(H497/100)^2,1),"")</f>
        <v/>
      </c>
      <c r="K497" s="27"/>
      <c r="L497" s="27"/>
      <c r="M497" s="27"/>
      <c r="N497" s="27"/>
      <c r="O497" s="27"/>
      <c r="P497" s="27"/>
      <c r="Q497" s="27"/>
      <c r="R497" s="29"/>
      <c r="S497" s="29"/>
      <c r="T497" s="27"/>
      <c r="U497" s="28" t="str">
        <f aca="false">IF(N(T497)=0,"",IF(T497&lt;12,"Under 12 months",IF(T497&lt;36,"12-35 months",IF(T497&lt;60,"36-59 months","≥60 months"))))</f>
        <v/>
      </c>
      <c r="V497" s="27"/>
      <c r="W497" s="30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9"/>
      <c r="AT497" s="30"/>
      <c r="AU497" s="30"/>
      <c r="AV497" s="30"/>
      <c r="AW497" s="27"/>
      <c r="AX497" s="27"/>
      <c r="AY497" s="29"/>
      <c r="AZ497" s="27"/>
      <c r="BA497" s="27"/>
      <c r="BB497" s="29"/>
      <c r="BC497" s="30"/>
      <c r="BD497" s="30"/>
      <c r="BE497" s="30"/>
      <c r="BF497" s="27"/>
      <c r="BG497" s="27"/>
      <c r="BH497" s="28" t="str">
        <f aca="false">IF(COUNT(BC497:BE497)=0,"",IF(MIN(BC497:BE497)&lt;=-2.5,"Yes","No"))</f>
        <v/>
      </c>
      <c r="BI497" s="27"/>
      <c r="BJ497" s="29"/>
      <c r="BK497" s="27"/>
      <c r="BL497" s="27"/>
      <c r="BM497" s="27"/>
      <c r="BN497" s="28" t="str">
        <f aca="false">IF(OR(AX497="Yes",BI497="Yes"),"Yes",IF(AND(AX497="No",BI497="No"),"No",IF(AND(AX497="",BI497=""),"","Unknown")))</f>
        <v/>
      </c>
      <c r="BO497" s="31" t="str">
        <f aca="false">IF(COUNT(AY497,BJ497)=0,"",MIN(AY497,BJ497))</f>
        <v/>
      </c>
      <c r="BP497" s="29"/>
      <c r="BQ497" s="29"/>
      <c r="BR497" s="29"/>
      <c r="BS497" s="28" t="str">
        <f aca="false">IF(AND(N(BP497)&gt;0,N(BR497)&gt;0),BR497-BP497,"")</f>
        <v/>
      </c>
      <c r="BT497" s="28" t="str">
        <f aca="false">IF(BS497="","",ROUND(BS497/365.25,2))</f>
        <v/>
      </c>
      <c r="BU497" s="28" t="str">
        <f aca="false">IF(BS497="","",IF(BS497&gt;=730.5,"Yes","No"))</f>
        <v/>
      </c>
      <c r="BV497" s="27"/>
      <c r="BW497" s="29"/>
      <c r="BX497" s="27"/>
      <c r="BY497" s="27"/>
      <c r="BZ497" s="28" t="str">
        <f aca="false">IF(N(E497)=0,"",IF(E497&lt;65,"Under 65","≥65"))</f>
        <v/>
      </c>
      <c r="CA497" s="28" t="str">
        <f aca="false">IF(OR(AC497="Yes",AC497="No"),AC497,"")</f>
        <v/>
      </c>
      <c r="CB497" s="28" t="str">
        <f aca="false">IF(OR(AD497="Yes",AD497="No"),AD497,"")</f>
        <v/>
      </c>
      <c r="CC497" s="28" t="str">
        <f aca="false">IF(F497="","",F497)</f>
        <v/>
      </c>
      <c r="CD497" s="27"/>
      <c r="CE497" s="27"/>
    </row>
    <row r="498" customFormat="false" ht="15" hidden="false" customHeight="false" outlineLevel="0" collapsed="false">
      <c r="A498" s="27"/>
      <c r="B498" s="27"/>
      <c r="C498" s="27"/>
      <c r="D498" s="27"/>
      <c r="E498" s="27"/>
      <c r="F498" s="27"/>
      <c r="G498" s="27"/>
      <c r="H498" s="27"/>
      <c r="I498" s="27"/>
      <c r="J498" s="28" t="str">
        <f aca="false">IF(AND(N(H498)&gt;0,N(I498)&gt;0),ROUND(I498/(H498/100)^2,1),"")</f>
        <v/>
      </c>
      <c r="K498" s="27"/>
      <c r="L498" s="27"/>
      <c r="M498" s="27"/>
      <c r="N498" s="27"/>
      <c r="O498" s="27"/>
      <c r="P498" s="27"/>
      <c r="Q498" s="27"/>
      <c r="R498" s="29"/>
      <c r="S498" s="29"/>
      <c r="T498" s="27"/>
      <c r="U498" s="28" t="str">
        <f aca="false">IF(N(T498)=0,"",IF(T498&lt;12,"Under 12 months",IF(T498&lt;36,"12-35 months",IF(T498&lt;60,"36-59 months","≥60 months"))))</f>
        <v/>
      </c>
      <c r="V498" s="27"/>
      <c r="W498" s="30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9"/>
      <c r="AT498" s="30"/>
      <c r="AU498" s="30"/>
      <c r="AV498" s="30"/>
      <c r="AW498" s="27"/>
      <c r="AX498" s="27"/>
      <c r="AY498" s="29"/>
      <c r="AZ498" s="27"/>
      <c r="BA498" s="27"/>
      <c r="BB498" s="29"/>
      <c r="BC498" s="30"/>
      <c r="BD498" s="30"/>
      <c r="BE498" s="30"/>
      <c r="BF498" s="27"/>
      <c r="BG498" s="27"/>
      <c r="BH498" s="28" t="str">
        <f aca="false">IF(COUNT(BC498:BE498)=0,"",IF(MIN(BC498:BE498)&lt;=-2.5,"Yes","No"))</f>
        <v/>
      </c>
      <c r="BI498" s="27"/>
      <c r="BJ498" s="29"/>
      <c r="BK498" s="27"/>
      <c r="BL498" s="27"/>
      <c r="BM498" s="27"/>
      <c r="BN498" s="28" t="str">
        <f aca="false">IF(OR(AX498="Yes",BI498="Yes"),"Yes",IF(AND(AX498="No",BI498="No"),"No",IF(AND(AX498="",BI498=""),"","Unknown")))</f>
        <v/>
      </c>
      <c r="BO498" s="31" t="str">
        <f aca="false">IF(COUNT(AY498,BJ498)=0,"",MIN(AY498,BJ498))</f>
        <v/>
      </c>
      <c r="BP498" s="29"/>
      <c r="BQ498" s="29"/>
      <c r="BR498" s="29"/>
      <c r="BS498" s="28" t="str">
        <f aca="false">IF(AND(N(BP498)&gt;0,N(BR498)&gt;0),BR498-BP498,"")</f>
        <v/>
      </c>
      <c r="BT498" s="28" t="str">
        <f aca="false">IF(BS498="","",ROUND(BS498/365.25,2))</f>
        <v/>
      </c>
      <c r="BU498" s="28" t="str">
        <f aca="false">IF(BS498="","",IF(BS498&gt;=730.5,"Yes","No"))</f>
        <v/>
      </c>
      <c r="BV498" s="27"/>
      <c r="BW498" s="29"/>
      <c r="BX498" s="27"/>
      <c r="BY498" s="27"/>
      <c r="BZ498" s="28" t="str">
        <f aca="false">IF(N(E498)=0,"",IF(E498&lt;65,"Under 65","≥65"))</f>
        <v/>
      </c>
      <c r="CA498" s="28" t="str">
        <f aca="false">IF(OR(AC498="Yes",AC498="No"),AC498,"")</f>
        <v/>
      </c>
      <c r="CB498" s="28" t="str">
        <f aca="false">IF(OR(AD498="Yes",AD498="No"),AD498,"")</f>
        <v/>
      </c>
      <c r="CC498" s="28" t="str">
        <f aca="false">IF(F498="","",F498)</f>
        <v/>
      </c>
      <c r="CD498" s="27"/>
      <c r="CE498" s="27"/>
    </row>
    <row r="499" customFormat="false" ht="15" hidden="false" customHeight="false" outlineLevel="0" collapsed="false">
      <c r="A499" s="27"/>
      <c r="B499" s="27"/>
      <c r="C499" s="27"/>
      <c r="D499" s="27"/>
      <c r="E499" s="27"/>
      <c r="F499" s="27"/>
      <c r="G499" s="27"/>
      <c r="H499" s="27"/>
      <c r="I499" s="27"/>
      <c r="J499" s="28" t="str">
        <f aca="false">IF(AND(N(H499)&gt;0,N(I499)&gt;0),ROUND(I499/(H499/100)^2,1),"")</f>
        <v/>
      </c>
      <c r="K499" s="27"/>
      <c r="L499" s="27"/>
      <c r="M499" s="27"/>
      <c r="N499" s="27"/>
      <c r="O499" s="27"/>
      <c r="P499" s="27"/>
      <c r="Q499" s="27"/>
      <c r="R499" s="29"/>
      <c r="S499" s="29"/>
      <c r="T499" s="27"/>
      <c r="U499" s="28" t="str">
        <f aca="false">IF(N(T499)=0,"",IF(T499&lt;12,"Under 12 months",IF(T499&lt;36,"12-35 months",IF(T499&lt;60,"36-59 months","≥60 months"))))</f>
        <v/>
      </c>
      <c r="V499" s="27"/>
      <c r="W499" s="30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9"/>
      <c r="AT499" s="30"/>
      <c r="AU499" s="30"/>
      <c r="AV499" s="30"/>
      <c r="AW499" s="27"/>
      <c r="AX499" s="27"/>
      <c r="AY499" s="29"/>
      <c r="AZ499" s="27"/>
      <c r="BA499" s="27"/>
      <c r="BB499" s="29"/>
      <c r="BC499" s="30"/>
      <c r="BD499" s="30"/>
      <c r="BE499" s="30"/>
      <c r="BF499" s="27"/>
      <c r="BG499" s="27"/>
      <c r="BH499" s="28" t="str">
        <f aca="false">IF(COUNT(BC499:BE499)=0,"",IF(MIN(BC499:BE499)&lt;=-2.5,"Yes","No"))</f>
        <v/>
      </c>
      <c r="BI499" s="27"/>
      <c r="BJ499" s="29"/>
      <c r="BK499" s="27"/>
      <c r="BL499" s="27"/>
      <c r="BM499" s="27"/>
      <c r="BN499" s="28" t="str">
        <f aca="false">IF(OR(AX499="Yes",BI499="Yes"),"Yes",IF(AND(AX499="No",BI499="No"),"No",IF(AND(AX499="",BI499=""),"","Unknown")))</f>
        <v/>
      </c>
      <c r="BO499" s="31" t="str">
        <f aca="false">IF(COUNT(AY499,BJ499)=0,"",MIN(AY499,BJ499))</f>
        <v/>
      </c>
      <c r="BP499" s="29"/>
      <c r="BQ499" s="29"/>
      <c r="BR499" s="29"/>
      <c r="BS499" s="28" t="str">
        <f aca="false">IF(AND(N(BP499)&gt;0,N(BR499)&gt;0),BR499-BP499,"")</f>
        <v/>
      </c>
      <c r="BT499" s="28" t="str">
        <f aca="false">IF(BS499="","",ROUND(BS499/365.25,2))</f>
        <v/>
      </c>
      <c r="BU499" s="28" t="str">
        <f aca="false">IF(BS499="","",IF(BS499&gt;=730.5,"Yes","No"))</f>
        <v/>
      </c>
      <c r="BV499" s="27"/>
      <c r="BW499" s="29"/>
      <c r="BX499" s="27"/>
      <c r="BY499" s="27"/>
      <c r="BZ499" s="28" t="str">
        <f aca="false">IF(N(E499)=0,"",IF(E499&lt;65,"Under 65","≥65"))</f>
        <v/>
      </c>
      <c r="CA499" s="28" t="str">
        <f aca="false">IF(OR(AC499="Yes",AC499="No"),AC499,"")</f>
        <v/>
      </c>
      <c r="CB499" s="28" t="str">
        <f aca="false">IF(OR(AD499="Yes",AD499="No"),AD499,"")</f>
        <v/>
      </c>
      <c r="CC499" s="28" t="str">
        <f aca="false">IF(F499="","",F499)</f>
        <v/>
      </c>
      <c r="CD499" s="27"/>
      <c r="CE499" s="27"/>
    </row>
    <row r="500" customFormat="false" ht="15" hidden="false" customHeight="false" outlineLevel="0" collapsed="false">
      <c r="A500" s="27"/>
      <c r="B500" s="27"/>
      <c r="C500" s="27"/>
      <c r="D500" s="27"/>
      <c r="E500" s="27"/>
      <c r="F500" s="27"/>
      <c r="G500" s="27"/>
      <c r="H500" s="27"/>
      <c r="I500" s="27"/>
      <c r="J500" s="28" t="str">
        <f aca="false">IF(AND(N(H500)&gt;0,N(I500)&gt;0),ROUND(I500/(H500/100)^2,1),"")</f>
        <v/>
      </c>
      <c r="K500" s="27"/>
      <c r="L500" s="27"/>
      <c r="M500" s="27"/>
      <c r="N500" s="27"/>
      <c r="O500" s="27"/>
      <c r="P500" s="27"/>
      <c r="Q500" s="27"/>
      <c r="R500" s="29"/>
      <c r="S500" s="29"/>
      <c r="T500" s="27"/>
      <c r="U500" s="28" t="str">
        <f aca="false">IF(N(T500)=0,"",IF(T500&lt;12,"Under 12 months",IF(T500&lt;36,"12-35 months",IF(T500&lt;60,"36-59 months","≥60 months"))))</f>
        <v/>
      </c>
      <c r="V500" s="27"/>
      <c r="W500" s="30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9"/>
      <c r="AT500" s="30"/>
      <c r="AU500" s="30"/>
      <c r="AV500" s="30"/>
      <c r="AW500" s="27"/>
      <c r="AX500" s="27"/>
      <c r="AY500" s="29"/>
      <c r="AZ500" s="27"/>
      <c r="BA500" s="27"/>
      <c r="BB500" s="29"/>
      <c r="BC500" s="30"/>
      <c r="BD500" s="30"/>
      <c r="BE500" s="30"/>
      <c r="BF500" s="27"/>
      <c r="BG500" s="27"/>
      <c r="BH500" s="28" t="str">
        <f aca="false">IF(COUNT(BC500:BE500)=0,"",IF(MIN(BC500:BE500)&lt;=-2.5,"Yes","No"))</f>
        <v/>
      </c>
      <c r="BI500" s="27"/>
      <c r="BJ500" s="29"/>
      <c r="BK500" s="27"/>
      <c r="BL500" s="27"/>
      <c r="BM500" s="27"/>
      <c r="BN500" s="28" t="str">
        <f aca="false">IF(OR(AX500="Yes",BI500="Yes"),"Yes",IF(AND(AX500="No",BI500="No"),"No",IF(AND(AX500="",BI500=""),"","Unknown")))</f>
        <v/>
      </c>
      <c r="BO500" s="31" t="str">
        <f aca="false">IF(COUNT(AY500,BJ500)=0,"",MIN(AY500,BJ500))</f>
        <v/>
      </c>
      <c r="BP500" s="29"/>
      <c r="BQ500" s="29"/>
      <c r="BR500" s="29"/>
      <c r="BS500" s="28" t="str">
        <f aca="false">IF(AND(N(BP500)&gt;0,N(BR500)&gt;0),BR500-BP500,"")</f>
        <v/>
      </c>
      <c r="BT500" s="28" t="str">
        <f aca="false">IF(BS500="","",ROUND(BS500/365.25,2))</f>
        <v/>
      </c>
      <c r="BU500" s="28" t="str">
        <f aca="false">IF(BS500="","",IF(BS500&gt;=730.5,"Yes","No"))</f>
        <v/>
      </c>
      <c r="BV500" s="27"/>
      <c r="BW500" s="29"/>
      <c r="BX500" s="27"/>
      <c r="BY500" s="27"/>
      <c r="BZ500" s="28" t="str">
        <f aca="false">IF(N(E500)=0,"",IF(E500&lt;65,"Under 65","≥65"))</f>
        <v/>
      </c>
      <c r="CA500" s="28" t="str">
        <f aca="false">IF(OR(AC500="Yes",AC500="No"),AC500,"")</f>
        <v/>
      </c>
      <c r="CB500" s="28" t="str">
        <f aca="false">IF(OR(AD500="Yes",AD500="No"),AD500,"")</f>
        <v/>
      </c>
      <c r="CC500" s="28" t="str">
        <f aca="false">IF(F500="","",F500)</f>
        <v/>
      </c>
      <c r="CD500" s="27"/>
      <c r="CE500" s="27"/>
    </row>
    <row r="501" customFormat="false" ht="15" hidden="false" customHeight="false" outlineLevel="0" collapsed="false">
      <c r="A501" s="27"/>
      <c r="B501" s="27"/>
      <c r="C501" s="27"/>
      <c r="D501" s="27"/>
      <c r="E501" s="27"/>
      <c r="F501" s="27"/>
      <c r="G501" s="27"/>
      <c r="H501" s="27"/>
      <c r="I501" s="27"/>
      <c r="J501" s="28" t="str">
        <f aca="false">IF(AND(N(H501)&gt;0,N(I501)&gt;0),ROUND(I501/(H501/100)^2,1),"")</f>
        <v/>
      </c>
      <c r="K501" s="27"/>
      <c r="L501" s="27"/>
      <c r="M501" s="27"/>
      <c r="N501" s="27"/>
      <c r="O501" s="27"/>
      <c r="P501" s="27"/>
      <c r="Q501" s="27"/>
      <c r="R501" s="29"/>
      <c r="S501" s="29"/>
      <c r="T501" s="27"/>
      <c r="U501" s="28" t="str">
        <f aca="false">IF(N(T501)=0,"",IF(T501&lt;12,"Under 12 months",IF(T501&lt;36,"12-35 months",IF(T501&lt;60,"36-59 months","≥60 months"))))</f>
        <v/>
      </c>
      <c r="V501" s="27"/>
      <c r="W501" s="30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9"/>
      <c r="AT501" s="30"/>
      <c r="AU501" s="30"/>
      <c r="AV501" s="30"/>
      <c r="AW501" s="27"/>
      <c r="AX501" s="27"/>
      <c r="AY501" s="29"/>
      <c r="AZ501" s="27"/>
      <c r="BA501" s="27"/>
      <c r="BB501" s="29"/>
      <c r="BC501" s="30"/>
      <c r="BD501" s="30"/>
      <c r="BE501" s="30"/>
      <c r="BF501" s="27"/>
      <c r="BG501" s="27"/>
      <c r="BH501" s="28" t="str">
        <f aca="false">IF(COUNT(BC501:BE501)=0,"",IF(MIN(BC501:BE501)&lt;=-2.5,"Yes","No"))</f>
        <v/>
      </c>
      <c r="BI501" s="27"/>
      <c r="BJ501" s="29"/>
      <c r="BK501" s="27"/>
      <c r="BL501" s="27"/>
      <c r="BM501" s="27"/>
      <c r="BN501" s="28" t="str">
        <f aca="false">IF(OR(AX501="Yes",BI501="Yes"),"Yes",IF(AND(AX501="No",BI501="No"),"No",IF(AND(AX501="",BI501=""),"","Unknown")))</f>
        <v/>
      </c>
      <c r="BO501" s="31" t="str">
        <f aca="false">IF(COUNT(AY501,BJ501)=0,"",MIN(AY501,BJ501))</f>
        <v/>
      </c>
      <c r="BP501" s="29"/>
      <c r="BQ501" s="29"/>
      <c r="BR501" s="29"/>
      <c r="BS501" s="28" t="str">
        <f aca="false">IF(AND(N(BP501)&gt;0,N(BR501)&gt;0),BR501-BP501,"")</f>
        <v/>
      </c>
      <c r="BT501" s="28" t="str">
        <f aca="false">IF(BS501="","",ROUND(BS501/365.25,2))</f>
        <v/>
      </c>
      <c r="BU501" s="28" t="str">
        <f aca="false">IF(BS501="","",IF(BS501&gt;=730.5,"Yes","No"))</f>
        <v/>
      </c>
      <c r="BV501" s="27"/>
      <c r="BW501" s="29"/>
      <c r="BX501" s="27"/>
      <c r="BY501" s="27"/>
      <c r="BZ501" s="28" t="str">
        <f aca="false">IF(N(E501)=0,"",IF(E501&lt;65,"Under 65","≥65"))</f>
        <v/>
      </c>
      <c r="CA501" s="28" t="str">
        <f aca="false">IF(OR(AC501="Yes",AC501="No"),AC501,"")</f>
        <v/>
      </c>
      <c r="CB501" s="28" t="str">
        <f aca="false">IF(OR(AD501="Yes",AD501="No"),AD501,"")</f>
        <v/>
      </c>
      <c r="CC501" s="28" t="str">
        <f aca="false">IF(F501="","",F501)</f>
        <v/>
      </c>
      <c r="CD501" s="27"/>
      <c r="CE501" s="27"/>
    </row>
    <row r="502" customFormat="false" ht="15" hidden="false" customHeight="false" outlineLevel="0" collapsed="false">
      <c r="A502" s="27"/>
      <c r="B502" s="27"/>
      <c r="C502" s="27"/>
      <c r="D502" s="27"/>
      <c r="E502" s="27"/>
      <c r="F502" s="27"/>
      <c r="G502" s="27"/>
      <c r="H502" s="27"/>
      <c r="I502" s="27"/>
      <c r="J502" s="28" t="str">
        <f aca="false">IF(AND(N(H502)&gt;0,N(I502)&gt;0),ROUND(I502/(H502/100)^2,1),"")</f>
        <v/>
      </c>
      <c r="K502" s="27"/>
      <c r="L502" s="27"/>
      <c r="M502" s="27"/>
      <c r="N502" s="27"/>
      <c r="O502" s="27"/>
      <c r="P502" s="27"/>
      <c r="Q502" s="27"/>
      <c r="R502" s="29"/>
      <c r="S502" s="29"/>
      <c r="T502" s="27"/>
      <c r="U502" s="28" t="str">
        <f aca="false">IF(N(T502)=0,"",IF(T502&lt;12,"Under 12 months",IF(T502&lt;36,"12-35 months",IF(T502&lt;60,"36-59 months","≥60 months"))))</f>
        <v/>
      </c>
      <c r="V502" s="27"/>
      <c r="W502" s="30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9"/>
      <c r="AT502" s="30"/>
      <c r="AU502" s="30"/>
      <c r="AV502" s="30"/>
      <c r="AW502" s="27"/>
      <c r="AX502" s="27"/>
      <c r="AY502" s="29"/>
      <c r="AZ502" s="27"/>
      <c r="BA502" s="27"/>
      <c r="BB502" s="29"/>
      <c r="BC502" s="30"/>
      <c r="BD502" s="30"/>
      <c r="BE502" s="30"/>
      <c r="BF502" s="27"/>
      <c r="BG502" s="27"/>
      <c r="BH502" s="28" t="str">
        <f aca="false">IF(COUNT(BC502:BE502)=0,"",IF(MIN(BC502:BE502)&lt;=-2.5,"Yes","No"))</f>
        <v/>
      </c>
      <c r="BI502" s="27"/>
      <c r="BJ502" s="29"/>
      <c r="BK502" s="27"/>
      <c r="BL502" s="27"/>
      <c r="BM502" s="27"/>
      <c r="BN502" s="28" t="str">
        <f aca="false">IF(OR(AX502="Yes",BI502="Yes"),"Yes",IF(AND(AX502="No",BI502="No"),"No",IF(AND(AX502="",BI502=""),"","Unknown")))</f>
        <v/>
      </c>
      <c r="BO502" s="31" t="str">
        <f aca="false">IF(COUNT(AY502,BJ502)=0,"",MIN(AY502,BJ502))</f>
        <v/>
      </c>
      <c r="BP502" s="29"/>
      <c r="BQ502" s="29"/>
      <c r="BR502" s="29"/>
      <c r="BS502" s="28" t="str">
        <f aca="false">IF(AND(N(BP502)&gt;0,N(BR502)&gt;0),BR502-BP502,"")</f>
        <v/>
      </c>
      <c r="BT502" s="28" t="str">
        <f aca="false">IF(BS502="","",ROUND(BS502/365.25,2))</f>
        <v/>
      </c>
      <c r="BU502" s="28" t="str">
        <f aca="false">IF(BS502="","",IF(BS502&gt;=730.5,"Yes","No"))</f>
        <v/>
      </c>
      <c r="BV502" s="27"/>
      <c r="BW502" s="29"/>
      <c r="BX502" s="27"/>
      <c r="BY502" s="27"/>
      <c r="BZ502" s="28" t="str">
        <f aca="false">IF(N(E502)=0,"",IF(E502&lt;65,"Under 65","≥65"))</f>
        <v/>
      </c>
      <c r="CA502" s="28" t="str">
        <f aca="false">IF(OR(AC502="Yes",AC502="No"),AC502,"")</f>
        <v/>
      </c>
      <c r="CB502" s="28" t="str">
        <f aca="false">IF(OR(AD502="Yes",AD502="No"),AD502,"")</f>
        <v/>
      </c>
      <c r="CC502" s="28" t="str">
        <f aca="false">IF(F502="","",F502)</f>
        <v/>
      </c>
      <c r="CD502" s="27"/>
      <c r="CE502" s="27"/>
    </row>
    <row r="503" customFormat="false" ht="15" hidden="false" customHeight="false" outlineLevel="0" collapsed="false">
      <c r="A503" s="27"/>
      <c r="B503" s="27"/>
      <c r="C503" s="27"/>
      <c r="D503" s="27"/>
      <c r="E503" s="27"/>
      <c r="F503" s="27"/>
      <c r="G503" s="27"/>
      <c r="H503" s="27"/>
      <c r="I503" s="27"/>
      <c r="J503" s="28" t="str">
        <f aca="false">IF(AND(N(H503)&gt;0,N(I503)&gt;0),ROUND(I503/(H503/100)^2,1),"")</f>
        <v/>
      </c>
      <c r="K503" s="27"/>
      <c r="L503" s="27"/>
      <c r="M503" s="27"/>
      <c r="N503" s="27"/>
      <c r="O503" s="27"/>
      <c r="P503" s="27"/>
      <c r="Q503" s="27"/>
      <c r="R503" s="29"/>
      <c r="S503" s="29"/>
      <c r="T503" s="27"/>
      <c r="U503" s="28" t="str">
        <f aca="false">IF(N(T503)=0,"",IF(T503&lt;12,"Under 12 months",IF(T503&lt;36,"12-35 months",IF(T503&lt;60,"36-59 months","≥60 months"))))</f>
        <v/>
      </c>
      <c r="V503" s="27"/>
      <c r="W503" s="30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9"/>
      <c r="AT503" s="30"/>
      <c r="AU503" s="30"/>
      <c r="AV503" s="30"/>
      <c r="AW503" s="27"/>
      <c r="AX503" s="27"/>
      <c r="AY503" s="29"/>
      <c r="AZ503" s="27"/>
      <c r="BA503" s="27"/>
      <c r="BB503" s="29"/>
      <c r="BC503" s="30"/>
      <c r="BD503" s="30"/>
      <c r="BE503" s="30"/>
      <c r="BF503" s="27"/>
      <c r="BG503" s="27"/>
      <c r="BH503" s="28" t="str">
        <f aca="false">IF(COUNT(BC503:BE503)=0,"",IF(MIN(BC503:BE503)&lt;=-2.5,"Yes","No"))</f>
        <v/>
      </c>
      <c r="BI503" s="27"/>
      <c r="BJ503" s="29"/>
      <c r="BK503" s="27"/>
      <c r="BL503" s="27"/>
      <c r="BM503" s="27"/>
      <c r="BN503" s="28" t="str">
        <f aca="false">IF(OR(AX503="Yes",BI503="Yes"),"Yes",IF(AND(AX503="No",BI503="No"),"No",IF(AND(AX503="",BI503=""),"","Unknown")))</f>
        <v/>
      </c>
      <c r="BO503" s="31" t="str">
        <f aca="false">IF(COUNT(AY503,BJ503)=0,"",MIN(AY503,BJ503))</f>
        <v/>
      </c>
      <c r="BP503" s="29"/>
      <c r="BQ503" s="29"/>
      <c r="BR503" s="29"/>
      <c r="BS503" s="28" t="str">
        <f aca="false">IF(AND(N(BP503)&gt;0,N(BR503)&gt;0),BR503-BP503,"")</f>
        <v/>
      </c>
      <c r="BT503" s="28" t="str">
        <f aca="false">IF(BS503="","",ROUND(BS503/365.25,2))</f>
        <v/>
      </c>
      <c r="BU503" s="28" t="str">
        <f aca="false">IF(BS503="","",IF(BS503&gt;=730.5,"Yes","No"))</f>
        <v/>
      </c>
      <c r="BV503" s="27"/>
      <c r="BW503" s="29"/>
      <c r="BX503" s="27"/>
      <c r="BY503" s="27"/>
      <c r="BZ503" s="28" t="str">
        <f aca="false">IF(N(E503)=0,"",IF(E503&lt;65,"Under 65","≥65"))</f>
        <v/>
      </c>
      <c r="CA503" s="28" t="str">
        <f aca="false">IF(OR(AC503="Yes",AC503="No"),AC503,"")</f>
        <v/>
      </c>
      <c r="CB503" s="28" t="str">
        <f aca="false">IF(OR(AD503="Yes",AD503="No"),AD503,"")</f>
        <v/>
      </c>
      <c r="CC503" s="28" t="str">
        <f aca="false">IF(F503="","",F503)</f>
        <v/>
      </c>
      <c r="CD503" s="27"/>
      <c r="CE503" s="27"/>
    </row>
    <row r="504" customFormat="false" ht="15" hidden="false" customHeight="false" outlineLevel="0" collapsed="false">
      <c r="A504" s="27"/>
      <c r="B504" s="27"/>
      <c r="C504" s="27"/>
      <c r="D504" s="27"/>
      <c r="E504" s="27"/>
      <c r="F504" s="27"/>
      <c r="G504" s="27"/>
      <c r="H504" s="27"/>
      <c r="I504" s="27"/>
      <c r="J504" s="28" t="str">
        <f aca="false">IF(AND(N(H504)&gt;0,N(I504)&gt;0),ROUND(I504/(H504/100)^2,1),"")</f>
        <v/>
      </c>
      <c r="K504" s="27"/>
      <c r="L504" s="27"/>
      <c r="M504" s="27"/>
      <c r="N504" s="27"/>
      <c r="O504" s="27"/>
      <c r="P504" s="27"/>
      <c r="Q504" s="27"/>
      <c r="R504" s="29"/>
      <c r="S504" s="29"/>
      <c r="T504" s="27"/>
      <c r="U504" s="28" t="str">
        <f aca="false">IF(N(T504)=0,"",IF(T504&lt;12,"Under 12 months",IF(T504&lt;36,"12-35 months",IF(T504&lt;60,"36-59 months","≥60 months"))))</f>
        <v/>
      </c>
      <c r="V504" s="27"/>
      <c r="W504" s="30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9"/>
      <c r="AT504" s="30"/>
      <c r="AU504" s="30"/>
      <c r="AV504" s="30"/>
      <c r="AW504" s="27"/>
      <c r="AX504" s="27"/>
      <c r="AY504" s="29"/>
      <c r="AZ504" s="27"/>
      <c r="BA504" s="27"/>
      <c r="BB504" s="29"/>
      <c r="BC504" s="30"/>
      <c r="BD504" s="30"/>
      <c r="BE504" s="30"/>
      <c r="BF504" s="27"/>
      <c r="BG504" s="27"/>
      <c r="BH504" s="28" t="str">
        <f aca="false">IF(COUNT(BC504:BE504)=0,"",IF(MIN(BC504:BE504)&lt;=-2.5,"Yes","No"))</f>
        <v/>
      </c>
      <c r="BI504" s="27"/>
      <c r="BJ504" s="29"/>
      <c r="BK504" s="27"/>
      <c r="BL504" s="27"/>
      <c r="BM504" s="27"/>
      <c r="BN504" s="28" t="str">
        <f aca="false">IF(OR(AX504="Yes",BI504="Yes"),"Yes",IF(AND(AX504="No",BI504="No"),"No",IF(AND(AX504="",BI504=""),"","Unknown")))</f>
        <v/>
      </c>
      <c r="BO504" s="31" t="str">
        <f aca="false">IF(COUNT(AY504,BJ504)=0,"",MIN(AY504,BJ504))</f>
        <v/>
      </c>
      <c r="BP504" s="29"/>
      <c r="BQ504" s="29"/>
      <c r="BR504" s="29"/>
      <c r="BS504" s="28" t="str">
        <f aca="false">IF(AND(N(BP504)&gt;0,N(BR504)&gt;0),BR504-BP504,"")</f>
        <v/>
      </c>
      <c r="BT504" s="28" t="str">
        <f aca="false">IF(BS504="","",ROUND(BS504/365.25,2))</f>
        <v/>
      </c>
      <c r="BU504" s="28" t="str">
        <f aca="false">IF(BS504="","",IF(BS504&gt;=730.5,"Yes","No"))</f>
        <v/>
      </c>
      <c r="BV504" s="27"/>
      <c r="BW504" s="29"/>
      <c r="BX504" s="27"/>
      <c r="BY504" s="27"/>
      <c r="BZ504" s="28" t="str">
        <f aca="false">IF(N(E504)=0,"",IF(E504&lt;65,"Under 65","≥65"))</f>
        <v/>
      </c>
      <c r="CA504" s="28" t="str">
        <f aca="false">IF(OR(AC504="Yes",AC504="No"),AC504,"")</f>
        <v/>
      </c>
      <c r="CB504" s="28" t="str">
        <f aca="false">IF(OR(AD504="Yes",AD504="No"),AD504,"")</f>
        <v/>
      </c>
      <c r="CC504" s="28" t="str">
        <f aca="false">IF(F504="","",F504)</f>
        <v/>
      </c>
      <c r="CD504" s="27"/>
      <c r="CE504" s="27"/>
    </row>
    <row r="505" customFormat="false" ht="15" hidden="false" customHeight="false" outlineLevel="0" collapsed="false">
      <c r="A505" s="27"/>
      <c r="B505" s="27"/>
      <c r="C505" s="27"/>
      <c r="D505" s="27"/>
      <c r="E505" s="27"/>
      <c r="F505" s="27"/>
      <c r="G505" s="27"/>
      <c r="H505" s="27"/>
      <c r="I505" s="27"/>
      <c r="J505" s="28" t="str">
        <f aca="false">IF(AND(N(H505)&gt;0,N(I505)&gt;0),ROUND(I505/(H505/100)^2,1),"")</f>
        <v/>
      </c>
      <c r="K505" s="27"/>
      <c r="L505" s="27"/>
      <c r="M505" s="27"/>
      <c r="N505" s="27"/>
      <c r="O505" s="27"/>
      <c r="P505" s="27"/>
      <c r="Q505" s="27"/>
      <c r="R505" s="29"/>
      <c r="S505" s="29"/>
      <c r="T505" s="27"/>
      <c r="U505" s="28" t="str">
        <f aca="false">IF(N(T505)=0,"",IF(T505&lt;12,"Under 12 months",IF(T505&lt;36,"12-35 months",IF(T505&lt;60,"36-59 months","≥60 months"))))</f>
        <v/>
      </c>
      <c r="V505" s="27"/>
      <c r="W505" s="30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9"/>
      <c r="AT505" s="30"/>
      <c r="AU505" s="30"/>
      <c r="AV505" s="30"/>
      <c r="AW505" s="27"/>
      <c r="AX505" s="27"/>
      <c r="AY505" s="29"/>
      <c r="AZ505" s="27"/>
      <c r="BA505" s="27"/>
      <c r="BB505" s="29"/>
      <c r="BC505" s="30"/>
      <c r="BD505" s="30"/>
      <c r="BE505" s="30"/>
      <c r="BF505" s="27"/>
      <c r="BG505" s="27"/>
      <c r="BH505" s="28" t="str">
        <f aca="false">IF(COUNT(BC505:BE505)=0,"",IF(MIN(BC505:BE505)&lt;=-2.5,"Yes","No"))</f>
        <v/>
      </c>
      <c r="BI505" s="27"/>
      <c r="BJ505" s="29"/>
      <c r="BK505" s="27"/>
      <c r="BL505" s="27"/>
      <c r="BM505" s="27"/>
      <c r="BN505" s="28" t="str">
        <f aca="false">IF(OR(AX505="Yes",BI505="Yes"),"Yes",IF(AND(AX505="No",BI505="No"),"No",IF(AND(AX505="",BI505=""),"","Unknown")))</f>
        <v/>
      </c>
      <c r="BO505" s="31" t="str">
        <f aca="false">IF(COUNT(AY505,BJ505)=0,"",MIN(AY505,BJ505))</f>
        <v/>
      </c>
      <c r="BP505" s="29"/>
      <c r="BQ505" s="29"/>
      <c r="BR505" s="29"/>
      <c r="BS505" s="28" t="str">
        <f aca="false">IF(AND(N(BP505)&gt;0,N(BR505)&gt;0),BR505-BP505,"")</f>
        <v/>
      </c>
      <c r="BT505" s="28" t="str">
        <f aca="false">IF(BS505="","",ROUND(BS505/365.25,2))</f>
        <v/>
      </c>
      <c r="BU505" s="28" t="str">
        <f aca="false">IF(BS505="","",IF(BS505&gt;=730.5,"Yes","No"))</f>
        <v/>
      </c>
      <c r="BV505" s="27"/>
      <c r="BW505" s="29"/>
      <c r="BX505" s="27"/>
      <c r="BY505" s="27"/>
      <c r="BZ505" s="28" t="str">
        <f aca="false">IF(N(E505)=0,"",IF(E505&lt;65,"Under 65","≥65"))</f>
        <v/>
      </c>
      <c r="CA505" s="28" t="str">
        <f aca="false">IF(OR(AC505="Yes",AC505="No"),AC505,"")</f>
        <v/>
      </c>
      <c r="CB505" s="28" t="str">
        <f aca="false">IF(OR(AD505="Yes",AD505="No"),AD505,"")</f>
        <v/>
      </c>
      <c r="CC505" s="28" t="str">
        <f aca="false">IF(F505="","",F505)</f>
        <v/>
      </c>
      <c r="CD505" s="27"/>
      <c r="CE505" s="27"/>
    </row>
    <row r="506" customFormat="false" ht="15" hidden="false" customHeight="false" outlineLevel="0" collapsed="false">
      <c r="A506" s="27"/>
      <c r="B506" s="27"/>
      <c r="C506" s="27"/>
      <c r="D506" s="27"/>
      <c r="E506" s="27"/>
      <c r="F506" s="27"/>
      <c r="G506" s="27"/>
      <c r="H506" s="27"/>
      <c r="I506" s="27"/>
      <c r="J506" s="28" t="str">
        <f aca="false">IF(AND(N(H506)&gt;0,N(I506)&gt;0),ROUND(I506/(H506/100)^2,1),"")</f>
        <v/>
      </c>
      <c r="K506" s="27"/>
      <c r="L506" s="27"/>
      <c r="M506" s="27"/>
      <c r="N506" s="27"/>
      <c r="O506" s="27"/>
      <c r="P506" s="27"/>
      <c r="Q506" s="27"/>
      <c r="R506" s="29"/>
      <c r="S506" s="29"/>
      <c r="T506" s="27"/>
      <c r="U506" s="28" t="str">
        <f aca="false">IF(N(T506)=0,"",IF(T506&lt;12,"Under 12 months",IF(T506&lt;36,"12-35 months",IF(T506&lt;60,"36-59 months","≥60 months"))))</f>
        <v/>
      </c>
      <c r="V506" s="27"/>
      <c r="W506" s="30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9"/>
      <c r="AT506" s="30"/>
      <c r="AU506" s="30"/>
      <c r="AV506" s="30"/>
      <c r="AW506" s="27"/>
      <c r="AX506" s="27"/>
      <c r="AY506" s="29"/>
      <c r="AZ506" s="27"/>
      <c r="BA506" s="27"/>
      <c r="BB506" s="29"/>
      <c r="BC506" s="30"/>
      <c r="BD506" s="30"/>
      <c r="BE506" s="30"/>
      <c r="BF506" s="27"/>
      <c r="BG506" s="27"/>
      <c r="BH506" s="28" t="str">
        <f aca="false">IF(COUNT(BC506:BE506)=0,"",IF(MIN(BC506:BE506)&lt;=-2.5,"Yes","No"))</f>
        <v/>
      </c>
      <c r="BI506" s="27"/>
      <c r="BJ506" s="29"/>
      <c r="BK506" s="27"/>
      <c r="BL506" s="27"/>
      <c r="BM506" s="27"/>
      <c r="BN506" s="28" t="str">
        <f aca="false">IF(OR(AX506="Yes",BI506="Yes"),"Yes",IF(AND(AX506="No",BI506="No"),"No",IF(AND(AX506="",BI506=""),"","Unknown")))</f>
        <v/>
      </c>
      <c r="BO506" s="31" t="str">
        <f aca="false">IF(COUNT(AY506,BJ506)=0,"",MIN(AY506,BJ506))</f>
        <v/>
      </c>
      <c r="BP506" s="29"/>
      <c r="BQ506" s="29"/>
      <c r="BR506" s="29"/>
      <c r="BS506" s="28" t="str">
        <f aca="false">IF(AND(N(BP506)&gt;0,N(BR506)&gt;0),BR506-BP506,"")</f>
        <v/>
      </c>
      <c r="BT506" s="28" t="str">
        <f aca="false">IF(BS506="","",ROUND(BS506/365.25,2))</f>
        <v/>
      </c>
      <c r="BU506" s="28" t="str">
        <f aca="false">IF(BS506="","",IF(BS506&gt;=730.5,"Yes","No"))</f>
        <v/>
      </c>
      <c r="BV506" s="27"/>
      <c r="BW506" s="29"/>
      <c r="BX506" s="27"/>
      <c r="BY506" s="27"/>
      <c r="BZ506" s="28" t="str">
        <f aca="false">IF(N(E506)=0,"",IF(E506&lt;65,"Under 65","≥65"))</f>
        <v/>
      </c>
      <c r="CA506" s="28" t="str">
        <f aca="false">IF(OR(AC506="Yes",AC506="No"),AC506,"")</f>
        <v/>
      </c>
      <c r="CB506" s="28" t="str">
        <f aca="false">IF(OR(AD506="Yes",AD506="No"),AD506,"")</f>
        <v/>
      </c>
      <c r="CC506" s="28" t="str">
        <f aca="false">IF(F506="","",F506)</f>
        <v/>
      </c>
      <c r="CD506" s="27"/>
      <c r="CE506" s="27"/>
    </row>
    <row r="507" customFormat="false" ht="15" hidden="false" customHeight="false" outlineLevel="0" collapsed="false">
      <c r="A507" s="27"/>
      <c r="B507" s="27"/>
      <c r="C507" s="27"/>
      <c r="D507" s="27"/>
      <c r="E507" s="27"/>
      <c r="F507" s="27"/>
      <c r="G507" s="27"/>
      <c r="H507" s="27"/>
      <c r="I507" s="27"/>
      <c r="J507" s="28" t="str">
        <f aca="false">IF(AND(N(H507)&gt;0,N(I507)&gt;0),ROUND(I507/(H507/100)^2,1),"")</f>
        <v/>
      </c>
      <c r="K507" s="27"/>
      <c r="L507" s="27"/>
      <c r="M507" s="27"/>
      <c r="N507" s="27"/>
      <c r="O507" s="27"/>
      <c r="P507" s="27"/>
      <c r="Q507" s="27"/>
      <c r="R507" s="29"/>
      <c r="S507" s="29"/>
      <c r="T507" s="27"/>
      <c r="U507" s="28" t="str">
        <f aca="false">IF(N(T507)=0,"",IF(T507&lt;12,"Under 12 months",IF(T507&lt;36,"12-35 months",IF(T507&lt;60,"36-59 months","≥60 months"))))</f>
        <v/>
      </c>
      <c r="V507" s="27"/>
      <c r="W507" s="30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9"/>
      <c r="AT507" s="30"/>
      <c r="AU507" s="30"/>
      <c r="AV507" s="30"/>
      <c r="AW507" s="27"/>
      <c r="AX507" s="27"/>
      <c r="AY507" s="29"/>
      <c r="AZ507" s="27"/>
      <c r="BA507" s="27"/>
      <c r="BB507" s="29"/>
      <c r="BC507" s="30"/>
      <c r="BD507" s="30"/>
      <c r="BE507" s="30"/>
      <c r="BF507" s="27"/>
      <c r="BG507" s="27"/>
      <c r="BH507" s="28" t="str">
        <f aca="false">IF(COUNT(BC507:BE507)=0,"",IF(MIN(BC507:BE507)&lt;=-2.5,"Yes","No"))</f>
        <v/>
      </c>
      <c r="BI507" s="27"/>
      <c r="BJ507" s="29"/>
      <c r="BK507" s="27"/>
      <c r="BL507" s="27"/>
      <c r="BM507" s="27"/>
      <c r="BN507" s="28" t="str">
        <f aca="false">IF(OR(AX507="Yes",BI507="Yes"),"Yes",IF(AND(AX507="No",BI507="No"),"No",IF(AND(AX507="",BI507=""),"","Unknown")))</f>
        <v/>
      </c>
      <c r="BO507" s="31" t="str">
        <f aca="false">IF(COUNT(AY507,BJ507)=0,"",MIN(AY507,BJ507))</f>
        <v/>
      </c>
      <c r="BP507" s="29"/>
      <c r="BQ507" s="29"/>
      <c r="BR507" s="29"/>
      <c r="BS507" s="28" t="str">
        <f aca="false">IF(AND(N(BP507)&gt;0,N(BR507)&gt;0),BR507-BP507,"")</f>
        <v/>
      </c>
      <c r="BT507" s="28" t="str">
        <f aca="false">IF(BS507="","",ROUND(BS507/365.25,2))</f>
        <v/>
      </c>
      <c r="BU507" s="28" t="str">
        <f aca="false">IF(BS507="","",IF(BS507&gt;=730.5,"Yes","No"))</f>
        <v/>
      </c>
      <c r="BV507" s="27"/>
      <c r="BW507" s="29"/>
      <c r="BX507" s="27"/>
      <c r="BY507" s="27"/>
      <c r="BZ507" s="28" t="str">
        <f aca="false">IF(N(E507)=0,"",IF(E507&lt;65,"Under 65","≥65"))</f>
        <v/>
      </c>
      <c r="CA507" s="28" t="str">
        <f aca="false">IF(OR(AC507="Yes",AC507="No"),AC507,"")</f>
        <v/>
      </c>
      <c r="CB507" s="28" t="str">
        <f aca="false">IF(OR(AD507="Yes",AD507="No"),AD507,"")</f>
        <v/>
      </c>
      <c r="CC507" s="28" t="str">
        <f aca="false">IF(F507="","",F507)</f>
        <v/>
      </c>
      <c r="CD507" s="27"/>
      <c r="CE507" s="27"/>
    </row>
    <row r="508" customFormat="false" ht="15" hidden="false" customHeight="false" outlineLevel="0" collapsed="false">
      <c r="A508" s="27"/>
      <c r="B508" s="27"/>
      <c r="C508" s="27"/>
      <c r="D508" s="27"/>
      <c r="E508" s="27"/>
      <c r="F508" s="27"/>
      <c r="G508" s="27"/>
      <c r="H508" s="27"/>
      <c r="I508" s="27"/>
      <c r="J508" s="28" t="str">
        <f aca="false">IF(AND(N(H508)&gt;0,N(I508)&gt;0),ROUND(I508/(H508/100)^2,1),"")</f>
        <v/>
      </c>
      <c r="K508" s="27"/>
      <c r="L508" s="27"/>
      <c r="M508" s="27"/>
      <c r="N508" s="27"/>
      <c r="O508" s="27"/>
      <c r="P508" s="27"/>
      <c r="Q508" s="27"/>
      <c r="R508" s="29"/>
      <c r="S508" s="29"/>
      <c r="T508" s="27"/>
      <c r="U508" s="28" t="str">
        <f aca="false">IF(N(T508)=0,"",IF(T508&lt;12,"Under 12 months",IF(T508&lt;36,"12-35 months",IF(T508&lt;60,"36-59 months","≥60 months"))))</f>
        <v/>
      </c>
      <c r="V508" s="27"/>
      <c r="W508" s="30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9"/>
      <c r="AT508" s="30"/>
      <c r="AU508" s="30"/>
      <c r="AV508" s="30"/>
      <c r="AW508" s="27"/>
      <c r="AX508" s="27"/>
      <c r="AY508" s="29"/>
      <c r="AZ508" s="27"/>
      <c r="BA508" s="27"/>
      <c r="BB508" s="29"/>
      <c r="BC508" s="30"/>
      <c r="BD508" s="30"/>
      <c r="BE508" s="30"/>
      <c r="BF508" s="27"/>
      <c r="BG508" s="27"/>
      <c r="BH508" s="28" t="str">
        <f aca="false">IF(COUNT(BC508:BE508)=0,"",IF(MIN(BC508:BE508)&lt;=-2.5,"Yes","No"))</f>
        <v/>
      </c>
      <c r="BI508" s="27"/>
      <c r="BJ508" s="29"/>
      <c r="BK508" s="27"/>
      <c r="BL508" s="27"/>
      <c r="BM508" s="27"/>
      <c r="BN508" s="28" t="str">
        <f aca="false">IF(OR(AX508="Yes",BI508="Yes"),"Yes",IF(AND(AX508="No",BI508="No"),"No",IF(AND(AX508="",BI508=""),"","Unknown")))</f>
        <v/>
      </c>
      <c r="BO508" s="31" t="str">
        <f aca="false">IF(COUNT(AY508,BJ508)=0,"",MIN(AY508,BJ508))</f>
        <v/>
      </c>
      <c r="BP508" s="29"/>
      <c r="BQ508" s="29"/>
      <c r="BR508" s="29"/>
      <c r="BS508" s="28" t="str">
        <f aca="false">IF(AND(N(BP508)&gt;0,N(BR508)&gt;0),BR508-BP508,"")</f>
        <v/>
      </c>
      <c r="BT508" s="28" t="str">
        <f aca="false">IF(BS508="","",ROUND(BS508/365.25,2))</f>
        <v/>
      </c>
      <c r="BU508" s="28" t="str">
        <f aca="false">IF(BS508="","",IF(BS508&gt;=730.5,"Yes","No"))</f>
        <v/>
      </c>
      <c r="BV508" s="27"/>
      <c r="BW508" s="29"/>
      <c r="BX508" s="27"/>
      <c r="BY508" s="27"/>
      <c r="BZ508" s="28" t="str">
        <f aca="false">IF(N(E508)=0,"",IF(E508&lt;65,"Under 65","≥65"))</f>
        <v/>
      </c>
      <c r="CA508" s="28" t="str">
        <f aca="false">IF(OR(AC508="Yes",AC508="No"),AC508,"")</f>
        <v/>
      </c>
      <c r="CB508" s="28" t="str">
        <f aca="false">IF(OR(AD508="Yes",AD508="No"),AD508,"")</f>
        <v/>
      </c>
      <c r="CC508" s="28" t="str">
        <f aca="false">IF(F508="","",F508)</f>
        <v/>
      </c>
      <c r="CD508" s="27"/>
      <c r="CE508" s="27"/>
    </row>
    <row r="509" customFormat="false" ht="15" hidden="false" customHeight="false" outlineLevel="0" collapsed="false">
      <c r="A509" s="27"/>
      <c r="B509" s="27"/>
      <c r="C509" s="27"/>
      <c r="D509" s="27"/>
      <c r="E509" s="27"/>
      <c r="F509" s="27"/>
      <c r="G509" s="27"/>
      <c r="H509" s="27"/>
      <c r="I509" s="27"/>
      <c r="J509" s="28" t="str">
        <f aca="false">IF(AND(N(H509)&gt;0,N(I509)&gt;0),ROUND(I509/(H509/100)^2,1),"")</f>
        <v/>
      </c>
      <c r="K509" s="27"/>
      <c r="L509" s="27"/>
      <c r="M509" s="27"/>
      <c r="N509" s="27"/>
      <c r="O509" s="27"/>
      <c r="P509" s="27"/>
      <c r="Q509" s="27"/>
      <c r="R509" s="29"/>
      <c r="S509" s="29"/>
      <c r="T509" s="27"/>
      <c r="U509" s="28" t="str">
        <f aca="false">IF(N(T509)=0,"",IF(T509&lt;12,"Under 12 months",IF(T509&lt;36,"12-35 months",IF(T509&lt;60,"36-59 months","≥60 months"))))</f>
        <v/>
      </c>
      <c r="V509" s="27"/>
      <c r="W509" s="30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9"/>
      <c r="AT509" s="30"/>
      <c r="AU509" s="30"/>
      <c r="AV509" s="30"/>
      <c r="AW509" s="27"/>
      <c r="AX509" s="27"/>
      <c r="AY509" s="29"/>
      <c r="AZ509" s="27"/>
      <c r="BA509" s="27"/>
      <c r="BB509" s="29"/>
      <c r="BC509" s="30"/>
      <c r="BD509" s="30"/>
      <c r="BE509" s="30"/>
      <c r="BF509" s="27"/>
      <c r="BG509" s="27"/>
      <c r="BH509" s="28" t="str">
        <f aca="false">IF(COUNT(BC509:BE509)=0,"",IF(MIN(BC509:BE509)&lt;=-2.5,"Yes","No"))</f>
        <v/>
      </c>
      <c r="BI509" s="27"/>
      <c r="BJ509" s="29"/>
      <c r="BK509" s="27"/>
      <c r="BL509" s="27"/>
      <c r="BM509" s="27"/>
      <c r="BN509" s="28" t="str">
        <f aca="false">IF(OR(AX509="Yes",BI509="Yes"),"Yes",IF(AND(AX509="No",BI509="No"),"No",IF(AND(AX509="",BI509=""),"","Unknown")))</f>
        <v/>
      </c>
      <c r="BO509" s="31" t="str">
        <f aca="false">IF(COUNT(AY509,BJ509)=0,"",MIN(AY509,BJ509))</f>
        <v/>
      </c>
      <c r="BP509" s="29"/>
      <c r="BQ509" s="29"/>
      <c r="BR509" s="29"/>
      <c r="BS509" s="28" t="str">
        <f aca="false">IF(AND(N(BP509)&gt;0,N(BR509)&gt;0),BR509-BP509,"")</f>
        <v/>
      </c>
      <c r="BT509" s="28" t="str">
        <f aca="false">IF(BS509="","",ROUND(BS509/365.25,2))</f>
        <v/>
      </c>
      <c r="BU509" s="28" t="str">
        <f aca="false">IF(BS509="","",IF(BS509&gt;=730.5,"Yes","No"))</f>
        <v/>
      </c>
      <c r="BV509" s="27"/>
      <c r="BW509" s="29"/>
      <c r="BX509" s="27"/>
      <c r="BY509" s="27"/>
      <c r="BZ509" s="28" t="str">
        <f aca="false">IF(N(E509)=0,"",IF(E509&lt;65,"Under 65","≥65"))</f>
        <v/>
      </c>
      <c r="CA509" s="28" t="str">
        <f aca="false">IF(OR(AC509="Yes",AC509="No"),AC509,"")</f>
        <v/>
      </c>
      <c r="CB509" s="28" t="str">
        <f aca="false">IF(OR(AD509="Yes",AD509="No"),AD509,"")</f>
        <v/>
      </c>
      <c r="CC509" s="28" t="str">
        <f aca="false">IF(F509="","",F509)</f>
        <v/>
      </c>
      <c r="CD509" s="27"/>
      <c r="CE509" s="27"/>
    </row>
    <row r="510" customFormat="false" ht="15" hidden="false" customHeight="false" outlineLevel="0" collapsed="false">
      <c r="A510" s="27"/>
      <c r="B510" s="27"/>
      <c r="C510" s="27"/>
      <c r="D510" s="27"/>
      <c r="E510" s="27"/>
      <c r="F510" s="27"/>
      <c r="G510" s="27"/>
      <c r="H510" s="27"/>
      <c r="I510" s="27"/>
      <c r="J510" s="28" t="str">
        <f aca="false">IF(AND(N(H510)&gt;0,N(I510)&gt;0),ROUND(I510/(H510/100)^2,1),"")</f>
        <v/>
      </c>
      <c r="K510" s="27"/>
      <c r="L510" s="27"/>
      <c r="M510" s="27"/>
      <c r="N510" s="27"/>
      <c r="O510" s="27"/>
      <c r="P510" s="27"/>
      <c r="Q510" s="27"/>
      <c r="R510" s="29"/>
      <c r="S510" s="29"/>
      <c r="T510" s="27"/>
      <c r="U510" s="28" t="str">
        <f aca="false">IF(N(T510)=0,"",IF(T510&lt;12,"Under 12 months",IF(T510&lt;36,"12-35 months",IF(T510&lt;60,"36-59 months","≥60 months"))))</f>
        <v/>
      </c>
      <c r="V510" s="27"/>
      <c r="W510" s="30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9"/>
      <c r="AT510" s="30"/>
      <c r="AU510" s="30"/>
      <c r="AV510" s="30"/>
      <c r="AW510" s="27"/>
      <c r="AX510" s="27"/>
      <c r="AY510" s="29"/>
      <c r="AZ510" s="27"/>
      <c r="BA510" s="27"/>
      <c r="BB510" s="29"/>
      <c r="BC510" s="30"/>
      <c r="BD510" s="30"/>
      <c r="BE510" s="30"/>
      <c r="BF510" s="27"/>
      <c r="BG510" s="27"/>
      <c r="BH510" s="28" t="str">
        <f aca="false">IF(COUNT(BC510:BE510)=0,"",IF(MIN(BC510:BE510)&lt;=-2.5,"Yes","No"))</f>
        <v/>
      </c>
      <c r="BI510" s="27"/>
      <c r="BJ510" s="29"/>
      <c r="BK510" s="27"/>
      <c r="BL510" s="27"/>
      <c r="BM510" s="27"/>
      <c r="BN510" s="28" t="str">
        <f aca="false">IF(OR(AX510="Yes",BI510="Yes"),"Yes",IF(AND(AX510="No",BI510="No"),"No",IF(AND(AX510="",BI510=""),"","Unknown")))</f>
        <v/>
      </c>
      <c r="BO510" s="31" t="str">
        <f aca="false">IF(COUNT(AY510,BJ510)=0,"",MIN(AY510,BJ510))</f>
        <v/>
      </c>
      <c r="BP510" s="29"/>
      <c r="BQ510" s="29"/>
      <c r="BR510" s="29"/>
      <c r="BS510" s="28" t="str">
        <f aca="false">IF(AND(N(BP510)&gt;0,N(BR510)&gt;0),BR510-BP510,"")</f>
        <v/>
      </c>
      <c r="BT510" s="28" t="str">
        <f aca="false">IF(BS510="","",ROUND(BS510/365.25,2))</f>
        <v/>
      </c>
      <c r="BU510" s="28" t="str">
        <f aca="false">IF(BS510="","",IF(BS510&gt;=730.5,"Yes","No"))</f>
        <v/>
      </c>
      <c r="BV510" s="27"/>
      <c r="BW510" s="29"/>
      <c r="BX510" s="27"/>
      <c r="BY510" s="27"/>
      <c r="BZ510" s="28" t="str">
        <f aca="false">IF(N(E510)=0,"",IF(E510&lt;65,"Under 65","≥65"))</f>
        <v/>
      </c>
      <c r="CA510" s="28" t="str">
        <f aca="false">IF(OR(AC510="Yes",AC510="No"),AC510,"")</f>
        <v/>
      </c>
      <c r="CB510" s="28" t="str">
        <f aca="false">IF(OR(AD510="Yes",AD510="No"),AD510,"")</f>
        <v/>
      </c>
      <c r="CC510" s="28" t="str">
        <f aca="false">IF(F510="","",F510)</f>
        <v/>
      </c>
      <c r="CD510" s="27"/>
      <c r="CE510" s="27"/>
    </row>
    <row r="511" customFormat="false" ht="15" hidden="false" customHeight="false" outlineLevel="0" collapsed="false">
      <c r="A511" s="27"/>
      <c r="B511" s="27"/>
      <c r="C511" s="27"/>
      <c r="D511" s="27"/>
      <c r="E511" s="27"/>
      <c r="F511" s="27"/>
      <c r="G511" s="27"/>
      <c r="H511" s="27"/>
      <c r="I511" s="27"/>
      <c r="J511" s="28" t="str">
        <f aca="false">IF(AND(N(H511)&gt;0,N(I511)&gt;0),ROUND(I511/(H511/100)^2,1),"")</f>
        <v/>
      </c>
      <c r="K511" s="27"/>
      <c r="L511" s="27"/>
      <c r="M511" s="27"/>
      <c r="N511" s="27"/>
      <c r="O511" s="27"/>
      <c r="P511" s="27"/>
      <c r="Q511" s="27"/>
      <c r="R511" s="29"/>
      <c r="S511" s="29"/>
      <c r="T511" s="27"/>
      <c r="U511" s="28" t="str">
        <f aca="false">IF(N(T511)=0,"",IF(T511&lt;12,"Under 12 months",IF(T511&lt;36,"12-35 months",IF(T511&lt;60,"36-59 months","≥60 months"))))</f>
        <v/>
      </c>
      <c r="V511" s="27"/>
      <c r="W511" s="30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9"/>
      <c r="AT511" s="30"/>
      <c r="AU511" s="30"/>
      <c r="AV511" s="30"/>
      <c r="AW511" s="27"/>
      <c r="AX511" s="27"/>
      <c r="AY511" s="29"/>
      <c r="AZ511" s="27"/>
      <c r="BA511" s="27"/>
      <c r="BB511" s="29"/>
      <c r="BC511" s="30"/>
      <c r="BD511" s="30"/>
      <c r="BE511" s="30"/>
      <c r="BF511" s="27"/>
      <c r="BG511" s="27"/>
      <c r="BH511" s="28" t="str">
        <f aca="false">IF(COUNT(BC511:BE511)=0,"",IF(MIN(BC511:BE511)&lt;=-2.5,"Yes","No"))</f>
        <v/>
      </c>
      <c r="BI511" s="27"/>
      <c r="BJ511" s="29"/>
      <c r="BK511" s="27"/>
      <c r="BL511" s="27"/>
      <c r="BM511" s="27"/>
      <c r="BN511" s="28" t="str">
        <f aca="false">IF(OR(AX511="Yes",BI511="Yes"),"Yes",IF(AND(AX511="No",BI511="No"),"No",IF(AND(AX511="",BI511=""),"","Unknown")))</f>
        <v/>
      </c>
      <c r="BO511" s="31" t="str">
        <f aca="false">IF(COUNT(AY511,BJ511)=0,"",MIN(AY511,BJ511))</f>
        <v/>
      </c>
      <c r="BP511" s="29"/>
      <c r="BQ511" s="29"/>
      <c r="BR511" s="29"/>
      <c r="BS511" s="28" t="str">
        <f aca="false">IF(AND(N(BP511)&gt;0,N(BR511)&gt;0),BR511-BP511,"")</f>
        <v/>
      </c>
      <c r="BT511" s="28" t="str">
        <f aca="false">IF(BS511="","",ROUND(BS511/365.25,2))</f>
        <v/>
      </c>
      <c r="BU511" s="28" t="str">
        <f aca="false">IF(BS511="","",IF(BS511&gt;=730.5,"Yes","No"))</f>
        <v/>
      </c>
      <c r="BV511" s="27"/>
      <c r="BW511" s="29"/>
      <c r="BX511" s="27"/>
      <c r="BY511" s="27"/>
      <c r="BZ511" s="28" t="str">
        <f aca="false">IF(N(E511)=0,"",IF(E511&lt;65,"Under 65","≥65"))</f>
        <v/>
      </c>
      <c r="CA511" s="28" t="str">
        <f aca="false">IF(OR(AC511="Yes",AC511="No"),AC511,"")</f>
        <v/>
      </c>
      <c r="CB511" s="28" t="str">
        <f aca="false">IF(OR(AD511="Yes",AD511="No"),AD511,"")</f>
        <v/>
      </c>
      <c r="CC511" s="28" t="str">
        <f aca="false">IF(F511="","",F511)</f>
        <v/>
      </c>
      <c r="CD511" s="27"/>
      <c r="CE511" s="27"/>
    </row>
    <row r="512" customFormat="false" ht="15" hidden="false" customHeight="false" outlineLevel="0" collapsed="false">
      <c r="A512" s="27"/>
      <c r="B512" s="27"/>
      <c r="C512" s="27"/>
      <c r="D512" s="27"/>
      <c r="E512" s="27"/>
      <c r="F512" s="27"/>
      <c r="G512" s="27"/>
      <c r="H512" s="27"/>
      <c r="I512" s="27"/>
      <c r="J512" s="28" t="str">
        <f aca="false">IF(AND(N(H512)&gt;0,N(I512)&gt;0),ROUND(I512/(H512/100)^2,1),"")</f>
        <v/>
      </c>
      <c r="K512" s="27"/>
      <c r="L512" s="27"/>
      <c r="M512" s="27"/>
      <c r="N512" s="27"/>
      <c r="O512" s="27"/>
      <c r="P512" s="27"/>
      <c r="Q512" s="27"/>
      <c r="R512" s="29"/>
      <c r="S512" s="29"/>
      <c r="T512" s="27"/>
      <c r="U512" s="28" t="str">
        <f aca="false">IF(N(T512)=0,"",IF(T512&lt;12,"Under 12 months",IF(T512&lt;36,"12-35 months",IF(T512&lt;60,"36-59 months","≥60 months"))))</f>
        <v/>
      </c>
      <c r="V512" s="27"/>
      <c r="W512" s="30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9"/>
      <c r="AT512" s="30"/>
      <c r="AU512" s="30"/>
      <c r="AV512" s="30"/>
      <c r="AW512" s="27"/>
      <c r="AX512" s="27"/>
      <c r="AY512" s="29"/>
      <c r="AZ512" s="27"/>
      <c r="BA512" s="27"/>
      <c r="BB512" s="29"/>
      <c r="BC512" s="30"/>
      <c r="BD512" s="30"/>
      <c r="BE512" s="30"/>
      <c r="BF512" s="27"/>
      <c r="BG512" s="27"/>
      <c r="BH512" s="28" t="str">
        <f aca="false">IF(COUNT(BC512:BE512)=0,"",IF(MIN(BC512:BE512)&lt;=-2.5,"Yes","No"))</f>
        <v/>
      </c>
      <c r="BI512" s="27"/>
      <c r="BJ512" s="29"/>
      <c r="BK512" s="27"/>
      <c r="BL512" s="27"/>
      <c r="BM512" s="27"/>
      <c r="BN512" s="28" t="str">
        <f aca="false">IF(OR(AX512="Yes",BI512="Yes"),"Yes",IF(AND(AX512="No",BI512="No"),"No",IF(AND(AX512="",BI512=""),"","Unknown")))</f>
        <v/>
      </c>
      <c r="BO512" s="31" t="str">
        <f aca="false">IF(COUNT(AY512,BJ512)=0,"",MIN(AY512,BJ512))</f>
        <v/>
      </c>
      <c r="BP512" s="29"/>
      <c r="BQ512" s="29"/>
      <c r="BR512" s="29"/>
      <c r="BS512" s="28" t="str">
        <f aca="false">IF(AND(N(BP512)&gt;0,N(BR512)&gt;0),BR512-BP512,"")</f>
        <v/>
      </c>
      <c r="BT512" s="28" t="str">
        <f aca="false">IF(BS512="","",ROUND(BS512/365.25,2))</f>
        <v/>
      </c>
      <c r="BU512" s="28" t="str">
        <f aca="false">IF(BS512="","",IF(BS512&gt;=730.5,"Yes","No"))</f>
        <v/>
      </c>
      <c r="BV512" s="27"/>
      <c r="BW512" s="29"/>
      <c r="BX512" s="27"/>
      <c r="BY512" s="27"/>
      <c r="BZ512" s="28" t="str">
        <f aca="false">IF(N(E512)=0,"",IF(E512&lt;65,"Under 65","≥65"))</f>
        <v/>
      </c>
      <c r="CA512" s="28" t="str">
        <f aca="false">IF(OR(AC512="Yes",AC512="No"),AC512,"")</f>
        <v/>
      </c>
      <c r="CB512" s="28" t="str">
        <f aca="false">IF(OR(AD512="Yes",AD512="No"),AD512,"")</f>
        <v/>
      </c>
      <c r="CC512" s="28" t="str">
        <f aca="false">IF(F512="","",F512)</f>
        <v/>
      </c>
      <c r="CD512" s="27"/>
      <c r="CE512" s="27"/>
    </row>
    <row r="513" customFormat="false" ht="15" hidden="false" customHeight="false" outlineLevel="0" collapsed="false">
      <c r="A513" s="27"/>
      <c r="B513" s="27"/>
      <c r="C513" s="27"/>
      <c r="D513" s="27"/>
      <c r="E513" s="27"/>
      <c r="F513" s="27"/>
      <c r="G513" s="27"/>
      <c r="H513" s="27"/>
      <c r="I513" s="27"/>
      <c r="J513" s="28" t="str">
        <f aca="false">IF(AND(N(H513)&gt;0,N(I513)&gt;0),ROUND(I513/(H513/100)^2,1),"")</f>
        <v/>
      </c>
      <c r="K513" s="27"/>
      <c r="L513" s="27"/>
      <c r="M513" s="27"/>
      <c r="N513" s="27"/>
      <c r="O513" s="27"/>
      <c r="P513" s="27"/>
      <c r="Q513" s="27"/>
      <c r="R513" s="29"/>
      <c r="S513" s="29"/>
      <c r="T513" s="27"/>
      <c r="U513" s="28" t="str">
        <f aca="false">IF(N(T513)=0,"",IF(T513&lt;12,"Under 12 months",IF(T513&lt;36,"12-35 months",IF(T513&lt;60,"36-59 months","≥60 months"))))</f>
        <v/>
      </c>
      <c r="V513" s="27"/>
      <c r="W513" s="30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9"/>
      <c r="AT513" s="30"/>
      <c r="AU513" s="30"/>
      <c r="AV513" s="30"/>
      <c r="AW513" s="27"/>
      <c r="AX513" s="27"/>
      <c r="AY513" s="29"/>
      <c r="AZ513" s="27"/>
      <c r="BA513" s="27"/>
      <c r="BB513" s="29"/>
      <c r="BC513" s="30"/>
      <c r="BD513" s="30"/>
      <c r="BE513" s="30"/>
      <c r="BF513" s="27"/>
      <c r="BG513" s="27"/>
      <c r="BH513" s="28" t="str">
        <f aca="false">IF(COUNT(BC513:BE513)=0,"",IF(MIN(BC513:BE513)&lt;=-2.5,"Yes","No"))</f>
        <v/>
      </c>
      <c r="BI513" s="27"/>
      <c r="BJ513" s="29"/>
      <c r="BK513" s="27"/>
      <c r="BL513" s="27"/>
      <c r="BM513" s="27"/>
      <c r="BN513" s="28" t="str">
        <f aca="false">IF(OR(AX513="Yes",BI513="Yes"),"Yes",IF(AND(AX513="No",BI513="No"),"No",IF(AND(AX513="",BI513=""),"","Unknown")))</f>
        <v/>
      </c>
      <c r="BO513" s="31" t="str">
        <f aca="false">IF(COUNT(AY513,BJ513)=0,"",MIN(AY513,BJ513))</f>
        <v/>
      </c>
      <c r="BP513" s="29"/>
      <c r="BQ513" s="29"/>
      <c r="BR513" s="29"/>
      <c r="BS513" s="28" t="str">
        <f aca="false">IF(AND(N(BP513)&gt;0,N(BR513)&gt;0),BR513-BP513,"")</f>
        <v/>
      </c>
      <c r="BT513" s="28" t="str">
        <f aca="false">IF(BS513="","",ROUND(BS513/365.25,2))</f>
        <v/>
      </c>
      <c r="BU513" s="28" t="str">
        <f aca="false">IF(BS513="","",IF(BS513&gt;=730.5,"Yes","No"))</f>
        <v/>
      </c>
      <c r="BV513" s="27"/>
      <c r="BW513" s="29"/>
      <c r="BX513" s="27"/>
      <c r="BY513" s="27"/>
      <c r="BZ513" s="28" t="str">
        <f aca="false">IF(N(E513)=0,"",IF(E513&lt;65,"Under 65","≥65"))</f>
        <v/>
      </c>
      <c r="CA513" s="28" t="str">
        <f aca="false">IF(OR(AC513="Yes",AC513="No"),AC513,"")</f>
        <v/>
      </c>
      <c r="CB513" s="28" t="str">
        <f aca="false">IF(OR(AD513="Yes",AD513="No"),AD513,"")</f>
        <v/>
      </c>
      <c r="CC513" s="28" t="str">
        <f aca="false">IF(F513="","",F513)</f>
        <v/>
      </c>
      <c r="CD513" s="27"/>
      <c r="CE513" s="27"/>
    </row>
    <row r="514" customFormat="false" ht="15" hidden="false" customHeight="false" outlineLevel="0" collapsed="false">
      <c r="A514" s="27"/>
      <c r="B514" s="27"/>
      <c r="C514" s="27"/>
      <c r="D514" s="27"/>
      <c r="E514" s="27"/>
      <c r="F514" s="27"/>
      <c r="G514" s="27"/>
      <c r="H514" s="27"/>
      <c r="I514" s="27"/>
      <c r="J514" s="28" t="str">
        <f aca="false">IF(AND(N(H514)&gt;0,N(I514)&gt;0),ROUND(I514/(H514/100)^2,1),"")</f>
        <v/>
      </c>
      <c r="K514" s="27"/>
      <c r="L514" s="27"/>
      <c r="M514" s="27"/>
      <c r="N514" s="27"/>
      <c r="O514" s="27"/>
      <c r="P514" s="27"/>
      <c r="Q514" s="27"/>
      <c r="R514" s="29"/>
      <c r="S514" s="29"/>
      <c r="T514" s="27"/>
      <c r="U514" s="28" t="str">
        <f aca="false">IF(N(T514)=0,"",IF(T514&lt;12,"Under 12 months",IF(T514&lt;36,"12-35 months",IF(T514&lt;60,"36-59 months","≥60 months"))))</f>
        <v/>
      </c>
      <c r="V514" s="27"/>
      <c r="W514" s="30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9"/>
      <c r="AT514" s="30"/>
      <c r="AU514" s="30"/>
      <c r="AV514" s="30"/>
      <c r="AW514" s="27"/>
      <c r="AX514" s="27"/>
      <c r="AY514" s="29"/>
      <c r="AZ514" s="27"/>
      <c r="BA514" s="27"/>
      <c r="BB514" s="29"/>
      <c r="BC514" s="30"/>
      <c r="BD514" s="30"/>
      <c r="BE514" s="30"/>
      <c r="BF514" s="27"/>
      <c r="BG514" s="27"/>
      <c r="BH514" s="28" t="str">
        <f aca="false">IF(COUNT(BC514:BE514)=0,"",IF(MIN(BC514:BE514)&lt;=-2.5,"Yes","No"))</f>
        <v/>
      </c>
      <c r="BI514" s="27"/>
      <c r="BJ514" s="29"/>
      <c r="BK514" s="27"/>
      <c r="BL514" s="27"/>
      <c r="BM514" s="27"/>
      <c r="BN514" s="28" t="str">
        <f aca="false">IF(OR(AX514="Yes",BI514="Yes"),"Yes",IF(AND(AX514="No",BI514="No"),"No",IF(AND(AX514="",BI514=""),"","Unknown")))</f>
        <v/>
      </c>
      <c r="BO514" s="31" t="str">
        <f aca="false">IF(COUNT(AY514,BJ514)=0,"",MIN(AY514,BJ514))</f>
        <v/>
      </c>
      <c r="BP514" s="29"/>
      <c r="BQ514" s="29"/>
      <c r="BR514" s="29"/>
      <c r="BS514" s="28" t="str">
        <f aca="false">IF(AND(N(BP514)&gt;0,N(BR514)&gt;0),BR514-BP514,"")</f>
        <v/>
      </c>
      <c r="BT514" s="28" t="str">
        <f aca="false">IF(BS514="","",ROUND(BS514/365.25,2))</f>
        <v/>
      </c>
      <c r="BU514" s="28" t="str">
        <f aca="false">IF(BS514="","",IF(BS514&gt;=730.5,"Yes","No"))</f>
        <v/>
      </c>
      <c r="BV514" s="27"/>
      <c r="BW514" s="29"/>
      <c r="BX514" s="27"/>
      <c r="BY514" s="27"/>
      <c r="BZ514" s="28" t="str">
        <f aca="false">IF(N(E514)=0,"",IF(E514&lt;65,"Under 65","≥65"))</f>
        <v/>
      </c>
      <c r="CA514" s="28" t="str">
        <f aca="false">IF(OR(AC514="Yes",AC514="No"),AC514,"")</f>
        <v/>
      </c>
      <c r="CB514" s="28" t="str">
        <f aca="false">IF(OR(AD514="Yes",AD514="No"),AD514,"")</f>
        <v/>
      </c>
      <c r="CC514" s="28" t="str">
        <f aca="false">IF(F514="","",F514)</f>
        <v/>
      </c>
      <c r="CD514" s="27"/>
      <c r="CE514" s="27"/>
    </row>
    <row r="515" customFormat="false" ht="15" hidden="false" customHeight="false" outlineLevel="0" collapsed="false">
      <c r="A515" s="27"/>
      <c r="B515" s="27"/>
      <c r="C515" s="27"/>
      <c r="D515" s="27"/>
      <c r="E515" s="27"/>
      <c r="F515" s="27"/>
      <c r="G515" s="27"/>
      <c r="H515" s="27"/>
      <c r="I515" s="27"/>
      <c r="J515" s="28" t="str">
        <f aca="false">IF(AND(N(H515)&gt;0,N(I515)&gt;0),ROUND(I515/(H515/100)^2,1),"")</f>
        <v/>
      </c>
      <c r="K515" s="27"/>
      <c r="L515" s="27"/>
      <c r="M515" s="27"/>
      <c r="N515" s="27"/>
      <c r="O515" s="27"/>
      <c r="P515" s="27"/>
      <c r="Q515" s="27"/>
      <c r="R515" s="29"/>
      <c r="S515" s="29"/>
      <c r="T515" s="27"/>
      <c r="U515" s="28" t="str">
        <f aca="false">IF(N(T515)=0,"",IF(T515&lt;12,"Under 12 months",IF(T515&lt;36,"12-35 months",IF(T515&lt;60,"36-59 months","≥60 months"))))</f>
        <v/>
      </c>
      <c r="V515" s="27"/>
      <c r="W515" s="30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9"/>
      <c r="AT515" s="30"/>
      <c r="AU515" s="30"/>
      <c r="AV515" s="30"/>
      <c r="AW515" s="27"/>
      <c r="AX515" s="27"/>
      <c r="AY515" s="29"/>
      <c r="AZ515" s="27"/>
      <c r="BA515" s="27"/>
      <c r="BB515" s="29"/>
      <c r="BC515" s="30"/>
      <c r="BD515" s="30"/>
      <c r="BE515" s="30"/>
      <c r="BF515" s="27"/>
      <c r="BG515" s="27"/>
      <c r="BH515" s="28" t="str">
        <f aca="false">IF(COUNT(BC515:BE515)=0,"",IF(MIN(BC515:BE515)&lt;=-2.5,"Yes","No"))</f>
        <v/>
      </c>
      <c r="BI515" s="27"/>
      <c r="BJ515" s="29"/>
      <c r="BK515" s="27"/>
      <c r="BL515" s="27"/>
      <c r="BM515" s="27"/>
      <c r="BN515" s="28" t="str">
        <f aca="false">IF(OR(AX515="Yes",BI515="Yes"),"Yes",IF(AND(AX515="No",BI515="No"),"No",IF(AND(AX515="",BI515=""),"","Unknown")))</f>
        <v/>
      </c>
      <c r="BO515" s="31" t="str">
        <f aca="false">IF(COUNT(AY515,BJ515)=0,"",MIN(AY515,BJ515))</f>
        <v/>
      </c>
      <c r="BP515" s="29"/>
      <c r="BQ515" s="29"/>
      <c r="BR515" s="29"/>
      <c r="BS515" s="28" t="str">
        <f aca="false">IF(AND(N(BP515)&gt;0,N(BR515)&gt;0),BR515-BP515,"")</f>
        <v/>
      </c>
      <c r="BT515" s="28" t="str">
        <f aca="false">IF(BS515="","",ROUND(BS515/365.25,2))</f>
        <v/>
      </c>
      <c r="BU515" s="28" t="str">
        <f aca="false">IF(BS515="","",IF(BS515&gt;=730.5,"Yes","No"))</f>
        <v/>
      </c>
      <c r="BV515" s="27"/>
      <c r="BW515" s="29"/>
      <c r="BX515" s="27"/>
      <c r="BY515" s="27"/>
      <c r="BZ515" s="28" t="str">
        <f aca="false">IF(N(E515)=0,"",IF(E515&lt;65,"Under 65","≥65"))</f>
        <v/>
      </c>
      <c r="CA515" s="28" t="str">
        <f aca="false">IF(OR(AC515="Yes",AC515="No"),AC515,"")</f>
        <v/>
      </c>
      <c r="CB515" s="28" t="str">
        <f aca="false">IF(OR(AD515="Yes",AD515="No"),AD515,"")</f>
        <v/>
      </c>
      <c r="CC515" s="28" t="str">
        <f aca="false">IF(F515="","",F515)</f>
        <v/>
      </c>
      <c r="CD515" s="27"/>
      <c r="CE515" s="27"/>
    </row>
    <row r="516" customFormat="false" ht="15" hidden="false" customHeight="false" outlineLevel="0" collapsed="false">
      <c r="A516" s="27"/>
      <c r="B516" s="27"/>
      <c r="C516" s="27"/>
      <c r="D516" s="27"/>
      <c r="E516" s="27"/>
      <c r="F516" s="27"/>
      <c r="G516" s="27"/>
      <c r="H516" s="27"/>
      <c r="I516" s="27"/>
      <c r="J516" s="28" t="str">
        <f aca="false">IF(AND(N(H516)&gt;0,N(I516)&gt;0),ROUND(I516/(H516/100)^2,1),"")</f>
        <v/>
      </c>
      <c r="K516" s="27"/>
      <c r="L516" s="27"/>
      <c r="M516" s="27"/>
      <c r="N516" s="27"/>
      <c r="O516" s="27"/>
      <c r="P516" s="27"/>
      <c r="Q516" s="27"/>
      <c r="R516" s="29"/>
      <c r="S516" s="29"/>
      <c r="T516" s="27"/>
      <c r="U516" s="28" t="str">
        <f aca="false">IF(N(T516)=0,"",IF(T516&lt;12,"Under 12 months",IF(T516&lt;36,"12-35 months",IF(T516&lt;60,"36-59 months","≥60 months"))))</f>
        <v/>
      </c>
      <c r="V516" s="27"/>
      <c r="W516" s="30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9"/>
      <c r="AT516" s="30"/>
      <c r="AU516" s="30"/>
      <c r="AV516" s="30"/>
      <c r="AW516" s="27"/>
      <c r="AX516" s="27"/>
      <c r="AY516" s="29"/>
      <c r="AZ516" s="27"/>
      <c r="BA516" s="27"/>
      <c r="BB516" s="29"/>
      <c r="BC516" s="30"/>
      <c r="BD516" s="30"/>
      <c r="BE516" s="30"/>
      <c r="BF516" s="27"/>
      <c r="BG516" s="27"/>
      <c r="BH516" s="28" t="str">
        <f aca="false">IF(COUNT(BC516:BE516)=0,"",IF(MIN(BC516:BE516)&lt;=-2.5,"Yes","No"))</f>
        <v/>
      </c>
      <c r="BI516" s="27"/>
      <c r="BJ516" s="29"/>
      <c r="BK516" s="27"/>
      <c r="BL516" s="27"/>
      <c r="BM516" s="27"/>
      <c r="BN516" s="28" t="str">
        <f aca="false">IF(OR(AX516="Yes",BI516="Yes"),"Yes",IF(AND(AX516="No",BI516="No"),"No",IF(AND(AX516="",BI516=""),"","Unknown")))</f>
        <v/>
      </c>
      <c r="BO516" s="31" t="str">
        <f aca="false">IF(COUNT(AY516,BJ516)=0,"",MIN(AY516,BJ516))</f>
        <v/>
      </c>
      <c r="BP516" s="29"/>
      <c r="BQ516" s="29"/>
      <c r="BR516" s="29"/>
      <c r="BS516" s="28" t="str">
        <f aca="false">IF(AND(N(BP516)&gt;0,N(BR516)&gt;0),BR516-BP516,"")</f>
        <v/>
      </c>
      <c r="BT516" s="28" t="str">
        <f aca="false">IF(BS516="","",ROUND(BS516/365.25,2))</f>
        <v/>
      </c>
      <c r="BU516" s="28" t="str">
        <f aca="false">IF(BS516="","",IF(BS516&gt;=730.5,"Yes","No"))</f>
        <v/>
      </c>
      <c r="BV516" s="27"/>
      <c r="BW516" s="29"/>
      <c r="BX516" s="27"/>
      <c r="BY516" s="27"/>
      <c r="BZ516" s="28" t="str">
        <f aca="false">IF(N(E516)=0,"",IF(E516&lt;65,"Under 65","≥65"))</f>
        <v/>
      </c>
      <c r="CA516" s="28" t="str">
        <f aca="false">IF(OR(AC516="Yes",AC516="No"),AC516,"")</f>
        <v/>
      </c>
      <c r="CB516" s="28" t="str">
        <f aca="false">IF(OR(AD516="Yes",AD516="No"),AD516,"")</f>
        <v/>
      </c>
      <c r="CC516" s="28" t="str">
        <f aca="false">IF(F516="","",F516)</f>
        <v/>
      </c>
      <c r="CD516" s="27"/>
      <c r="CE516" s="27"/>
    </row>
    <row r="517" customFormat="false" ht="15" hidden="false" customHeight="false" outlineLevel="0" collapsed="false">
      <c r="A517" s="27"/>
      <c r="B517" s="27"/>
      <c r="C517" s="27"/>
      <c r="D517" s="27"/>
      <c r="E517" s="27"/>
      <c r="F517" s="27"/>
      <c r="G517" s="27"/>
      <c r="H517" s="27"/>
      <c r="I517" s="27"/>
      <c r="J517" s="28" t="str">
        <f aca="false">IF(AND(N(H517)&gt;0,N(I517)&gt;0),ROUND(I517/(H517/100)^2,1),"")</f>
        <v/>
      </c>
      <c r="K517" s="27"/>
      <c r="L517" s="27"/>
      <c r="M517" s="27"/>
      <c r="N517" s="27"/>
      <c r="O517" s="27"/>
      <c r="P517" s="27"/>
      <c r="Q517" s="27"/>
      <c r="R517" s="29"/>
      <c r="S517" s="29"/>
      <c r="T517" s="27"/>
      <c r="U517" s="28" t="str">
        <f aca="false">IF(N(T517)=0,"",IF(T517&lt;12,"Under 12 months",IF(T517&lt;36,"12-35 months",IF(T517&lt;60,"36-59 months","≥60 months"))))</f>
        <v/>
      </c>
      <c r="V517" s="27"/>
      <c r="W517" s="30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9"/>
      <c r="AT517" s="30"/>
      <c r="AU517" s="30"/>
      <c r="AV517" s="30"/>
      <c r="AW517" s="27"/>
      <c r="AX517" s="27"/>
      <c r="AY517" s="29"/>
      <c r="AZ517" s="27"/>
      <c r="BA517" s="27"/>
      <c r="BB517" s="29"/>
      <c r="BC517" s="30"/>
      <c r="BD517" s="30"/>
      <c r="BE517" s="30"/>
      <c r="BF517" s="27"/>
      <c r="BG517" s="27"/>
      <c r="BH517" s="28" t="str">
        <f aca="false">IF(COUNT(BC517:BE517)=0,"",IF(MIN(BC517:BE517)&lt;=-2.5,"Yes","No"))</f>
        <v/>
      </c>
      <c r="BI517" s="27"/>
      <c r="BJ517" s="29"/>
      <c r="BK517" s="27"/>
      <c r="BL517" s="27"/>
      <c r="BM517" s="27"/>
      <c r="BN517" s="28" t="str">
        <f aca="false">IF(OR(AX517="Yes",BI517="Yes"),"Yes",IF(AND(AX517="No",BI517="No"),"No",IF(AND(AX517="",BI517=""),"","Unknown")))</f>
        <v/>
      </c>
      <c r="BO517" s="31" t="str">
        <f aca="false">IF(COUNT(AY517,BJ517)=0,"",MIN(AY517,BJ517))</f>
        <v/>
      </c>
      <c r="BP517" s="29"/>
      <c r="BQ517" s="29"/>
      <c r="BR517" s="29"/>
      <c r="BS517" s="28" t="str">
        <f aca="false">IF(AND(N(BP517)&gt;0,N(BR517)&gt;0),BR517-BP517,"")</f>
        <v/>
      </c>
      <c r="BT517" s="28" t="str">
        <f aca="false">IF(BS517="","",ROUND(BS517/365.25,2))</f>
        <v/>
      </c>
      <c r="BU517" s="28" t="str">
        <f aca="false">IF(BS517="","",IF(BS517&gt;=730.5,"Yes","No"))</f>
        <v/>
      </c>
      <c r="BV517" s="27"/>
      <c r="BW517" s="29"/>
      <c r="BX517" s="27"/>
      <c r="BY517" s="27"/>
      <c r="BZ517" s="28" t="str">
        <f aca="false">IF(N(E517)=0,"",IF(E517&lt;65,"Under 65","≥65"))</f>
        <v/>
      </c>
      <c r="CA517" s="28" t="str">
        <f aca="false">IF(OR(AC517="Yes",AC517="No"),AC517,"")</f>
        <v/>
      </c>
      <c r="CB517" s="28" t="str">
        <f aca="false">IF(OR(AD517="Yes",AD517="No"),AD517,"")</f>
        <v/>
      </c>
      <c r="CC517" s="28" t="str">
        <f aca="false">IF(F517="","",F517)</f>
        <v/>
      </c>
      <c r="CD517" s="27"/>
      <c r="CE517" s="27"/>
    </row>
    <row r="518" customFormat="false" ht="15" hidden="false" customHeight="false" outlineLevel="0" collapsed="false">
      <c r="A518" s="27"/>
      <c r="B518" s="27"/>
      <c r="C518" s="27"/>
      <c r="D518" s="27"/>
      <c r="E518" s="27"/>
      <c r="F518" s="27"/>
      <c r="G518" s="27"/>
      <c r="H518" s="27"/>
      <c r="I518" s="27"/>
      <c r="J518" s="28" t="str">
        <f aca="false">IF(AND(N(H518)&gt;0,N(I518)&gt;0),ROUND(I518/(H518/100)^2,1),"")</f>
        <v/>
      </c>
      <c r="K518" s="27"/>
      <c r="L518" s="27"/>
      <c r="M518" s="27"/>
      <c r="N518" s="27"/>
      <c r="O518" s="27"/>
      <c r="P518" s="27"/>
      <c r="Q518" s="27"/>
      <c r="R518" s="29"/>
      <c r="S518" s="29"/>
      <c r="T518" s="27"/>
      <c r="U518" s="28" t="str">
        <f aca="false">IF(N(T518)=0,"",IF(T518&lt;12,"Under 12 months",IF(T518&lt;36,"12-35 months",IF(T518&lt;60,"36-59 months","≥60 months"))))</f>
        <v/>
      </c>
      <c r="V518" s="27"/>
      <c r="W518" s="30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9"/>
      <c r="AT518" s="30"/>
      <c r="AU518" s="30"/>
      <c r="AV518" s="30"/>
      <c r="AW518" s="27"/>
      <c r="AX518" s="27"/>
      <c r="AY518" s="29"/>
      <c r="AZ518" s="27"/>
      <c r="BA518" s="27"/>
      <c r="BB518" s="29"/>
      <c r="BC518" s="30"/>
      <c r="BD518" s="30"/>
      <c r="BE518" s="30"/>
      <c r="BF518" s="27"/>
      <c r="BG518" s="27"/>
      <c r="BH518" s="28" t="str">
        <f aca="false">IF(COUNT(BC518:BE518)=0,"",IF(MIN(BC518:BE518)&lt;=-2.5,"Yes","No"))</f>
        <v/>
      </c>
      <c r="BI518" s="27"/>
      <c r="BJ518" s="29"/>
      <c r="BK518" s="27"/>
      <c r="BL518" s="27"/>
      <c r="BM518" s="27"/>
      <c r="BN518" s="28" t="str">
        <f aca="false">IF(OR(AX518="Yes",BI518="Yes"),"Yes",IF(AND(AX518="No",BI518="No"),"No",IF(AND(AX518="",BI518=""),"","Unknown")))</f>
        <v/>
      </c>
      <c r="BO518" s="31" t="str">
        <f aca="false">IF(COUNT(AY518,BJ518)=0,"",MIN(AY518,BJ518))</f>
        <v/>
      </c>
      <c r="BP518" s="29"/>
      <c r="BQ518" s="29"/>
      <c r="BR518" s="29"/>
      <c r="BS518" s="28" t="str">
        <f aca="false">IF(AND(N(BP518)&gt;0,N(BR518)&gt;0),BR518-BP518,"")</f>
        <v/>
      </c>
      <c r="BT518" s="28" t="str">
        <f aca="false">IF(BS518="","",ROUND(BS518/365.25,2))</f>
        <v/>
      </c>
      <c r="BU518" s="28" t="str">
        <f aca="false">IF(BS518="","",IF(BS518&gt;=730.5,"Yes","No"))</f>
        <v/>
      </c>
      <c r="BV518" s="27"/>
      <c r="BW518" s="29"/>
      <c r="BX518" s="27"/>
      <c r="BY518" s="27"/>
      <c r="BZ518" s="28" t="str">
        <f aca="false">IF(N(E518)=0,"",IF(E518&lt;65,"Under 65","≥65"))</f>
        <v/>
      </c>
      <c r="CA518" s="28" t="str">
        <f aca="false">IF(OR(AC518="Yes",AC518="No"),AC518,"")</f>
        <v/>
      </c>
      <c r="CB518" s="28" t="str">
        <f aca="false">IF(OR(AD518="Yes",AD518="No"),AD518,"")</f>
        <v/>
      </c>
      <c r="CC518" s="28" t="str">
        <f aca="false">IF(F518="","",F518)</f>
        <v/>
      </c>
      <c r="CD518" s="27"/>
      <c r="CE518" s="27"/>
    </row>
    <row r="519" customFormat="false" ht="15" hidden="false" customHeight="false" outlineLevel="0" collapsed="false">
      <c r="A519" s="27"/>
      <c r="B519" s="27"/>
      <c r="C519" s="27"/>
      <c r="D519" s="27"/>
      <c r="E519" s="27"/>
      <c r="F519" s="27"/>
      <c r="G519" s="27"/>
      <c r="H519" s="27"/>
      <c r="I519" s="27"/>
      <c r="J519" s="28" t="str">
        <f aca="false">IF(AND(N(H519)&gt;0,N(I519)&gt;0),ROUND(I519/(H519/100)^2,1),"")</f>
        <v/>
      </c>
      <c r="K519" s="27"/>
      <c r="L519" s="27"/>
      <c r="M519" s="27"/>
      <c r="N519" s="27"/>
      <c r="O519" s="27"/>
      <c r="P519" s="27"/>
      <c r="Q519" s="27"/>
      <c r="R519" s="29"/>
      <c r="S519" s="29"/>
      <c r="T519" s="27"/>
      <c r="U519" s="28" t="str">
        <f aca="false">IF(N(T519)=0,"",IF(T519&lt;12,"Under 12 months",IF(T519&lt;36,"12-35 months",IF(T519&lt;60,"36-59 months","≥60 months"))))</f>
        <v/>
      </c>
      <c r="V519" s="27"/>
      <c r="W519" s="30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9"/>
      <c r="AT519" s="30"/>
      <c r="AU519" s="30"/>
      <c r="AV519" s="30"/>
      <c r="AW519" s="27"/>
      <c r="AX519" s="27"/>
      <c r="AY519" s="29"/>
      <c r="AZ519" s="27"/>
      <c r="BA519" s="27"/>
      <c r="BB519" s="29"/>
      <c r="BC519" s="30"/>
      <c r="BD519" s="30"/>
      <c r="BE519" s="30"/>
      <c r="BF519" s="27"/>
      <c r="BG519" s="27"/>
      <c r="BH519" s="28" t="str">
        <f aca="false">IF(COUNT(BC519:BE519)=0,"",IF(MIN(BC519:BE519)&lt;=-2.5,"Yes","No"))</f>
        <v/>
      </c>
      <c r="BI519" s="27"/>
      <c r="BJ519" s="29"/>
      <c r="BK519" s="27"/>
      <c r="BL519" s="27"/>
      <c r="BM519" s="27"/>
      <c r="BN519" s="28" t="str">
        <f aca="false">IF(OR(AX519="Yes",BI519="Yes"),"Yes",IF(AND(AX519="No",BI519="No"),"No",IF(AND(AX519="",BI519=""),"","Unknown")))</f>
        <v/>
      </c>
      <c r="BO519" s="31" t="str">
        <f aca="false">IF(COUNT(AY519,BJ519)=0,"",MIN(AY519,BJ519))</f>
        <v/>
      </c>
      <c r="BP519" s="29"/>
      <c r="BQ519" s="29"/>
      <c r="BR519" s="29"/>
      <c r="BS519" s="28" t="str">
        <f aca="false">IF(AND(N(BP519)&gt;0,N(BR519)&gt;0),BR519-BP519,"")</f>
        <v/>
      </c>
      <c r="BT519" s="28" t="str">
        <f aca="false">IF(BS519="","",ROUND(BS519/365.25,2))</f>
        <v/>
      </c>
      <c r="BU519" s="28" t="str">
        <f aca="false">IF(BS519="","",IF(BS519&gt;=730.5,"Yes","No"))</f>
        <v/>
      </c>
      <c r="BV519" s="27"/>
      <c r="BW519" s="29"/>
      <c r="BX519" s="27"/>
      <c r="BY519" s="27"/>
      <c r="BZ519" s="28" t="str">
        <f aca="false">IF(N(E519)=0,"",IF(E519&lt;65,"Under 65","≥65"))</f>
        <v/>
      </c>
      <c r="CA519" s="28" t="str">
        <f aca="false">IF(OR(AC519="Yes",AC519="No"),AC519,"")</f>
        <v/>
      </c>
      <c r="CB519" s="28" t="str">
        <f aca="false">IF(OR(AD519="Yes",AD519="No"),AD519,"")</f>
        <v/>
      </c>
      <c r="CC519" s="28" t="str">
        <f aca="false">IF(F519="","",F519)</f>
        <v/>
      </c>
      <c r="CD519" s="27"/>
      <c r="CE519" s="27"/>
    </row>
    <row r="520" customFormat="false" ht="15" hidden="false" customHeight="false" outlineLevel="0" collapsed="false">
      <c r="A520" s="27"/>
      <c r="B520" s="27"/>
      <c r="C520" s="27"/>
      <c r="D520" s="27"/>
      <c r="E520" s="27"/>
      <c r="F520" s="27"/>
      <c r="G520" s="27"/>
      <c r="H520" s="27"/>
      <c r="I520" s="27"/>
      <c r="J520" s="28" t="str">
        <f aca="false">IF(AND(N(H520)&gt;0,N(I520)&gt;0),ROUND(I520/(H520/100)^2,1),"")</f>
        <v/>
      </c>
      <c r="K520" s="27"/>
      <c r="L520" s="27"/>
      <c r="M520" s="27"/>
      <c r="N520" s="27"/>
      <c r="O520" s="27"/>
      <c r="P520" s="27"/>
      <c r="Q520" s="27"/>
      <c r="R520" s="29"/>
      <c r="S520" s="29"/>
      <c r="T520" s="27"/>
      <c r="U520" s="28" t="str">
        <f aca="false">IF(N(T520)=0,"",IF(T520&lt;12,"Under 12 months",IF(T520&lt;36,"12-35 months",IF(T520&lt;60,"36-59 months","≥60 months"))))</f>
        <v/>
      </c>
      <c r="V520" s="27"/>
      <c r="W520" s="30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9"/>
      <c r="AT520" s="30"/>
      <c r="AU520" s="30"/>
      <c r="AV520" s="30"/>
      <c r="AW520" s="27"/>
      <c r="AX520" s="27"/>
      <c r="AY520" s="29"/>
      <c r="AZ520" s="27"/>
      <c r="BA520" s="27"/>
      <c r="BB520" s="29"/>
      <c r="BC520" s="30"/>
      <c r="BD520" s="30"/>
      <c r="BE520" s="30"/>
      <c r="BF520" s="27"/>
      <c r="BG520" s="27"/>
      <c r="BH520" s="28" t="str">
        <f aca="false">IF(COUNT(BC520:BE520)=0,"",IF(MIN(BC520:BE520)&lt;=-2.5,"Yes","No"))</f>
        <v/>
      </c>
      <c r="BI520" s="27"/>
      <c r="BJ520" s="29"/>
      <c r="BK520" s="27"/>
      <c r="BL520" s="27"/>
      <c r="BM520" s="27"/>
      <c r="BN520" s="28" t="str">
        <f aca="false">IF(OR(AX520="Yes",BI520="Yes"),"Yes",IF(AND(AX520="No",BI520="No"),"No",IF(AND(AX520="",BI520=""),"","Unknown")))</f>
        <v/>
      </c>
      <c r="BO520" s="31" t="str">
        <f aca="false">IF(COUNT(AY520,BJ520)=0,"",MIN(AY520,BJ520))</f>
        <v/>
      </c>
      <c r="BP520" s="29"/>
      <c r="BQ520" s="29"/>
      <c r="BR520" s="29"/>
      <c r="BS520" s="28" t="str">
        <f aca="false">IF(AND(N(BP520)&gt;0,N(BR520)&gt;0),BR520-BP520,"")</f>
        <v/>
      </c>
      <c r="BT520" s="28" t="str">
        <f aca="false">IF(BS520="","",ROUND(BS520/365.25,2))</f>
        <v/>
      </c>
      <c r="BU520" s="28" t="str">
        <f aca="false">IF(BS520="","",IF(BS520&gt;=730.5,"Yes","No"))</f>
        <v/>
      </c>
      <c r="BV520" s="27"/>
      <c r="BW520" s="29"/>
      <c r="BX520" s="27"/>
      <c r="BY520" s="27"/>
      <c r="BZ520" s="28" t="str">
        <f aca="false">IF(N(E520)=0,"",IF(E520&lt;65,"Under 65","≥65"))</f>
        <v/>
      </c>
      <c r="CA520" s="28" t="str">
        <f aca="false">IF(OR(AC520="Yes",AC520="No"),AC520,"")</f>
        <v/>
      </c>
      <c r="CB520" s="28" t="str">
        <f aca="false">IF(OR(AD520="Yes",AD520="No"),AD520,"")</f>
        <v/>
      </c>
      <c r="CC520" s="28" t="str">
        <f aca="false">IF(F520="","",F520)</f>
        <v/>
      </c>
      <c r="CD520" s="27"/>
      <c r="CE520" s="27"/>
    </row>
    <row r="521" customFormat="false" ht="15" hidden="false" customHeight="false" outlineLevel="0" collapsed="false">
      <c r="A521" s="27"/>
      <c r="B521" s="27"/>
      <c r="C521" s="27"/>
      <c r="D521" s="27"/>
      <c r="E521" s="27"/>
      <c r="F521" s="27"/>
      <c r="G521" s="27"/>
      <c r="H521" s="27"/>
      <c r="I521" s="27"/>
      <c r="J521" s="28" t="str">
        <f aca="false">IF(AND(N(H521)&gt;0,N(I521)&gt;0),ROUND(I521/(H521/100)^2,1),"")</f>
        <v/>
      </c>
      <c r="K521" s="27"/>
      <c r="L521" s="27"/>
      <c r="M521" s="27"/>
      <c r="N521" s="27"/>
      <c r="O521" s="27"/>
      <c r="P521" s="27"/>
      <c r="Q521" s="27"/>
      <c r="R521" s="29"/>
      <c r="S521" s="29"/>
      <c r="T521" s="27"/>
      <c r="U521" s="28" t="str">
        <f aca="false">IF(N(T521)=0,"",IF(T521&lt;12,"Under 12 months",IF(T521&lt;36,"12-35 months",IF(T521&lt;60,"36-59 months","≥60 months"))))</f>
        <v/>
      </c>
      <c r="V521" s="27"/>
      <c r="W521" s="30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9"/>
      <c r="AT521" s="30"/>
      <c r="AU521" s="30"/>
      <c r="AV521" s="30"/>
      <c r="AW521" s="27"/>
      <c r="AX521" s="27"/>
      <c r="AY521" s="29"/>
      <c r="AZ521" s="27"/>
      <c r="BA521" s="27"/>
      <c r="BB521" s="29"/>
      <c r="BC521" s="30"/>
      <c r="BD521" s="30"/>
      <c r="BE521" s="30"/>
      <c r="BF521" s="27"/>
      <c r="BG521" s="27"/>
      <c r="BH521" s="28" t="str">
        <f aca="false">IF(COUNT(BC521:BE521)=0,"",IF(MIN(BC521:BE521)&lt;=-2.5,"Yes","No"))</f>
        <v/>
      </c>
      <c r="BI521" s="27"/>
      <c r="BJ521" s="29"/>
      <c r="BK521" s="27"/>
      <c r="BL521" s="27"/>
      <c r="BM521" s="27"/>
      <c r="BN521" s="28" t="str">
        <f aca="false">IF(OR(AX521="Yes",BI521="Yes"),"Yes",IF(AND(AX521="No",BI521="No"),"No",IF(AND(AX521="",BI521=""),"","Unknown")))</f>
        <v/>
      </c>
      <c r="BO521" s="31" t="str">
        <f aca="false">IF(COUNT(AY521,BJ521)=0,"",MIN(AY521,BJ521))</f>
        <v/>
      </c>
      <c r="BP521" s="29"/>
      <c r="BQ521" s="29"/>
      <c r="BR521" s="29"/>
      <c r="BS521" s="28" t="str">
        <f aca="false">IF(AND(N(BP521)&gt;0,N(BR521)&gt;0),BR521-BP521,"")</f>
        <v/>
      </c>
      <c r="BT521" s="28" t="str">
        <f aca="false">IF(BS521="","",ROUND(BS521/365.25,2))</f>
        <v/>
      </c>
      <c r="BU521" s="28" t="str">
        <f aca="false">IF(BS521="","",IF(BS521&gt;=730.5,"Yes","No"))</f>
        <v/>
      </c>
      <c r="BV521" s="27"/>
      <c r="BW521" s="29"/>
      <c r="BX521" s="27"/>
      <c r="BY521" s="27"/>
      <c r="BZ521" s="28" t="str">
        <f aca="false">IF(N(E521)=0,"",IF(E521&lt;65,"Under 65","≥65"))</f>
        <v/>
      </c>
      <c r="CA521" s="28" t="str">
        <f aca="false">IF(OR(AC521="Yes",AC521="No"),AC521,"")</f>
        <v/>
      </c>
      <c r="CB521" s="28" t="str">
        <f aca="false">IF(OR(AD521="Yes",AD521="No"),AD521,"")</f>
        <v/>
      </c>
      <c r="CC521" s="28" t="str">
        <f aca="false">IF(F521="","",F521)</f>
        <v/>
      </c>
      <c r="CD521" s="27"/>
      <c r="CE521" s="27"/>
    </row>
    <row r="522" customFormat="false" ht="15" hidden="false" customHeight="false" outlineLevel="0" collapsed="false">
      <c r="A522" s="27"/>
      <c r="B522" s="27"/>
      <c r="C522" s="27"/>
      <c r="D522" s="27"/>
      <c r="E522" s="27"/>
      <c r="F522" s="27"/>
      <c r="G522" s="27"/>
      <c r="H522" s="27"/>
      <c r="I522" s="27"/>
      <c r="J522" s="28" t="str">
        <f aca="false">IF(AND(N(H522)&gt;0,N(I522)&gt;0),ROUND(I522/(H522/100)^2,1),"")</f>
        <v/>
      </c>
      <c r="K522" s="27"/>
      <c r="L522" s="27"/>
      <c r="M522" s="27"/>
      <c r="N522" s="27"/>
      <c r="O522" s="27"/>
      <c r="P522" s="27"/>
      <c r="Q522" s="27"/>
      <c r="R522" s="29"/>
      <c r="S522" s="29"/>
      <c r="T522" s="27"/>
      <c r="U522" s="28" t="str">
        <f aca="false">IF(N(T522)=0,"",IF(T522&lt;12,"Under 12 months",IF(T522&lt;36,"12-35 months",IF(T522&lt;60,"36-59 months","≥60 months"))))</f>
        <v/>
      </c>
      <c r="V522" s="27"/>
      <c r="W522" s="30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9"/>
      <c r="AT522" s="30"/>
      <c r="AU522" s="30"/>
      <c r="AV522" s="30"/>
      <c r="AW522" s="27"/>
      <c r="AX522" s="27"/>
      <c r="AY522" s="29"/>
      <c r="AZ522" s="27"/>
      <c r="BA522" s="27"/>
      <c r="BB522" s="29"/>
      <c r="BC522" s="30"/>
      <c r="BD522" s="30"/>
      <c r="BE522" s="30"/>
      <c r="BF522" s="27"/>
      <c r="BG522" s="27"/>
      <c r="BH522" s="28" t="str">
        <f aca="false">IF(COUNT(BC522:BE522)=0,"",IF(MIN(BC522:BE522)&lt;=-2.5,"Yes","No"))</f>
        <v/>
      </c>
      <c r="BI522" s="27"/>
      <c r="BJ522" s="29"/>
      <c r="BK522" s="27"/>
      <c r="BL522" s="27"/>
      <c r="BM522" s="27"/>
      <c r="BN522" s="28" t="str">
        <f aca="false">IF(OR(AX522="Yes",BI522="Yes"),"Yes",IF(AND(AX522="No",BI522="No"),"No",IF(AND(AX522="",BI522=""),"","Unknown")))</f>
        <v/>
      </c>
      <c r="BO522" s="31" t="str">
        <f aca="false">IF(COUNT(AY522,BJ522)=0,"",MIN(AY522,BJ522))</f>
        <v/>
      </c>
      <c r="BP522" s="29"/>
      <c r="BQ522" s="29"/>
      <c r="BR522" s="29"/>
      <c r="BS522" s="28" t="str">
        <f aca="false">IF(AND(N(BP522)&gt;0,N(BR522)&gt;0),BR522-BP522,"")</f>
        <v/>
      </c>
      <c r="BT522" s="28" t="str">
        <f aca="false">IF(BS522="","",ROUND(BS522/365.25,2))</f>
        <v/>
      </c>
      <c r="BU522" s="28" t="str">
        <f aca="false">IF(BS522="","",IF(BS522&gt;=730.5,"Yes","No"))</f>
        <v/>
      </c>
      <c r="BV522" s="27"/>
      <c r="BW522" s="29"/>
      <c r="BX522" s="27"/>
      <c r="BY522" s="27"/>
      <c r="BZ522" s="28" t="str">
        <f aca="false">IF(N(E522)=0,"",IF(E522&lt;65,"Under 65","≥65"))</f>
        <v/>
      </c>
      <c r="CA522" s="28" t="str">
        <f aca="false">IF(OR(AC522="Yes",AC522="No"),AC522,"")</f>
        <v/>
      </c>
      <c r="CB522" s="28" t="str">
        <f aca="false">IF(OR(AD522="Yes",AD522="No"),AD522,"")</f>
        <v/>
      </c>
      <c r="CC522" s="28" t="str">
        <f aca="false">IF(F522="","",F522)</f>
        <v/>
      </c>
      <c r="CD522" s="27"/>
      <c r="CE522" s="27"/>
    </row>
    <row r="523" customFormat="false" ht="15" hidden="false" customHeight="false" outlineLevel="0" collapsed="false">
      <c r="A523" s="27"/>
      <c r="B523" s="27"/>
      <c r="C523" s="27"/>
      <c r="D523" s="27"/>
      <c r="E523" s="27"/>
      <c r="F523" s="27"/>
      <c r="G523" s="27"/>
      <c r="H523" s="27"/>
      <c r="I523" s="27"/>
      <c r="J523" s="28" t="str">
        <f aca="false">IF(AND(N(H523)&gt;0,N(I523)&gt;0),ROUND(I523/(H523/100)^2,1),"")</f>
        <v/>
      </c>
      <c r="K523" s="27"/>
      <c r="L523" s="27"/>
      <c r="M523" s="27"/>
      <c r="N523" s="27"/>
      <c r="O523" s="27"/>
      <c r="P523" s="27"/>
      <c r="Q523" s="27"/>
      <c r="R523" s="29"/>
      <c r="S523" s="29"/>
      <c r="T523" s="27"/>
      <c r="U523" s="28" t="str">
        <f aca="false">IF(N(T523)=0,"",IF(T523&lt;12,"Under 12 months",IF(T523&lt;36,"12-35 months",IF(T523&lt;60,"36-59 months","≥60 months"))))</f>
        <v/>
      </c>
      <c r="V523" s="27"/>
      <c r="W523" s="30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9"/>
      <c r="AT523" s="30"/>
      <c r="AU523" s="30"/>
      <c r="AV523" s="30"/>
      <c r="AW523" s="27"/>
      <c r="AX523" s="27"/>
      <c r="AY523" s="29"/>
      <c r="AZ523" s="27"/>
      <c r="BA523" s="27"/>
      <c r="BB523" s="29"/>
      <c r="BC523" s="30"/>
      <c r="BD523" s="30"/>
      <c r="BE523" s="30"/>
      <c r="BF523" s="27"/>
      <c r="BG523" s="27"/>
      <c r="BH523" s="28" t="str">
        <f aca="false">IF(COUNT(BC523:BE523)=0,"",IF(MIN(BC523:BE523)&lt;=-2.5,"Yes","No"))</f>
        <v/>
      </c>
      <c r="BI523" s="27"/>
      <c r="BJ523" s="29"/>
      <c r="BK523" s="27"/>
      <c r="BL523" s="27"/>
      <c r="BM523" s="27"/>
      <c r="BN523" s="28" t="str">
        <f aca="false">IF(OR(AX523="Yes",BI523="Yes"),"Yes",IF(AND(AX523="No",BI523="No"),"No",IF(AND(AX523="",BI523=""),"","Unknown")))</f>
        <v/>
      </c>
      <c r="BO523" s="31" t="str">
        <f aca="false">IF(COUNT(AY523,BJ523)=0,"",MIN(AY523,BJ523))</f>
        <v/>
      </c>
      <c r="BP523" s="29"/>
      <c r="BQ523" s="29"/>
      <c r="BR523" s="29"/>
      <c r="BS523" s="28" t="str">
        <f aca="false">IF(AND(N(BP523)&gt;0,N(BR523)&gt;0),BR523-BP523,"")</f>
        <v/>
      </c>
      <c r="BT523" s="28" t="str">
        <f aca="false">IF(BS523="","",ROUND(BS523/365.25,2))</f>
        <v/>
      </c>
      <c r="BU523" s="28" t="str">
        <f aca="false">IF(BS523="","",IF(BS523&gt;=730.5,"Yes","No"))</f>
        <v/>
      </c>
      <c r="BV523" s="27"/>
      <c r="BW523" s="29"/>
      <c r="BX523" s="27"/>
      <c r="BY523" s="27"/>
      <c r="BZ523" s="28" t="str">
        <f aca="false">IF(N(E523)=0,"",IF(E523&lt;65,"Under 65","≥65"))</f>
        <v/>
      </c>
      <c r="CA523" s="28" t="str">
        <f aca="false">IF(OR(AC523="Yes",AC523="No"),AC523,"")</f>
        <v/>
      </c>
      <c r="CB523" s="28" t="str">
        <f aca="false">IF(OR(AD523="Yes",AD523="No"),AD523,"")</f>
        <v/>
      </c>
      <c r="CC523" s="28" t="str">
        <f aca="false">IF(F523="","",F523)</f>
        <v/>
      </c>
      <c r="CD523" s="27"/>
      <c r="CE523" s="27"/>
    </row>
    <row r="524" customFormat="false" ht="15" hidden="false" customHeight="false" outlineLevel="0" collapsed="false">
      <c r="A524" s="27"/>
      <c r="B524" s="27"/>
      <c r="C524" s="27"/>
      <c r="D524" s="27"/>
      <c r="E524" s="27"/>
      <c r="F524" s="27"/>
      <c r="G524" s="27"/>
      <c r="H524" s="27"/>
      <c r="I524" s="27"/>
      <c r="J524" s="28" t="str">
        <f aca="false">IF(AND(N(H524)&gt;0,N(I524)&gt;0),ROUND(I524/(H524/100)^2,1),"")</f>
        <v/>
      </c>
      <c r="K524" s="27"/>
      <c r="L524" s="27"/>
      <c r="M524" s="27"/>
      <c r="N524" s="27"/>
      <c r="O524" s="27"/>
      <c r="P524" s="27"/>
      <c r="Q524" s="27"/>
      <c r="R524" s="29"/>
      <c r="S524" s="29"/>
      <c r="T524" s="27"/>
      <c r="U524" s="28" t="str">
        <f aca="false">IF(N(T524)=0,"",IF(T524&lt;12,"Under 12 months",IF(T524&lt;36,"12-35 months",IF(T524&lt;60,"36-59 months","≥60 months"))))</f>
        <v/>
      </c>
      <c r="V524" s="27"/>
      <c r="W524" s="30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9"/>
      <c r="AT524" s="30"/>
      <c r="AU524" s="30"/>
      <c r="AV524" s="30"/>
      <c r="AW524" s="27"/>
      <c r="AX524" s="27"/>
      <c r="AY524" s="29"/>
      <c r="AZ524" s="27"/>
      <c r="BA524" s="27"/>
      <c r="BB524" s="29"/>
      <c r="BC524" s="30"/>
      <c r="BD524" s="30"/>
      <c r="BE524" s="30"/>
      <c r="BF524" s="27"/>
      <c r="BG524" s="27"/>
      <c r="BH524" s="28" t="str">
        <f aca="false">IF(COUNT(BC524:BE524)=0,"",IF(MIN(BC524:BE524)&lt;=-2.5,"Yes","No"))</f>
        <v/>
      </c>
      <c r="BI524" s="27"/>
      <c r="BJ524" s="29"/>
      <c r="BK524" s="27"/>
      <c r="BL524" s="27"/>
      <c r="BM524" s="27"/>
      <c r="BN524" s="28" t="str">
        <f aca="false">IF(OR(AX524="Yes",BI524="Yes"),"Yes",IF(AND(AX524="No",BI524="No"),"No",IF(AND(AX524="",BI524=""),"","Unknown")))</f>
        <v/>
      </c>
      <c r="BO524" s="31" t="str">
        <f aca="false">IF(COUNT(AY524,BJ524)=0,"",MIN(AY524,BJ524))</f>
        <v/>
      </c>
      <c r="BP524" s="29"/>
      <c r="BQ524" s="29"/>
      <c r="BR524" s="29"/>
      <c r="BS524" s="28" t="str">
        <f aca="false">IF(AND(N(BP524)&gt;0,N(BR524)&gt;0),BR524-BP524,"")</f>
        <v/>
      </c>
      <c r="BT524" s="28" t="str">
        <f aca="false">IF(BS524="","",ROUND(BS524/365.25,2))</f>
        <v/>
      </c>
      <c r="BU524" s="28" t="str">
        <f aca="false">IF(BS524="","",IF(BS524&gt;=730.5,"Yes","No"))</f>
        <v/>
      </c>
      <c r="BV524" s="27"/>
      <c r="BW524" s="29"/>
      <c r="BX524" s="27"/>
      <c r="BY524" s="27"/>
      <c r="BZ524" s="28" t="str">
        <f aca="false">IF(N(E524)=0,"",IF(E524&lt;65,"Under 65","≥65"))</f>
        <v/>
      </c>
      <c r="CA524" s="28" t="str">
        <f aca="false">IF(OR(AC524="Yes",AC524="No"),AC524,"")</f>
        <v/>
      </c>
      <c r="CB524" s="28" t="str">
        <f aca="false">IF(OR(AD524="Yes",AD524="No"),AD524,"")</f>
        <v/>
      </c>
      <c r="CC524" s="28" t="str">
        <f aca="false">IF(F524="","",F524)</f>
        <v/>
      </c>
      <c r="CD524" s="27"/>
      <c r="CE524" s="27"/>
    </row>
    <row r="525" customFormat="false" ht="15" hidden="false" customHeight="false" outlineLevel="0" collapsed="false">
      <c r="A525" s="27"/>
      <c r="B525" s="27"/>
      <c r="C525" s="27"/>
      <c r="D525" s="27"/>
      <c r="E525" s="27"/>
      <c r="F525" s="27"/>
      <c r="G525" s="27"/>
      <c r="H525" s="27"/>
      <c r="I525" s="27"/>
      <c r="J525" s="28" t="str">
        <f aca="false">IF(AND(N(H525)&gt;0,N(I525)&gt;0),ROUND(I525/(H525/100)^2,1),"")</f>
        <v/>
      </c>
      <c r="K525" s="27"/>
      <c r="L525" s="27"/>
      <c r="M525" s="27"/>
      <c r="N525" s="27"/>
      <c r="O525" s="27"/>
      <c r="P525" s="27"/>
      <c r="Q525" s="27"/>
      <c r="R525" s="29"/>
      <c r="S525" s="29"/>
      <c r="T525" s="27"/>
      <c r="U525" s="28" t="str">
        <f aca="false">IF(N(T525)=0,"",IF(T525&lt;12,"Under 12 months",IF(T525&lt;36,"12-35 months",IF(T525&lt;60,"36-59 months","≥60 months"))))</f>
        <v/>
      </c>
      <c r="V525" s="27"/>
      <c r="W525" s="30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9"/>
      <c r="AT525" s="30"/>
      <c r="AU525" s="30"/>
      <c r="AV525" s="30"/>
      <c r="AW525" s="27"/>
      <c r="AX525" s="27"/>
      <c r="AY525" s="29"/>
      <c r="AZ525" s="27"/>
      <c r="BA525" s="27"/>
      <c r="BB525" s="29"/>
      <c r="BC525" s="30"/>
      <c r="BD525" s="30"/>
      <c r="BE525" s="30"/>
      <c r="BF525" s="27"/>
      <c r="BG525" s="27"/>
      <c r="BH525" s="28" t="str">
        <f aca="false">IF(COUNT(BC525:BE525)=0,"",IF(MIN(BC525:BE525)&lt;=-2.5,"Yes","No"))</f>
        <v/>
      </c>
      <c r="BI525" s="27"/>
      <c r="BJ525" s="29"/>
      <c r="BK525" s="27"/>
      <c r="BL525" s="27"/>
      <c r="BM525" s="27"/>
      <c r="BN525" s="28" t="str">
        <f aca="false">IF(OR(AX525="Yes",BI525="Yes"),"Yes",IF(AND(AX525="No",BI525="No"),"No",IF(AND(AX525="",BI525=""),"","Unknown")))</f>
        <v/>
      </c>
      <c r="BO525" s="31" t="str">
        <f aca="false">IF(COUNT(AY525,BJ525)=0,"",MIN(AY525,BJ525))</f>
        <v/>
      </c>
      <c r="BP525" s="29"/>
      <c r="BQ525" s="29"/>
      <c r="BR525" s="29"/>
      <c r="BS525" s="28" t="str">
        <f aca="false">IF(AND(N(BP525)&gt;0,N(BR525)&gt;0),BR525-BP525,"")</f>
        <v/>
      </c>
      <c r="BT525" s="28" t="str">
        <f aca="false">IF(BS525="","",ROUND(BS525/365.25,2))</f>
        <v/>
      </c>
      <c r="BU525" s="28" t="str">
        <f aca="false">IF(BS525="","",IF(BS525&gt;=730.5,"Yes","No"))</f>
        <v/>
      </c>
      <c r="BV525" s="27"/>
      <c r="BW525" s="29"/>
      <c r="BX525" s="27"/>
      <c r="BY525" s="27"/>
      <c r="BZ525" s="28" t="str">
        <f aca="false">IF(N(E525)=0,"",IF(E525&lt;65,"Under 65","≥65"))</f>
        <v/>
      </c>
      <c r="CA525" s="28" t="str">
        <f aca="false">IF(OR(AC525="Yes",AC525="No"),AC525,"")</f>
        <v/>
      </c>
      <c r="CB525" s="28" t="str">
        <f aca="false">IF(OR(AD525="Yes",AD525="No"),AD525,"")</f>
        <v/>
      </c>
      <c r="CC525" s="28" t="str">
        <f aca="false">IF(F525="","",F525)</f>
        <v/>
      </c>
      <c r="CD525" s="27"/>
      <c r="CE525" s="27"/>
    </row>
    <row r="526" customFormat="false" ht="15" hidden="false" customHeight="false" outlineLevel="0" collapsed="false">
      <c r="A526" s="27"/>
      <c r="B526" s="27"/>
      <c r="C526" s="27"/>
      <c r="D526" s="27"/>
      <c r="E526" s="27"/>
      <c r="F526" s="27"/>
      <c r="G526" s="27"/>
      <c r="H526" s="27"/>
      <c r="I526" s="27"/>
      <c r="J526" s="28" t="str">
        <f aca="false">IF(AND(N(H526)&gt;0,N(I526)&gt;0),ROUND(I526/(H526/100)^2,1),"")</f>
        <v/>
      </c>
      <c r="K526" s="27"/>
      <c r="L526" s="27"/>
      <c r="M526" s="27"/>
      <c r="N526" s="27"/>
      <c r="O526" s="27"/>
      <c r="P526" s="27"/>
      <c r="Q526" s="27"/>
      <c r="R526" s="29"/>
      <c r="S526" s="29"/>
      <c r="T526" s="27"/>
      <c r="U526" s="28" t="str">
        <f aca="false">IF(N(T526)=0,"",IF(T526&lt;12,"Under 12 months",IF(T526&lt;36,"12-35 months",IF(T526&lt;60,"36-59 months","≥60 months"))))</f>
        <v/>
      </c>
      <c r="V526" s="27"/>
      <c r="W526" s="30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9"/>
      <c r="AT526" s="30"/>
      <c r="AU526" s="30"/>
      <c r="AV526" s="30"/>
      <c r="AW526" s="27"/>
      <c r="AX526" s="27"/>
      <c r="AY526" s="29"/>
      <c r="AZ526" s="27"/>
      <c r="BA526" s="27"/>
      <c r="BB526" s="29"/>
      <c r="BC526" s="30"/>
      <c r="BD526" s="30"/>
      <c r="BE526" s="30"/>
      <c r="BF526" s="27"/>
      <c r="BG526" s="27"/>
      <c r="BH526" s="28" t="str">
        <f aca="false">IF(COUNT(BC526:BE526)=0,"",IF(MIN(BC526:BE526)&lt;=-2.5,"Yes","No"))</f>
        <v/>
      </c>
      <c r="BI526" s="27"/>
      <c r="BJ526" s="29"/>
      <c r="BK526" s="27"/>
      <c r="BL526" s="27"/>
      <c r="BM526" s="27"/>
      <c r="BN526" s="28" t="str">
        <f aca="false">IF(OR(AX526="Yes",BI526="Yes"),"Yes",IF(AND(AX526="No",BI526="No"),"No",IF(AND(AX526="",BI526=""),"","Unknown")))</f>
        <v/>
      </c>
      <c r="BO526" s="31" t="str">
        <f aca="false">IF(COUNT(AY526,BJ526)=0,"",MIN(AY526,BJ526))</f>
        <v/>
      </c>
      <c r="BP526" s="29"/>
      <c r="BQ526" s="29"/>
      <c r="BR526" s="29"/>
      <c r="BS526" s="28" t="str">
        <f aca="false">IF(AND(N(BP526)&gt;0,N(BR526)&gt;0),BR526-BP526,"")</f>
        <v/>
      </c>
      <c r="BT526" s="28" t="str">
        <f aca="false">IF(BS526="","",ROUND(BS526/365.25,2))</f>
        <v/>
      </c>
      <c r="BU526" s="28" t="str">
        <f aca="false">IF(BS526="","",IF(BS526&gt;=730.5,"Yes","No"))</f>
        <v/>
      </c>
      <c r="BV526" s="27"/>
      <c r="BW526" s="29"/>
      <c r="BX526" s="27"/>
      <c r="BY526" s="27"/>
      <c r="BZ526" s="28" t="str">
        <f aca="false">IF(N(E526)=0,"",IF(E526&lt;65,"Under 65","≥65"))</f>
        <v/>
      </c>
      <c r="CA526" s="28" t="str">
        <f aca="false">IF(OR(AC526="Yes",AC526="No"),AC526,"")</f>
        <v/>
      </c>
      <c r="CB526" s="28" t="str">
        <f aca="false">IF(OR(AD526="Yes",AD526="No"),AD526,"")</f>
        <v/>
      </c>
      <c r="CC526" s="28" t="str">
        <f aca="false">IF(F526="","",F526)</f>
        <v/>
      </c>
      <c r="CD526" s="27"/>
      <c r="CE526" s="27"/>
    </row>
    <row r="527" customFormat="false" ht="15" hidden="false" customHeight="false" outlineLevel="0" collapsed="false">
      <c r="A527" s="27"/>
      <c r="B527" s="27"/>
      <c r="C527" s="27"/>
      <c r="D527" s="27"/>
      <c r="E527" s="27"/>
      <c r="F527" s="27"/>
      <c r="G527" s="27"/>
      <c r="H527" s="27"/>
      <c r="I527" s="27"/>
      <c r="J527" s="28" t="str">
        <f aca="false">IF(AND(N(H527)&gt;0,N(I527)&gt;0),ROUND(I527/(H527/100)^2,1),"")</f>
        <v/>
      </c>
      <c r="K527" s="27"/>
      <c r="L527" s="27"/>
      <c r="M527" s="27"/>
      <c r="N527" s="27"/>
      <c r="O527" s="27"/>
      <c r="P527" s="27"/>
      <c r="Q527" s="27"/>
      <c r="R527" s="29"/>
      <c r="S527" s="29"/>
      <c r="T527" s="27"/>
      <c r="U527" s="28" t="str">
        <f aca="false">IF(N(T527)=0,"",IF(T527&lt;12,"Under 12 months",IF(T527&lt;36,"12-35 months",IF(T527&lt;60,"36-59 months","≥60 months"))))</f>
        <v/>
      </c>
      <c r="V527" s="27"/>
      <c r="W527" s="30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9"/>
      <c r="AT527" s="30"/>
      <c r="AU527" s="30"/>
      <c r="AV527" s="30"/>
      <c r="AW527" s="27"/>
      <c r="AX527" s="27"/>
      <c r="AY527" s="29"/>
      <c r="AZ527" s="27"/>
      <c r="BA527" s="27"/>
      <c r="BB527" s="29"/>
      <c r="BC527" s="30"/>
      <c r="BD527" s="30"/>
      <c r="BE527" s="30"/>
      <c r="BF527" s="27"/>
      <c r="BG527" s="27"/>
      <c r="BH527" s="28" t="str">
        <f aca="false">IF(COUNT(BC527:BE527)=0,"",IF(MIN(BC527:BE527)&lt;=-2.5,"Yes","No"))</f>
        <v/>
      </c>
      <c r="BI527" s="27"/>
      <c r="BJ527" s="29"/>
      <c r="BK527" s="27"/>
      <c r="BL527" s="27"/>
      <c r="BM527" s="27"/>
      <c r="BN527" s="28" t="str">
        <f aca="false">IF(OR(AX527="Yes",BI527="Yes"),"Yes",IF(AND(AX527="No",BI527="No"),"No",IF(AND(AX527="",BI527=""),"","Unknown")))</f>
        <v/>
      </c>
      <c r="BO527" s="31" t="str">
        <f aca="false">IF(COUNT(AY527,BJ527)=0,"",MIN(AY527,BJ527))</f>
        <v/>
      </c>
      <c r="BP527" s="29"/>
      <c r="BQ527" s="29"/>
      <c r="BR527" s="29"/>
      <c r="BS527" s="28" t="str">
        <f aca="false">IF(AND(N(BP527)&gt;0,N(BR527)&gt;0),BR527-BP527,"")</f>
        <v/>
      </c>
      <c r="BT527" s="28" t="str">
        <f aca="false">IF(BS527="","",ROUND(BS527/365.25,2))</f>
        <v/>
      </c>
      <c r="BU527" s="28" t="str">
        <f aca="false">IF(BS527="","",IF(BS527&gt;=730.5,"Yes","No"))</f>
        <v/>
      </c>
      <c r="BV527" s="27"/>
      <c r="BW527" s="29"/>
      <c r="BX527" s="27"/>
      <c r="BY527" s="27"/>
      <c r="BZ527" s="28" t="str">
        <f aca="false">IF(N(E527)=0,"",IF(E527&lt;65,"Under 65","≥65"))</f>
        <v/>
      </c>
      <c r="CA527" s="28" t="str">
        <f aca="false">IF(OR(AC527="Yes",AC527="No"),AC527,"")</f>
        <v/>
      </c>
      <c r="CB527" s="28" t="str">
        <f aca="false">IF(OR(AD527="Yes",AD527="No"),AD527,"")</f>
        <v/>
      </c>
      <c r="CC527" s="28" t="str">
        <f aca="false">IF(F527="","",F527)</f>
        <v/>
      </c>
      <c r="CD527" s="27"/>
      <c r="CE527" s="27"/>
    </row>
    <row r="528" customFormat="false" ht="15" hidden="false" customHeight="false" outlineLevel="0" collapsed="false">
      <c r="A528" s="27"/>
      <c r="B528" s="27"/>
      <c r="C528" s="27"/>
      <c r="D528" s="27"/>
      <c r="E528" s="27"/>
      <c r="F528" s="27"/>
      <c r="G528" s="27"/>
      <c r="H528" s="27"/>
      <c r="I528" s="27"/>
      <c r="J528" s="28" t="str">
        <f aca="false">IF(AND(N(H528)&gt;0,N(I528)&gt;0),ROUND(I528/(H528/100)^2,1),"")</f>
        <v/>
      </c>
      <c r="K528" s="27"/>
      <c r="L528" s="27"/>
      <c r="M528" s="27"/>
      <c r="N528" s="27"/>
      <c r="O528" s="27"/>
      <c r="P528" s="27"/>
      <c r="Q528" s="27"/>
      <c r="R528" s="29"/>
      <c r="S528" s="29"/>
      <c r="T528" s="27"/>
      <c r="U528" s="28" t="str">
        <f aca="false">IF(N(T528)=0,"",IF(T528&lt;12,"Under 12 months",IF(T528&lt;36,"12-35 months",IF(T528&lt;60,"36-59 months","≥60 months"))))</f>
        <v/>
      </c>
      <c r="V528" s="27"/>
      <c r="W528" s="30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9"/>
      <c r="AT528" s="30"/>
      <c r="AU528" s="30"/>
      <c r="AV528" s="30"/>
      <c r="AW528" s="27"/>
      <c r="AX528" s="27"/>
      <c r="AY528" s="29"/>
      <c r="AZ528" s="27"/>
      <c r="BA528" s="27"/>
      <c r="BB528" s="29"/>
      <c r="BC528" s="30"/>
      <c r="BD528" s="30"/>
      <c r="BE528" s="30"/>
      <c r="BF528" s="27"/>
      <c r="BG528" s="27"/>
      <c r="BH528" s="28" t="str">
        <f aca="false">IF(COUNT(BC528:BE528)=0,"",IF(MIN(BC528:BE528)&lt;=-2.5,"Yes","No"))</f>
        <v/>
      </c>
      <c r="BI528" s="27"/>
      <c r="BJ528" s="29"/>
      <c r="BK528" s="27"/>
      <c r="BL528" s="27"/>
      <c r="BM528" s="27"/>
      <c r="BN528" s="28" t="str">
        <f aca="false">IF(OR(AX528="Yes",BI528="Yes"),"Yes",IF(AND(AX528="No",BI528="No"),"No",IF(AND(AX528="",BI528=""),"","Unknown")))</f>
        <v/>
      </c>
      <c r="BO528" s="31" t="str">
        <f aca="false">IF(COUNT(AY528,BJ528)=0,"",MIN(AY528,BJ528))</f>
        <v/>
      </c>
      <c r="BP528" s="29"/>
      <c r="BQ528" s="29"/>
      <c r="BR528" s="29"/>
      <c r="BS528" s="28" t="str">
        <f aca="false">IF(AND(N(BP528)&gt;0,N(BR528)&gt;0),BR528-BP528,"")</f>
        <v/>
      </c>
      <c r="BT528" s="28" t="str">
        <f aca="false">IF(BS528="","",ROUND(BS528/365.25,2))</f>
        <v/>
      </c>
      <c r="BU528" s="28" t="str">
        <f aca="false">IF(BS528="","",IF(BS528&gt;=730.5,"Yes","No"))</f>
        <v/>
      </c>
      <c r="BV528" s="27"/>
      <c r="BW528" s="29"/>
      <c r="BX528" s="27"/>
      <c r="BY528" s="27"/>
      <c r="BZ528" s="28" t="str">
        <f aca="false">IF(N(E528)=0,"",IF(E528&lt;65,"Under 65","≥65"))</f>
        <v/>
      </c>
      <c r="CA528" s="28" t="str">
        <f aca="false">IF(OR(AC528="Yes",AC528="No"),AC528,"")</f>
        <v/>
      </c>
      <c r="CB528" s="28" t="str">
        <f aca="false">IF(OR(AD528="Yes",AD528="No"),AD528,"")</f>
        <v/>
      </c>
      <c r="CC528" s="28" t="str">
        <f aca="false">IF(F528="","",F528)</f>
        <v/>
      </c>
      <c r="CD528" s="27"/>
      <c r="CE528" s="27"/>
    </row>
    <row r="529" customFormat="false" ht="15" hidden="false" customHeight="false" outlineLevel="0" collapsed="false">
      <c r="A529" s="27"/>
      <c r="B529" s="27"/>
      <c r="C529" s="27"/>
      <c r="D529" s="27"/>
      <c r="E529" s="27"/>
      <c r="F529" s="27"/>
      <c r="G529" s="27"/>
      <c r="H529" s="27"/>
      <c r="I529" s="27"/>
      <c r="J529" s="28" t="str">
        <f aca="false">IF(AND(N(H529)&gt;0,N(I529)&gt;0),ROUND(I529/(H529/100)^2,1),"")</f>
        <v/>
      </c>
      <c r="K529" s="27"/>
      <c r="L529" s="27"/>
      <c r="M529" s="27"/>
      <c r="N529" s="27"/>
      <c r="O529" s="27"/>
      <c r="P529" s="27"/>
      <c r="Q529" s="27"/>
      <c r="R529" s="29"/>
      <c r="S529" s="29"/>
      <c r="T529" s="27"/>
      <c r="U529" s="28" t="str">
        <f aca="false">IF(N(T529)=0,"",IF(T529&lt;12,"Under 12 months",IF(T529&lt;36,"12-35 months",IF(T529&lt;60,"36-59 months","≥60 months"))))</f>
        <v/>
      </c>
      <c r="V529" s="27"/>
      <c r="W529" s="30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9"/>
      <c r="AT529" s="30"/>
      <c r="AU529" s="30"/>
      <c r="AV529" s="30"/>
      <c r="AW529" s="27"/>
      <c r="AX529" s="27"/>
      <c r="AY529" s="29"/>
      <c r="AZ529" s="27"/>
      <c r="BA529" s="27"/>
      <c r="BB529" s="29"/>
      <c r="BC529" s="30"/>
      <c r="BD529" s="30"/>
      <c r="BE529" s="30"/>
      <c r="BF529" s="27"/>
      <c r="BG529" s="27"/>
      <c r="BH529" s="28" t="str">
        <f aca="false">IF(COUNT(BC529:BE529)=0,"",IF(MIN(BC529:BE529)&lt;=-2.5,"Yes","No"))</f>
        <v/>
      </c>
      <c r="BI529" s="27"/>
      <c r="BJ529" s="29"/>
      <c r="BK529" s="27"/>
      <c r="BL529" s="27"/>
      <c r="BM529" s="27"/>
      <c r="BN529" s="28" t="str">
        <f aca="false">IF(OR(AX529="Yes",BI529="Yes"),"Yes",IF(AND(AX529="No",BI529="No"),"No",IF(AND(AX529="",BI529=""),"","Unknown")))</f>
        <v/>
      </c>
      <c r="BO529" s="31" t="str">
        <f aca="false">IF(COUNT(AY529,BJ529)=0,"",MIN(AY529,BJ529))</f>
        <v/>
      </c>
      <c r="BP529" s="29"/>
      <c r="BQ529" s="29"/>
      <c r="BR529" s="29"/>
      <c r="BS529" s="28" t="str">
        <f aca="false">IF(AND(N(BP529)&gt;0,N(BR529)&gt;0),BR529-BP529,"")</f>
        <v/>
      </c>
      <c r="BT529" s="28" t="str">
        <f aca="false">IF(BS529="","",ROUND(BS529/365.25,2))</f>
        <v/>
      </c>
      <c r="BU529" s="28" t="str">
        <f aca="false">IF(BS529="","",IF(BS529&gt;=730.5,"Yes","No"))</f>
        <v/>
      </c>
      <c r="BV529" s="27"/>
      <c r="BW529" s="29"/>
      <c r="BX529" s="27"/>
      <c r="BY529" s="27"/>
      <c r="BZ529" s="28" t="str">
        <f aca="false">IF(N(E529)=0,"",IF(E529&lt;65,"Under 65","≥65"))</f>
        <v/>
      </c>
      <c r="CA529" s="28" t="str">
        <f aca="false">IF(OR(AC529="Yes",AC529="No"),AC529,"")</f>
        <v/>
      </c>
      <c r="CB529" s="28" t="str">
        <f aca="false">IF(OR(AD529="Yes",AD529="No"),AD529,"")</f>
        <v/>
      </c>
      <c r="CC529" s="28" t="str">
        <f aca="false">IF(F529="","",F529)</f>
        <v/>
      </c>
      <c r="CD529" s="27"/>
      <c r="CE529" s="27"/>
    </row>
    <row r="530" customFormat="false" ht="15" hidden="false" customHeight="false" outlineLevel="0" collapsed="false">
      <c r="A530" s="27"/>
      <c r="B530" s="27"/>
      <c r="C530" s="27"/>
      <c r="D530" s="27"/>
      <c r="E530" s="27"/>
      <c r="F530" s="27"/>
      <c r="G530" s="27"/>
      <c r="H530" s="27"/>
      <c r="I530" s="27"/>
      <c r="J530" s="28" t="str">
        <f aca="false">IF(AND(N(H530)&gt;0,N(I530)&gt;0),ROUND(I530/(H530/100)^2,1),"")</f>
        <v/>
      </c>
      <c r="K530" s="27"/>
      <c r="L530" s="27"/>
      <c r="M530" s="27"/>
      <c r="N530" s="27"/>
      <c r="O530" s="27"/>
      <c r="P530" s="27"/>
      <c r="Q530" s="27"/>
      <c r="R530" s="29"/>
      <c r="S530" s="29"/>
      <c r="T530" s="27"/>
      <c r="U530" s="28" t="str">
        <f aca="false">IF(N(T530)=0,"",IF(T530&lt;12,"Under 12 months",IF(T530&lt;36,"12-35 months",IF(T530&lt;60,"36-59 months","≥60 months"))))</f>
        <v/>
      </c>
      <c r="V530" s="27"/>
      <c r="W530" s="30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9"/>
      <c r="AT530" s="30"/>
      <c r="AU530" s="30"/>
      <c r="AV530" s="30"/>
      <c r="AW530" s="27"/>
      <c r="AX530" s="27"/>
      <c r="AY530" s="29"/>
      <c r="AZ530" s="27"/>
      <c r="BA530" s="27"/>
      <c r="BB530" s="29"/>
      <c r="BC530" s="30"/>
      <c r="BD530" s="30"/>
      <c r="BE530" s="30"/>
      <c r="BF530" s="27"/>
      <c r="BG530" s="27"/>
      <c r="BH530" s="28" t="str">
        <f aca="false">IF(COUNT(BC530:BE530)=0,"",IF(MIN(BC530:BE530)&lt;=-2.5,"Yes","No"))</f>
        <v/>
      </c>
      <c r="BI530" s="27"/>
      <c r="BJ530" s="29"/>
      <c r="BK530" s="27"/>
      <c r="BL530" s="27"/>
      <c r="BM530" s="27"/>
      <c r="BN530" s="28" t="str">
        <f aca="false">IF(OR(AX530="Yes",BI530="Yes"),"Yes",IF(AND(AX530="No",BI530="No"),"No",IF(AND(AX530="",BI530=""),"","Unknown")))</f>
        <v/>
      </c>
      <c r="BO530" s="31" t="str">
        <f aca="false">IF(COUNT(AY530,BJ530)=0,"",MIN(AY530,BJ530))</f>
        <v/>
      </c>
      <c r="BP530" s="29"/>
      <c r="BQ530" s="29"/>
      <c r="BR530" s="29"/>
      <c r="BS530" s="28" t="str">
        <f aca="false">IF(AND(N(BP530)&gt;0,N(BR530)&gt;0),BR530-BP530,"")</f>
        <v/>
      </c>
      <c r="BT530" s="28" t="str">
        <f aca="false">IF(BS530="","",ROUND(BS530/365.25,2))</f>
        <v/>
      </c>
      <c r="BU530" s="28" t="str">
        <f aca="false">IF(BS530="","",IF(BS530&gt;=730.5,"Yes","No"))</f>
        <v/>
      </c>
      <c r="BV530" s="27"/>
      <c r="BW530" s="29"/>
      <c r="BX530" s="27"/>
      <c r="BY530" s="27"/>
      <c r="BZ530" s="28" t="str">
        <f aca="false">IF(N(E530)=0,"",IF(E530&lt;65,"Under 65","≥65"))</f>
        <v/>
      </c>
      <c r="CA530" s="28" t="str">
        <f aca="false">IF(OR(AC530="Yes",AC530="No"),AC530,"")</f>
        <v/>
      </c>
      <c r="CB530" s="28" t="str">
        <f aca="false">IF(OR(AD530="Yes",AD530="No"),AD530,"")</f>
        <v/>
      </c>
      <c r="CC530" s="28" t="str">
        <f aca="false">IF(F530="","",F530)</f>
        <v/>
      </c>
      <c r="CD530" s="27"/>
      <c r="CE530" s="27"/>
    </row>
    <row r="531" customFormat="false" ht="15" hidden="false" customHeight="false" outlineLevel="0" collapsed="false">
      <c r="A531" s="27"/>
      <c r="B531" s="27"/>
      <c r="C531" s="27"/>
      <c r="D531" s="27"/>
      <c r="E531" s="27"/>
      <c r="F531" s="27"/>
      <c r="G531" s="27"/>
      <c r="H531" s="27"/>
      <c r="I531" s="27"/>
      <c r="J531" s="28" t="str">
        <f aca="false">IF(AND(N(H531)&gt;0,N(I531)&gt;0),ROUND(I531/(H531/100)^2,1),"")</f>
        <v/>
      </c>
      <c r="K531" s="27"/>
      <c r="L531" s="27"/>
      <c r="M531" s="27"/>
      <c r="N531" s="27"/>
      <c r="O531" s="27"/>
      <c r="P531" s="27"/>
      <c r="Q531" s="27"/>
      <c r="R531" s="29"/>
      <c r="S531" s="29"/>
      <c r="T531" s="27"/>
      <c r="U531" s="28" t="str">
        <f aca="false">IF(N(T531)=0,"",IF(T531&lt;12,"Under 12 months",IF(T531&lt;36,"12-35 months",IF(T531&lt;60,"36-59 months","≥60 months"))))</f>
        <v/>
      </c>
      <c r="V531" s="27"/>
      <c r="W531" s="30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9"/>
      <c r="AT531" s="30"/>
      <c r="AU531" s="30"/>
      <c r="AV531" s="30"/>
      <c r="AW531" s="27"/>
      <c r="AX531" s="27"/>
      <c r="AY531" s="29"/>
      <c r="AZ531" s="27"/>
      <c r="BA531" s="27"/>
      <c r="BB531" s="29"/>
      <c r="BC531" s="30"/>
      <c r="BD531" s="30"/>
      <c r="BE531" s="30"/>
      <c r="BF531" s="27"/>
      <c r="BG531" s="27"/>
      <c r="BH531" s="28" t="str">
        <f aca="false">IF(COUNT(BC531:BE531)=0,"",IF(MIN(BC531:BE531)&lt;=-2.5,"Yes","No"))</f>
        <v/>
      </c>
      <c r="BI531" s="27"/>
      <c r="BJ531" s="29"/>
      <c r="BK531" s="27"/>
      <c r="BL531" s="27"/>
      <c r="BM531" s="27"/>
      <c r="BN531" s="28" t="str">
        <f aca="false">IF(OR(AX531="Yes",BI531="Yes"),"Yes",IF(AND(AX531="No",BI531="No"),"No",IF(AND(AX531="",BI531=""),"","Unknown")))</f>
        <v/>
      </c>
      <c r="BO531" s="31" t="str">
        <f aca="false">IF(COUNT(AY531,BJ531)=0,"",MIN(AY531,BJ531))</f>
        <v/>
      </c>
      <c r="BP531" s="29"/>
      <c r="BQ531" s="29"/>
      <c r="BR531" s="29"/>
      <c r="BS531" s="28" t="str">
        <f aca="false">IF(AND(N(BP531)&gt;0,N(BR531)&gt;0),BR531-BP531,"")</f>
        <v/>
      </c>
      <c r="BT531" s="28" t="str">
        <f aca="false">IF(BS531="","",ROUND(BS531/365.25,2))</f>
        <v/>
      </c>
      <c r="BU531" s="28" t="str">
        <f aca="false">IF(BS531="","",IF(BS531&gt;=730.5,"Yes","No"))</f>
        <v/>
      </c>
      <c r="BV531" s="27"/>
      <c r="BW531" s="29"/>
      <c r="BX531" s="27"/>
      <c r="BY531" s="27"/>
      <c r="BZ531" s="28" t="str">
        <f aca="false">IF(N(E531)=0,"",IF(E531&lt;65,"Under 65","≥65"))</f>
        <v/>
      </c>
      <c r="CA531" s="28" t="str">
        <f aca="false">IF(OR(AC531="Yes",AC531="No"),AC531,"")</f>
        <v/>
      </c>
      <c r="CB531" s="28" t="str">
        <f aca="false">IF(OR(AD531="Yes",AD531="No"),AD531,"")</f>
        <v/>
      </c>
      <c r="CC531" s="28" t="str">
        <f aca="false">IF(F531="","",F531)</f>
        <v/>
      </c>
      <c r="CD531" s="27"/>
      <c r="CE531" s="27"/>
    </row>
    <row r="532" customFormat="false" ht="15" hidden="false" customHeight="false" outlineLevel="0" collapsed="false">
      <c r="A532" s="27"/>
      <c r="B532" s="27"/>
      <c r="C532" s="27"/>
      <c r="D532" s="27"/>
      <c r="E532" s="27"/>
      <c r="F532" s="27"/>
      <c r="G532" s="27"/>
      <c r="H532" s="27"/>
      <c r="I532" s="27"/>
      <c r="J532" s="28" t="str">
        <f aca="false">IF(AND(N(H532)&gt;0,N(I532)&gt;0),ROUND(I532/(H532/100)^2,1),"")</f>
        <v/>
      </c>
      <c r="K532" s="27"/>
      <c r="L532" s="27"/>
      <c r="M532" s="27"/>
      <c r="N532" s="27"/>
      <c r="O532" s="27"/>
      <c r="P532" s="27"/>
      <c r="Q532" s="27"/>
      <c r="R532" s="29"/>
      <c r="S532" s="29"/>
      <c r="T532" s="27"/>
      <c r="U532" s="28" t="str">
        <f aca="false">IF(N(T532)=0,"",IF(T532&lt;12,"Under 12 months",IF(T532&lt;36,"12-35 months",IF(T532&lt;60,"36-59 months","≥60 months"))))</f>
        <v/>
      </c>
      <c r="V532" s="27"/>
      <c r="W532" s="30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9"/>
      <c r="AT532" s="30"/>
      <c r="AU532" s="30"/>
      <c r="AV532" s="30"/>
      <c r="AW532" s="27"/>
      <c r="AX532" s="27"/>
      <c r="AY532" s="29"/>
      <c r="AZ532" s="27"/>
      <c r="BA532" s="27"/>
      <c r="BB532" s="29"/>
      <c r="BC532" s="30"/>
      <c r="BD532" s="30"/>
      <c r="BE532" s="30"/>
      <c r="BF532" s="27"/>
      <c r="BG532" s="27"/>
      <c r="BH532" s="28" t="str">
        <f aca="false">IF(COUNT(BC532:BE532)=0,"",IF(MIN(BC532:BE532)&lt;=-2.5,"Yes","No"))</f>
        <v/>
      </c>
      <c r="BI532" s="27"/>
      <c r="BJ532" s="29"/>
      <c r="BK532" s="27"/>
      <c r="BL532" s="27"/>
      <c r="BM532" s="27"/>
      <c r="BN532" s="28" t="str">
        <f aca="false">IF(OR(AX532="Yes",BI532="Yes"),"Yes",IF(AND(AX532="No",BI532="No"),"No",IF(AND(AX532="",BI532=""),"","Unknown")))</f>
        <v/>
      </c>
      <c r="BO532" s="31" t="str">
        <f aca="false">IF(COUNT(AY532,BJ532)=0,"",MIN(AY532,BJ532))</f>
        <v/>
      </c>
      <c r="BP532" s="29"/>
      <c r="BQ532" s="29"/>
      <c r="BR532" s="29"/>
      <c r="BS532" s="28" t="str">
        <f aca="false">IF(AND(N(BP532)&gt;0,N(BR532)&gt;0),BR532-BP532,"")</f>
        <v/>
      </c>
      <c r="BT532" s="28" t="str">
        <f aca="false">IF(BS532="","",ROUND(BS532/365.25,2))</f>
        <v/>
      </c>
      <c r="BU532" s="28" t="str">
        <f aca="false">IF(BS532="","",IF(BS532&gt;=730.5,"Yes","No"))</f>
        <v/>
      </c>
      <c r="BV532" s="27"/>
      <c r="BW532" s="29"/>
      <c r="BX532" s="27"/>
      <c r="BY532" s="27"/>
      <c r="BZ532" s="28" t="str">
        <f aca="false">IF(N(E532)=0,"",IF(E532&lt;65,"Under 65","≥65"))</f>
        <v/>
      </c>
      <c r="CA532" s="28" t="str">
        <f aca="false">IF(OR(AC532="Yes",AC532="No"),AC532,"")</f>
        <v/>
      </c>
      <c r="CB532" s="28" t="str">
        <f aca="false">IF(OR(AD532="Yes",AD532="No"),AD532,"")</f>
        <v/>
      </c>
      <c r="CC532" s="28" t="str">
        <f aca="false">IF(F532="","",F532)</f>
        <v/>
      </c>
      <c r="CD532" s="27"/>
      <c r="CE532" s="27"/>
    </row>
    <row r="533" customFormat="false" ht="15" hidden="false" customHeight="false" outlineLevel="0" collapsed="false">
      <c r="A533" s="27"/>
      <c r="B533" s="27"/>
      <c r="C533" s="27"/>
      <c r="D533" s="27"/>
      <c r="E533" s="27"/>
      <c r="F533" s="27"/>
      <c r="G533" s="27"/>
      <c r="H533" s="27"/>
      <c r="I533" s="27"/>
      <c r="J533" s="28" t="str">
        <f aca="false">IF(AND(N(H533)&gt;0,N(I533)&gt;0),ROUND(I533/(H533/100)^2,1),"")</f>
        <v/>
      </c>
      <c r="K533" s="27"/>
      <c r="L533" s="27"/>
      <c r="M533" s="27"/>
      <c r="N533" s="27"/>
      <c r="O533" s="27"/>
      <c r="P533" s="27"/>
      <c r="Q533" s="27"/>
      <c r="R533" s="29"/>
      <c r="S533" s="29"/>
      <c r="T533" s="27"/>
      <c r="U533" s="28" t="str">
        <f aca="false">IF(N(T533)=0,"",IF(T533&lt;12,"Under 12 months",IF(T533&lt;36,"12-35 months",IF(T533&lt;60,"36-59 months","≥60 months"))))</f>
        <v/>
      </c>
      <c r="V533" s="27"/>
      <c r="W533" s="30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9"/>
      <c r="AT533" s="30"/>
      <c r="AU533" s="30"/>
      <c r="AV533" s="30"/>
      <c r="AW533" s="27"/>
      <c r="AX533" s="27"/>
      <c r="AY533" s="29"/>
      <c r="AZ533" s="27"/>
      <c r="BA533" s="27"/>
      <c r="BB533" s="29"/>
      <c r="BC533" s="30"/>
      <c r="BD533" s="30"/>
      <c r="BE533" s="30"/>
      <c r="BF533" s="27"/>
      <c r="BG533" s="27"/>
      <c r="BH533" s="28" t="str">
        <f aca="false">IF(COUNT(BC533:BE533)=0,"",IF(MIN(BC533:BE533)&lt;=-2.5,"Yes","No"))</f>
        <v/>
      </c>
      <c r="BI533" s="27"/>
      <c r="BJ533" s="29"/>
      <c r="BK533" s="27"/>
      <c r="BL533" s="27"/>
      <c r="BM533" s="27"/>
      <c r="BN533" s="28" t="str">
        <f aca="false">IF(OR(AX533="Yes",BI533="Yes"),"Yes",IF(AND(AX533="No",BI533="No"),"No",IF(AND(AX533="",BI533=""),"","Unknown")))</f>
        <v/>
      </c>
      <c r="BO533" s="31" t="str">
        <f aca="false">IF(COUNT(AY533,BJ533)=0,"",MIN(AY533,BJ533))</f>
        <v/>
      </c>
      <c r="BP533" s="29"/>
      <c r="BQ533" s="29"/>
      <c r="BR533" s="29"/>
      <c r="BS533" s="28" t="str">
        <f aca="false">IF(AND(N(BP533)&gt;0,N(BR533)&gt;0),BR533-BP533,"")</f>
        <v/>
      </c>
      <c r="BT533" s="28" t="str">
        <f aca="false">IF(BS533="","",ROUND(BS533/365.25,2))</f>
        <v/>
      </c>
      <c r="BU533" s="28" t="str">
        <f aca="false">IF(BS533="","",IF(BS533&gt;=730.5,"Yes","No"))</f>
        <v/>
      </c>
      <c r="BV533" s="27"/>
      <c r="BW533" s="29"/>
      <c r="BX533" s="27"/>
      <c r="BY533" s="27"/>
      <c r="BZ533" s="28" t="str">
        <f aca="false">IF(N(E533)=0,"",IF(E533&lt;65,"Under 65","≥65"))</f>
        <v/>
      </c>
      <c r="CA533" s="28" t="str">
        <f aca="false">IF(OR(AC533="Yes",AC533="No"),AC533,"")</f>
        <v/>
      </c>
      <c r="CB533" s="28" t="str">
        <f aca="false">IF(OR(AD533="Yes",AD533="No"),AD533,"")</f>
        <v/>
      </c>
      <c r="CC533" s="28" t="str">
        <f aca="false">IF(F533="","",F533)</f>
        <v/>
      </c>
      <c r="CD533" s="27"/>
      <c r="CE533" s="27"/>
    </row>
    <row r="534" customFormat="false" ht="15" hidden="false" customHeight="false" outlineLevel="0" collapsed="false">
      <c r="A534" s="27"/>
      <c r="B534" s="27"/>
      <c r="C534" s="27"/>
      <c r="D534" s="27"/>
      <c r="E534" s="27"/>
      <c r="F534" s="27"/>
      <c r="G534" s="27"/>
      <c r="H534" s="27"/>
      <c r="I534" s="27"/>
      <c r="J534" s="28" t="str">
        <f aca="false">IF(AND(N(H534)&gt;0,N(I534)&gt;0),ROUND(I534/(H534/100)^2,1),"")</f>
        <v/>
      </c>
      <c r="K534" s="27"/>
      <c r="L534" s="27"/>
      <c r="M534" s="27"/>
      <c r="N534" s="27"/>
      <c r="O534" s="27"/>
      <c r="P534" s="27"/>
      <c r="Q534" s="27"/>
      <c r="R534" s="29"/>
      <c r="S534" s="29"/>
      <c r="T534" s="27"/>
      <c r="U534" s="28" t="str">
        <f aca="false">IF(N(T534)=0,"",IF(T534&lt;12,"Under 12 months",IF(T534&lt;36,"12-35 months",IF(T534&lt;60,"36-59 months","≥60 months"))))</f>
        <v/>
      </c>
      <c r="V534" s="27"/>
      <c r="W534" s="30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9"/>
      <c r="AT534" s="30"/>
      <c r="AU534" s="30"/>
      <c r="AV534" s="30"/>
      <c r="AW534" s="27"/>
      <c r="AX534" s="27"/>
      <c r="AY534" s="29"/>
      <c r="AZ534" s="27"/>
      <c r="BA534" s="27"/>
      <c r="BB534" s="29"/>
      <c r="BC534" s="30"/>
      <c r="BD534" s="30"/>
      <c r="BE534" s="30"/>
      <c r="BF534" s="27"/>
      <c r="BG534" s="27"/>
      <c r="BH534" s="28" t="str">
        <f aca="false">IF(COUNT(BC534:BE534)=0,"",IF(MIN(BC534:BE534)&lt;=-2.5,"Yes","No"))</f>
        <v/>
      </c>
      <c r="BI534" s="27"/>
      <c r="BJ534" s="29"/>
      <c r="BK534" s="27"/>
      <c r="BL534" s="27"/>
      <c r="BM534" s="27"/>
      <c r="BN534" s="28" t="str">
        <f aca="false">IF(OR(AX534="Yes",BI534="Yes"),"Yes",IF(AND(AX534="No",BI534="No"),"No",IF(AND(AX534="",BI534=""),"","Unknown")))</f>
        <v/>
      </c>
      <c r="BO534" s="31" t="str">
        <f aca="false">IF(COUNT(AY534,BJ534)=0,"",MIN(AY534,BJ534))</f>
        <v/>
      </c>
      <c r="BP534" s="29"/>
      <c r="BQ534" s="29"/>
      <c r="BR534" s="29"/>
      <c r="BS534" s="28" t="str">
        <f aca="false">IF(AND(N(BP534)&gt;0,N(BR534)&gt;0),BR534-BP534,"")</f>
        <v/>
      </c>
      <c r="BT534" s="28" t="str">
        <f aca="false">IF(BS534="","",ROUND(BS534/365.25,2))</f>
        <v/>
      </c>
      <c r="BU534" s="28" t="str">
        <f aca="false">IF(BS534="","",IF(BS534&gt;=730.5,"Yes","No"))</f>
        <v/>
      </c>
      <c r="BV534" s="27"/>
      <c r="BW534" s="29"/>
      <c r="BX534" s="27"/>
      <c r="BY534" s="27"/>
      <c r="BZ534" s="28" t="str">
        <f aca="false">IF(N(E534)=0,"",IF(E534&lt;65,"Under 65","≥65"))</f>
        <v/>
      </c>
      <c r="CA534" s="28" t="str">
        <f aca="false">IF(OR(AC534="Yes",AC534="No"),AC534,"")</f>
        <v/>
      </c>
      <c r="CB534" s="28" t="str">
        <f aca="false">IF(OR(AD534="Yes",AD534="No"),AD534,"")</f>
        <v/>
      </c>
      <c r="CC534" s="28" t="str">
        <f aca="false">IF(F534="","",F534)</f>
        <v/>
      </c>
      <c r="CD534" s="27"/>
      <c r="CE534" s="27"/>
    </row>
    <row r="535" customFormat="false" ht="15" hidden="false" customHeight="false" outlineLevel="0" collapsed="false">
      <c r="A535" s="27"/>
      <c r="B535" s="27"/>
      <c r="C535" s="27"/>
      <c r="D535" s="27"/>
      <c r="E535" s="27"/>
      <c r="F535" s="27"/>
      <c r="G535" s="27"/>
      <c r="H535" s="27"/>
      <c r="I535" s="27"/>
      <c r="J535" s="28" t="str">
        <f aca="false">IF(AND(N(H535)&gt;0,N(I535)&gt;0),ROUND(I535/(H535/100)^2,1),"")</f>
        <v/>
      </c>
      <c r="K535" s="27"/>
      <c r="L535" s="27"/>
      <c r="M535" s="27"/>
      <c r="N535" s="27"/>
      <c r="O535" s="27"/>
      <c r="P535" s="27"/>
      <c r="Q535" s="27"/>
      <c r="R535" s="29"/>
      <c r="S535" s="29"/>
      <c r="T535" s="27"/>
      <c r="U535" s="28" t="str">
        <f aca="false">IF(N(T535)=0,"",IF(T535&lt;12,"Under 12 months",IF(T535&lt;36,"12-35 months",IF(T535&lt;60,"36-59 months","≥60 months"))))</f>
        <v/>
      </c>
      <c r="V535" s="27"/>
      <c r="W535" s="30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9"/>
      <c r="AT535" s="30"/>
      <c r="AU535" s="30"/>
      <c r="AV535" s="30"/>
      <c r="AW535" s="27"/>
      <c r="AX535" s="27"/>
      <c r="AY535" s="29"/>
      <c r="AZ535" s="27"/>
      <c r="BA535" s="27"/>
      <c r="BB535" s="29"/>
      <c r="BC535" s="30"/>
      <c r="BD535" s="30"/>
      <c r="BE535" s="30"/>
      <c r="BF535" s="27"/>
      <c r="BG535" s="27"/>
      <c r="BH535" s="28" t="str">
        <f aca="false">IF(COUNT(BC535:BE535)=0,"",IF(MIN(BC535:BE535)&lt;=-2.5,"Yes","No"))</f>
        <v/>
      </c>
      <c r="BI535" s="27"/>
      <c r="BJ535" s="29"/>
      <c r="BK535" s="27"/>
      <c r="BL535" s="27"/>
      <c r="BM535" s="27"/>
      <c r="BN535" s="28" t="str">
        <f aca="false">IF(OR(AX535="Yes",BI535="Yes"),"Yes",IF(AND(AX535="No",BI535="No"),"No",IF(AND(AX535="",BI535=""),"","Unknown")))</f>
        <v/>
      </c>
      <c r="BO535" s="31" t="str">
        <f aca="false">IF(COUNT(AY535,BJ535)=0,"",MIN(AY535,BJ535))</f>
        <v/>
      </c>
      <c r="BP535" s="29"/>
      <c r="BQ535" s="29"/>
      <c r="BR535" s="29"/>
      <c r="BS535" s="28" t="str">
        <f aca="false">IF(AND(N(BP535)&gt;0,N(BR535)&gt;0),BR535-BP535,"")</f>
        <v/>
      </c>
      <c r="BT535" s="28" t="str">
        <f aca="false">IF(BS535="","",ROUND(BS535/365.25,2))</f>
        <v/>
      </c>
      <c r="BU535" s="28" t="str">
        <f aca="false">IF(BS535="","",IF(BS535&gt;=730.5,"Yes","No"))</f>
        <v/>
      </c>
      <c r="BV535" s="27"/>
      <c r="BW535" s="29"/>
      <c r="BX535" s="27"/>
      <c r="BY535" s="27"/>
      <c r="BZ535" s="28" t="str">
        <f aca="false">IF(N(E535)=0,"",IF(E535&lt;65,"Under 65","≥65"))</f>
        <v/>
      </c>
      <c r="CA535" s="28" t="str">
        <f aca="false">IF(OR(AC535="Yes",AC535="No"),AC535,"")</f>
        <v/>
      </c>
      <c r="CB535" s="28" t="str">
        <f aca="false">IF(OR(AD535="Yes",AD535="No"),AD535,"")</f>
        <v/>
      </c>
      <c r="CC535" s="28" t="str">
        <f aca="false">IF(F535="","",F535)</f>
        <v/>
      </c>
      <c r="CD535" s="27"/>
      <c r="CE535" s="27"/>
    </row>
    <row r="536" customFormat="false" ht="15" hidden="false" customHeight="false" outlineLevel="0" collapsed="false">
      <c r="A536" s="27"/>
      <c r="B536" s="27"/>
      <c r="C536" s="27"/>
      <c r="D536" s="27"/>
      <c r="E536" s="27"/>
      <c r="F536" s="27"/>
      <c r="G536" s="27"/>
      <c r="H536" s="27"/>
      <c r="I536" s="27"/>
      <c r="J536" s="28" t="str">
        <f aca="false">IF(AND(N(H536)&gt;0,N(I536)&gt;0),ROUND(I536/(H536/100)^2,1),"")</f>
        <v/>
      </c>
      <c r="K536" s="27"/>
      <c r="L536" s="27"/>
      <c r="M536" s="27"/>
      <c r="N536" s="27"/>
      <c r="O536" s="27"/>
      <c r="P536" s="27"/>
      <c r="Q536" s="27"/>
      <c r="R536" s="29"/>
      <c r="S536" s="29"/>
      <c r="T536" s="27"/>
      <c r="U536" s="28" t="str">
        <f aca="false">IF(N(T536)=0,"",IF(T536&lt;12,"Under 12 months",IF(T536&lt;36,"12-35 months",IF(T536&lt;60,"36-59 months","≥60 months"))))</f>
        <v/>
      </c>
      <c r="V536" s="27"/>
      <c r="W536" s="30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9"/>
      <c r="AT536" s="30"/>
      <c r="AU536" s="30"/>
      <c r="AV536" s="30"/>
      <c r="AW536" s="27"/>
      <c r="AX536" s="27"/>
      <c r="AY536" s="29"/>
      <c r="AZ536" s="27"/>
      <c r="BA536" s="27"/>
      <c r="BB536" s="29"/>
      <c r="BC536" s="30"/>
      <c r="BD536" s="30"/>
      <c r="BE536" s="30"/>
      <c r="BF536" s="27"/>
      <c r="BG536" s="27"/>
      <c r="BH536" s="28" t="str">
        <f aca="false">IF(COUNT(BC536:BE536)=0,"",IF(MIN(BC536:BE536)&lt;=-2.5,"Yes","No"))</f>
        <v/>
      </c>
      <c r="BI536" s="27"/>
      <c r="BJ536" s="29"/>
      <c r="BK536" s="27"/>
      <c r="BL536" s="27"/>
      <c r="BM536" s="27"/>
      <c r="BN536" s="28" t="str">
        <f aca="false">IF(OR(AX536="Yes",BI536="Yes"),"Yes",IF(AND(AX536="No",BI536="No"),"No",IF(AND(AX536="",BI536=""),"","Unknown")))</f>
        <v/>
      </c>
      <c r="BO536" s="31" t="str">
        <f aca="false">IF(COUNT(AY536,BJ536)=0,"",MIN(AY536,BJ536))</f>
        <v/>
      </c>
      <c r="BP536" s="29"/>
      <c r="BQ536" s="29"/>
      <c r="BR536" s="29"/>
      <c r="BS536" s="28" t="str">
        <f aca="false">IF(AND(N(BP536)&gt;0,N(BR536)&gt;0),BR536-BP536,"")</f>
        <v/>
      </c>
      <c r="BT536" s="28" t="str">
        <f aca="false">IF(BS536="","",ROUND(BS536/365.25,2))</f>
        <v/>
      </c>
      <c r="BU536" s="28" t="str">
        <f aca="false">IF(BS536="","",IF(BS536&gt;=730.5,"Yes","No"))</f>
        <v/>
      </c>
      <c r="BV536" s="27"/>
      <c r="BW536" s="29"/>
      <c r="BX536" s="27"/>
      <c r="BY536" s="27"/>
      <c r="BZ536" s="28" t="str">
        <f aca="false">IF(N(E536)=0,"",IF(E536&lt;65,"Under 65","≥65"))</f>
        <v/>
      </c>
      <c r="CA536" s="28" t="str">
        <f aca="false">IF(OR(AC536="Yes",AC536="No"),AC536,"")</f>
        <v/>
      </c>
      <c r="CB536" s="28" t="str">
        <f aca="false">IF(OR(AD536="Yes",AD536="No"),AD536,"")</f>
        <v/>
      </c>
      <c r="CC536" s="28" t="str">
        <f aca="false">IF(F536="","",F536)</f>
        <v/>
      </c>
      <c r="CD536" s="27"/>
      <c r="CE536" s="27"/>
    </row>
    <row r="537" customFormat="false" ht="15" hidden="false" customHeight="false" outlineLevel="0" collapsed="false">
      <c r="A537" s="27"/>
      <c r="B537" s="27"/>
      <c r="C537" s="27"/>
      <c r="D537" s="27"/>
      <c r="E537" s="27"/>
      <c r="F537" s="27"/>
      <c r="G537" s="27"/>
      <c r="H537" s="27"/>
      <c r="I537" s="27"/>
      <c r="J537" s="28" t="str">
        <f aca="false">IF(AND(N(H537)&gt;0,N(I537)&gt;0),ROUND(I537/(H537/100)^2,1),"")</f>
        <v/>
      </c>
      <c r="K537" s="27"/>
      <c r="L537" s="27"/>
      <c r="M537" s="27"/>
      <c r="N537" s="27"/>
      <c r="O537" s="27"/>
      <c r="P537" s="27"/>
      <c r="Q537" s="27"/>
      <c r="R537" s="29"/>
      <c r="S537" s="29"/>
      <c r="T537" s="27"/>
      <c r="U537" s="28" t="str">
        <f aca="false">IF(N(T537)=0,"",IF(T537&lt;12,"Under 12 months",IF(T537&lt;36,"12-35 months",IF(T537&lt;60,"36-59 months","≥60 months"))))</f>
        <v/>
      </c>
      <c r="V537" s="27"/>
      <c r="W537" s="30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9"/>
      <c r="AT537" s="30"/>
      <c r="AU537" s="30"/>
      <c r="AV537" s="30"/>
      <c r="AW537" s="27"/>
      <c r="AX537" s="27"/>
      <c r="AY537" s="29"/>
      <c r="AZ537" s="27"/>
      <c r="BA537" s="27"/>
      <c r="BB537" s="29"/>
      <c r="BC537" s="30"/>
      <c r="BD537" s="30"/>
      <c r="BE537" s="30"/>
      <c r="BF537" s="27"/>
      <c r="BG537" s="27"/>
      <c r="BH537" s="28" t="str">
        <f aca="false">IF(COUNT(BC537:BE537)=0,"",IF(MIN(BC537:BE537)&lt;=-2.5,"Yes","No"))</f>
        <v/>
      </c>
      <c r="BI537" s="27"/>
      <c r="BJ537" s="29"/>
      <c r="BK537" s="27"/>
      <c r="BL537" s="27"/>
      <c r="BM537" s="27"/>
      <c r="BN537" s="28" t="str">
        <f aca="false">IF(OR(AX537="Yes",BI537="Yes"),"Yes",IF(AND(AX537="No",BI537="No"),"No",IF(AND(AX537="",BI537=""),"","Unknown")))</f>
        <v/>
      </c>
      <c r="BO537" s="31" t="str">
        <f aca="false">IF(COUNT(AY537,BJ537)=0,"",MIN(AY537,BJ537))</f>
        <v/>
      </c>
      <c r="BP537" s="29"/>
      <c r="BQ537" s="29"/>
      <c r="BR537" s="29"/>
      <c r="BS537" s="28" t="str">
        <f aca="false">IF(AND(N(BP537)&gt;0,N(BR537)&gt;0),BR537-BP537,"")</f>
        <v/>
      </c>
      <c r="BT537" s="28" t="str">
        <f aca="false">IF(BS537="","",ROUND(BS537/365.25,2))</f>
        <v/>
      </c>
      <c r="BU537" s="28" t="str">
        <f aca="false">IF(BS537="","",IF(BS537&gt;=730.5,"Yes","No"))</f>
        <v/>
      </c>
      <c r="BV537" s="27"/>
      <c r="BW537" s="29"/>
      <c r="BX537" s="27"/>
      <c r="BY537" s="27"/>
      <c r="BZ537" s="28" t="str">
        <f aca="false">IF(N(E537)=0,"",IF(E537&lt;65,"Under 65","≥65"))</f>
        <v/>
      </c>
      <c r="CA537" s="28" t="str">
        <f aca="false">IF(OR(AC537="Yes",AC537="No"),AC537,"")</f>
        <v/>
      </c>
      <c r="CB537" s="28" t="str">
        <f aca="false">IF(OR(AD537="Yes",AD537="No"),AD537,"")</f>
        <v/>
      </c>
      <c r="CC537" s="28" t="str">
        <f aca="false">IF(F537="","",F537)</f>
        <v/>
      </c>
      <c r="CD537" s="27"/>
      <c r="CE537" s="27"/>
    </row>
    <row r="538" customFormat="false" ht="15" hidden="false" customHeight="false" outlineLevel="0" collapsed="false">
      <c r="A538" s="27"/>
      <c r="B538" s="27"/>
      <c r="C538" s="27"/>
      <c r="D538" s="27"/>
      <c r="E538" s="27"/>
      <c r="F538" s="27"/>
      <c r="G538" s="27"/>
      <c r="H538" s="27"/>
      <c r="I538" s="27"/>
      <c r="J538" s="28" t="str">
        <f aca="false">IF(AND(N(H538)&gt;0,N(I538)&gt;0),ROUND(I538/(H538/100)^2,1),"")</f>
        <v/>
      </c>
      <c r="K538" s="27"/>
      <c r="L538" s="27"/>
      <c r="M538" s="27"/>
      <c r="N538" s="27"/>
      <c r="O538" s="27"/>
      <c r="P538" s="27"/>
      <c r="Q538" s="27"/>
      <c r="R538" s="29"/>
      <c r="S538" s="29"/>
      <c r="T538" s="27"/>
      <c r="U538" s="28" t="str">
        <f aca="false">IF(N(T538)=0,"",IF(T538&lt;12,"Under 12 months",IF(T538&lt;36,"12-35 months",IF(T538&lt;60,"36-59 months","≥60 months"))))</f>
        <v/>
      </c>
      <c r="V538" s="27"/>
      <c r="W538" s="30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9"/>
      <c r="AT538" s="30"/>
      <c r="AU538" s="30"/>
      <c r="AV538" s="30"/>
      <c r="AW538" s="27"/>
      <c r="AX538" s="27"/>
      <c r="AY538" s="29"/>
      <c r="AZ538" s="27"/>
      <c r="BA538" s="27"/>
      <c r="BB538" s="29"/>
      <c r="BC538" s="30"/>
      <c r="BD538" s="30"/>
      <c r="BE538" s="30"/>
      <c r="BF538" s="27"/>
      <c r="BG538" s="27"/>
      <c r="BH538" s="28" t="str">
        <f aca="false">IF(COUNT(BC538:BE538)=0,"",IF(MIN(BC538:BE538)&lt;=-2.5,"Yes","No"))</f>
        <v/>
      </c>
      <c r="BI538" s="27"/>
      <c r="BJ538" s="29"/>
      <c r="BK538" s="27"/>
      <c r="BL538" s="27"/>
      <c r="BM538" s="27"/>
      <c r="BN538" s="28" t="str">
        <f aca="false">IF(OR(AX538="Yes",BI538="Yes"),"Yes",IF(AND(AX538="No",BI538="No"),"No",IF(AND(AX538="",BI538=""),"","Unknown")))</f>
        <v/>
      </c>
      <c r="BO538" s="31" t="str">
        <f aca="false">IF(COUNT(AY538,BJ538)=0,"",MIN(AY538,BJ538))</f>
        <v/>
      </c>
      <c r="BP538" s="29"/>
      <c r="BQ538" s="29"/>
      <c r="BR538" s="29"/>
      <c r="BS538" s="28" t="str">
        <f aca="false">IF(AND(N(BP538)&gt;0,N(BR538)&gt;0),BR538-BP538,"")</f>
        <v/>
      </c>
      <c r="BT538" s="28" t="str">
        <f aca="false">IF(BS538="","",ROUND(BS538/365.25,2))</f>
        <v/>
      </c>
      <c r="BU538" s="28" t="str">
        <f aca="false">IF(BS538="","",IF(BS538&gt;=730.5,"Yes","No"))</f>
        <v/>
      </c>
      <c r="BV538" s="27"/>
      <c r="BW538" s="29"/>
      <c r="BX538" s="27"/>
      <c r="BY538" s="27"/>
      <c r="BZ538" s="28" t="str">
        <f aca="false">IF(N(E538)=0,"",IF(E538&lt;65,"Under 65","≥65"))</f>
        <v/>
      </c>
      <c r="CA538" s="28" t="str">
        <f aca="false">IF(OR(AC538="Yes",AC538="No"),AC538,"")</f>
        <v/>
      </c>
      <c r="CB538" s="28" t="str">
        <f aca="false">IF(OR(AD538="Yes",AD538="No"),AD538,"")</f>
        <v/>
      </c>
      <c r="CC538" s="28" t="str">
        <f aca="false">IF(F538="","",F538)</f>
        <v/>
      </c>
      <c r="CD538" s="27"/>
      <c r="CE538" s="27"/>
    </row>
    <row r="539" customFormat="false" ht="15" hidden="false" customHeight="false" outlineLevel="0" collapsed="false">
      <c r="A539" s="27"/>
      <c r="B539" s="27"/>
      <c r="C539" s="27"/>
      <c r="D539" s="27"/>
      <c r="E539" s="27"/>
      <c r="F539" s="27"/>
      <c r="G539" s="27"/>
      <c r="H539" s="27"/>
      <c r="I539" s="27"/>
      <c r="J539" s="28" t="str">
        <f aca="false">IF(AND(N(H539)&gt;0,N(I539)&gt;0),ROUND(I539/(H539/100)^2,1),"")</f>
        <v/>
      </c>
      <c r="K539" s="27"/>
      <c r="L539" s="27"/>
      <c r="M539" s="27"/>
      <c r="N539" s="27"/>
      <c r="O539" s="27"/>
      <c r="P539" s="27"/>
      <c r="Q539" s="27"/>
      <c r="R539" s="29"/>
      <c r="S539" s="29"/>
      <c r="T539" s="27"/>
      <c r="U539" s="28" t="str">
        <f aca="false">IF(N(T539)=0,"",IF(T539&lt;12,"Under 12 months",IF(T539&lt;36,"12-35 months",IF(T539&lt;60,"36-59 months","≥60 months"))))</f>
        <v/>
      </c>
      <c r="V539" s="27"/>
      <c r="W539" s="30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9"/>
      <c r="AT539" s="30"/>
      <c r="AU539" s="30"/>
      <c r="AV539" s="30"/>
      <c r="AW539" s="27"/>
      <c r="AX539" s="27"/>
      <c r="AY539" s="29"/>
      <c r="AZ539" s="27"/>
      <c r="BA539" s="27"/>
      <c r="BB539" s="29"/>
      <c r="BC539" s="30"/>
      <c r="BD539" s="30"/>
      <c r="BE539" s="30"/>
      <c r="BF539" s="27"/>
      <c r="BG539" s="27"/>
      <c r="BH539" s="28" t="str">
        <f aca="false">IF(COUNT(BC539:BE539)=0,"",IF(MIN(BC539:BE539)&lt;=-2.5,"Yes","No"))</f>
        <v/>
      </c>
      <c r="BI539" s="27"/>
      <c r="BJ539" s="29"/>
      <c r="BK539" s="27"/>
      <c r="BL539" s="27"/>
      <c r="BM539" s="27"/>
      <c r="BN539" s="28" t="str">
        <f aca="false">IF(OR(AX539="Yes",BI539="Yes"),"Yes",IF(AND(AX539="No",BI539="No"),"No",IF(AND(AX539="",BI539=""),"","Unknown")))</f>
        <v/>
      </c>
      <c r="BO539" s="31" t="str">
        <f aca="false">IF(COUNT(AY539,BJ539)=0,"",MIN(AY539,BJ539))</f>
        <v/>
      </c>
      <c r="BP539" s="29"/>
      <c r="BQ539" s="29"/>
      <c r="BR539" s="29"/>
      <c r="BS539" s="28" t="str">
        <f aca="false">IF(AND(N(BP539)&gt;0,N(BR539)&gt;0),BR539-BP539,"")</f>
        <v/>
      </c>
      <c r="BT539" s="28" t="str">
        <f aca="false">IF(BS539="","",ROUND(BS539/365.25,2))</f>
        <v/>
      </c>
      <c r="BU539" s="28" t="str">
        <f aca="false">IF(BS539="","",IF(BS539&gt;=730.5,"Yes","No"))</f>
        <v/>
      </c>
      <c r="BV539" s="27"/>
      <c r="BW539" s="29"/>
      <c r="BX539" s="27"/>
      <c r="BY539" s="27"/>
      <c r="BZ539" s="28" t="str">
        <f aca="false">IF(N(E539)=0,"",IF(E539&lt;65,"Under 65","≥65"))</f>
        <v/>
      </c>
      <c r="CA539" s="28" t="str">
        <f aca="false">IF(OR(AC539="Yes",AC539="No"),AC539,"")</f>
        <v/>
      </c>
      <c r="CB539" s="28" t="str">
        <f aca="false">IF(OR(AD539="Yes",AD539="No"),AD539,"")</f>
        <v/>
      </c>
      <c r="CC539" s="28" t="str">
        <f aca="false">IF(F539="","",F539)</f>
        <v/>
      </c>
      <c r="CD539" s="27"/>
      <c r="CE539" s="27"/>
    </row>
    <row r="540" customFormat="false" ht="15" hidden="false" customHeight="false" outlineLevel="0" collapsed="false">
      <c r="A540" s="27"/>
      <c r="B540" s="27"/>
      <c r="C540" s="27"/>
      <c r="D540" s="27"/>
      <c r="E540" s="27"/>
      <c r="F540" s="27"/>
      <c r="G540" s="27"/>
      <c r="H540" s="27"/>
      <c r="I540" s="27"/>
      <c r="J540" s="28" t="str">
        <f aca="false">IF(AND(N(H540)&gt;0,N(I540)&gt;0),ROUND(I540/(H540/100)^2,1),"")</f>
        <v/>
      </c>
      <c r="K540" s="27"/>
      <c r="L540" s="27"/>
      <c r="M540" s="27"/>
      <c r="N540" s="27"/>
      <c r="O540" s="27"/>
      <c r="P540" s="27"/>
      <c r="Q540" s="27"/>
      <c r="R540" s="29"/>
      <c r="S540" s="29"/>
      <c r="T540" s="27"/>
      <c r="U540" s="28" t="str">
        <f aca="false">IF(N(T540)=0,"",IF(T540&lt;12,"Under 12 months",IF(T540&lt;36,"12-35 months",IF(T540&lt;60,"36-59 months","≥60 months"))))</f>
        <v/>
      </c>
      <c r="V540" s="27"/>
      <c r="W540" s="30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9"/>
      <c r="AT540" s="30"/>
      <c r="AU540" s="30"/>
      <c r="AV540" s="30"/>
      <c r="AW540" s="27"/>
      <c r="AX540" s="27"/>
      <c r="AY540" s="29"/>
      <c r="AZ540" s="27"/>
      <c r="BA540" s="27"/>
      <c r="BB540" s="29"/>
      <c r="BC540" s="30"/>
      <c r="BD540" s="30"/>
      <c r="BE540" s="30"/>
      <c r="BF540" s="27"/>
      <c r="BG540" s="27"/>
      <c r="BH540" s="28" t="str">
        <f aca="false">IF(COUNT(BC540:BE540)=0,"",IF(MIN(BC540:BE540)&lt;=-2.5,"Yes","No"))</f>
        <v/>
      </c>
      <c r="BI540" s="27"/>
      <c r="BJ540" s="29"/>
      <c r="BK540" s="27"/>
      <c r="BL540" s="27"/>
      <c r="BM540" s="27"/>
      <c r="BN540" s="28" t="str">
        <f aca="false">IF(OR(AX540="Yes",BI540="Yes"),"Yes",IF(AND(AX540="No",BI540="No"),"No",IF(AND(AX540="",BI540=""),"","Unknown")))</f>
        <v/>
      </c>
      <c r="BO540" s="31" t="str">
        <f aca="false">IF(COUNT(AY540,BJ540)=0,"",MIN(AY540,BJ540))</f>
        <v/>
      </c>
      <c r="BP540" s="29"/>
      <c r="BQ540" s="29"/>
      <c r="BR540" s="29"/>
      <c r="BS540" s="28" t="str">
        <f aca="false">IF(AND(N(BP540)&gt;0,N(BR540)&gt;0),BR540-BP540,"")</f>
        <v/>
      </c>
      <c r="BT540" s="28" t="str">
        <f aca="false">IF(BS540="","",ROUND(BS540/365.25,2))</f>
        <v/>
      </c>
      <c r="BU540" s="28" t="str">
        <f aca="false">IF(BS540="","",IF(BS540&gt;=730.5,"Yes","No"))</f>
        <v/>
      </c>
      <c r="BV540" s="27"/>
      <c r="BW540" s="29"/>
      <c r="BX540" s="27"/>
      <c r="BY540" s="27"/>
      <c r="BZ540" s="28" t="str">
        <f aca="false">IF(N(E540)=0,"",IF(E540&lt;65,"Under 65","≥65"))</f>
        <v/>
      </c>
      <c r="CA540" s="28" t="str">
        <f aca="false">IF(OR(AC540="Yes",AC540="No"),AC540,"")</f>
        <v/>
      </c>
      <c r="CB540" s="28" t="str">
        <f aca="false">IF(OR(AD540="Yes",AD540="No"),AD540,"")</f>
        <v/>
      </c>
      <c r="CC540" s="28" t="str">
        <f aca="false">IF(F540="","",F540)</f>
        <v/>
      </c>
      <c r="CD540" s="27"/>
      <c r="CE540" s="27"/>
    </row>
    <row r="541" customFormat="false" ht="15" hidden="false" customHeight="false" outlineLevel="0" collapsed="false">
      <c r="A541" s="27"/>
      <c r="B541" s="27"/>
      <c r="C541" s="27"/>
      <c r="D541" s="27"/>
      <c r="E541" s="27"/>
      <c r="F541" s="27"/>
      <c r="G541" s="27"/>
      <c r="H541" s="27"/>
      <c r="I541" s="27"/>
      <c r="J541" s="28" t="str">
        <f aca="false">IF(AND(N(H541)&gt;0,N(I541)&gt;0),ROUND(I541/(H541/100)^2,1),"")</f>
        <v/>
      </c>
      <c r="K541" s="27"/>
      <c r="L541" s="27"/>
      <c r="M541" s="27"/>
      <c r="N541" s="27"/>
      <c r="O541" s="27"/>
      <c r="P541" s="27"/>
      <c r="Q541" s="27"/>
      <c r="R541" s="29"/>
      <c r="S541" s="29"/>
      <c r="T541" s="27"/>
      <c r="U541" s="28" t="str">
        <f aca="false">IF(N(T541)=0,"",IF(T541&lt;12,"Under 12 months",IF(T541&lt;36,"12-35 months",IF(T541&lt;60,"36-59 months","≥60 months"))))</f>
        <v/>
      </c>
      <c r="V541" s="27"/>
      <c r="W541" s="30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9"/>
      <c r="AT541" s="30"/>
      <c r="AU541" s="30"/>
      <c r="AV541" s="30"/>
      <c r="AW541" s="27"/>
      <c r="AX541" s="27"/>
      <c r="AY541" s="29"/>
      <c r="AZ541" s="27"/>
      <c r="BA541" s="27"/>
      <c r="BB541" s="29"/>
      <c r="BC541" s="30"/>
      <c r="BD541" s="30"/>
      <c r="BE541" s="30"/>
      <c r="BF541" s="27"/>
      <c r="BG541" s="27"/>
      <c r="BH541" s="28" t="str">
        <f aca="false">IF(COUNT(BC541:BE541)=0,"",IF(MIN(BC541:BE541)&lt;=-2.5,"Yes","No"))</f>
        <v/>
      </c>
      <c r="BI541" s="27"/>
      <c r="BJ541" s="29"/>
      <c r="BK541" s="27"/>
      <c r="BL541" s="27"/>
      <c r="BM541" s="27"/>
      <c r="BN541" s="28" t="str">
        <f aca="false">IF(OR(AX541="Yes",BI541="Yes"),"Yes",IF(AND(AX541="No",BI541="No"),"No",IF(AND(AX541="",BI541=""),"","Unknown")))</f>
        <v/>
      </c>
      <c r="BO541" s="31" t="str">
        <f aca="false">IF(COUNT(AY541,BJ541)=0,"",MIN(AY541,BJ541))</f>
        <v/>
      </c>
      <c r="BP541" s="29"/>
      <c r="BQ541" s="29"/>
      <c r="BR541" s="29"/>
      <c r="BS541" s="28" t="str">
        <f aca="false">IF(AND(N(BP541)&gt;0,N(BR541)&gt;0),BR541-BP541,"")</f>
        <v/>
      </c>
      <c r="BT541" s="28" t="str">
        <f aca="false">IF(BS541="","",ROUND(BS541/365.25,2))</f>
        <v/>
      </c>
      <c r="BU541" s="28" t="str">
        <f aca="false">IF(BS541="","",IF(BS541&gt;=730.5,"Yes","No"))</f>
        <v/>
      </c>
      <c r="BV541" s="27"/>
      <c r="BW541" s="29"/>
      <c r="BX541" s="27"/>
      <c r="BY541" s="27"/>
      <c r="BZ541" s="28" t="str">
        <f aca="false">IF(N(E541)=0,"",IF(E541&lt;65,"Under 65","≥65"))</f>
        <v/>
      </c>
      <c r="CA541" s="28" t="str">
        <f aca="false">IF(OR(AC541="Yes",AC541="No"),AC541,"")</f>
        <v/>
      </c>
      <c r="CB541" s="28" t="str">
        <f aca="false">IF(OR(AD541="Yes",AD541="No"),AD541,"")</f>
        <v/>
      </c>
      <c r="CC541" s="28" t="str">
        <f aca="false">IF(F541="","",F541)</f>
        <v/>
      </c>
      <c r="CD541" s="27"/>
      <c r="CE541" s="27"/>
    </row>
    <row r="542" customFormat="false" ht="15" hidden="false" customHeight="false" outlineLevel="0" collapsed="false">
      <c r="A542" s="27"/>
      <c r="B542" s="27"/>
      <c r="C542" s="27"/>
      <c r="D542" s="27"/>
      <c r="E542" s="27"/>
      <c r="F542" s="27"/>
      <c r="G542" s="27"/>
      <c r="H542" s="27"/>
      <c r="I542" s="27"/>
      <c r="J542" s="28" t="str">
        <f aca="false">IF(AND(N(H542)&gt;0,N(I542)&gt;0),ROUND(I542/(H542/100)^2,1),"")</f>
        <v/>
      </c>
      <c r="K542" s="27"/>
      <c r="L542" s="27"/>
      <c r="M542" s="27"/>
      <c r="N542" s="27"/>
      <c r="O542" s="27"/>
      <c r="P542" s="27"/>
      <c r="Q542" s="27"/>
      <c r="R542" s="29"/>
      <c r="S542" s="29"/>
      <c r="T542" s="27"/>
      <c r="U542" s="28" t="str">
        <f aca="false">IF(N(T542)=0,"",IF(T542&lt;12,"Under 12 months",IF(T542&lt;36,"12-35 months",IF(T542&lt;60,"36-59 months","≥60 months"))))</f>
        <v/>
      </c>
      <c r="V542" s="27"/>
      <c r="W542" s="30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9"/>
      <c r="AT542" s="30"/>
      <c r="AU542" s="30"/>
      <c r="AV542" s="30"/>
      <c r="AW542" s="27"/>
      <c r="AX542" s="27"/>
      <c r="AY542" s="29"/>
      <c r="AZ542" s="27"/>
      <c r="BA542" s="27"/>
      <c r="BB542" s="29"/>
      <c r="BC542" s="30"/>
      <c r="BD542" s="30"/>
      <c r="BE542" s="30"/>
      <c r="BF542" s="27"/>
      <c r="BG542" s="27"/>
      <c r="BH542" s="28" t="str">
        <f aca="false">IF(COUNT(BC542:BE542)=0,"",IF(MIN(BC542:BE542)&lt;=-2.5,"Yes","No"))</f>
        <v/>
      </c>
      <c r="BI542" s="27"/>
      <c r="BJ542" s="29"/>
      <c r="BK542" s="27"/>
      <c r="BL542" s="27"/>
      <c r="BM542" s="27"/>
      <c r="BN542" s="28" t="str">
        <f aca="false">IF(OR(AX542="Yes",BI542="Yes"),"Yes",IF(AND(AX542="No",BI542="No"),"No",IF(AND(AX542="",BI542=""),"","Unknown")))</f>
        <v/>
      </c>
      <c r="BO542" s="31" t="str">
        <f aca="false">IF(COUNT(AY542,BJ542)=0,"",MIN(AY542,BJ542))</f>
        <v/>
      </c>
      <c r="BP542" s="29"/>
      <c r="BQ542" s="29"/>
      <c r="BR542" s="29"/>
      <c r="BS542" s="28" t="str">
        <f aca="false">IF(AND(N(BP542)&gt;0,N(BR542)&gt;0),BR542-BP542,"")</f>
        <v/>
      </c>
      <c r="BT542" s="28" t="str">
        <f aca="false">IF(BS542="","",ROUND(BS542/365.25,2))</f>
        <v/>
      </c>
      <c r="BU542" s="28" t="str">
        <f aca="false">IF(BS542="","",IF(BS542&gt;=730.5,"Yes","No"))</f>
        <v/>
      </c>
      <c r="BV542" s="27"/>
      <c r="BW542" s="29"/>
      <c r="BX542" s="27"/>
      <c r="BY542" s="27"/>
      <c r="BZ542" s="28" t="str">
        <f aca="false">IF(N(E542)=0,"",IF(E542&lt;65,"Under 65","≥65"))</f>
        <v/>
      </c>
      <c r="CA542" s="28" t="str">
        <f aca="false">IF(OR(AC542="Yes",AC542="No"),AC542,"")</f>
        <v/>
      </c>
      <c r="CB542" s="28" t="str">
        <f aca="false">IF(OR(AD542="Yes",AD542="No"),AD542,"")</f>
        <v/>
      </c>
      <c r="CC542" s="28" t="str">
        <f aca="false">IF(F542="","",F542)</f>
        <v/>
      </c>
      <c r="CD542" s="27"/>
      <c r="CE542" s="27"/>
    </row>
    <row r="543" customFormat="false" ht="15" hidden="false" customHeight="false" outlineLevel="0" collapsed="false">
      <c r="A543" s="27"/>
      <c r="B543" s="27"/>
      <c r="C543" s="27"/>
      <c r="D543" s="27"/>
      <c r="E543" s="27"/>
      <c r="F543" s="27"/>
      <c r="G543" s="27"/>
      <c r="H543" s="27"/>
      <c r="I543" s="27"/>
      <c r="J543" s="28" t="str">
        <f aca="false">IF(AND(N(H543)&gt;0,N(I543)&gt;0),ROUND(I543/(H543/100)^2,1),"")</f>
        <v/>
      </c>
      <c r="K543" s="27"/>
      <c r="L543" s="27"/>
      <c r="M543" s="27"/>
      <c r="N543" s="27"/>
      <c r="O543" s="27"/>
      <c r="P543" s="27"/>
      <c r="Q543" s="27"/>
      <c r="R543" s="29"/>
      <c r="S543" s="29"/>
      <c r="T543" s="27"/>
      <c r="U543" s="28" t="str">
        <f aca="false">IF(N(T543)=0,"",IF(T543&lt;12,"Under 12 months",IF(T543&lt;36,"12-35 months",IF(T543&lt;60,"36-59 months","≥60 months"))))</f>
        <v/>
      </c>
      <c r="V543" s="27"/>
      <c r="W543" s="30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9"/>
      <c r="AT543" s="30"/>
      <c r="AU543" s="30"/>
      <c r="AV543" s="30"/>
      <c r="AW543" s="27"/>
      <c r="AX543" s="27"/>
      <c r="AY543" s="29"/>
      <c r="AZ543" s="27"/>
      <c r="BA543" s="27"/>
      <c r="BB543" s="29"/>
      <c r="BC543" s="30"/>
      <c r="BD543" s="30"/>
      <c r="BE543" s="30"/>
      <c r="BF543" s="27"/>
      <c r="BG543" s="27"/>
      <c r="BH543" s="28" t="str">
        <f aca="false">IF(COUNT(BC543:BE543)=0,"",IF(MIN(BC543:BE543)&lt;=-2.5,"Yes","No"))</f>
        <v/>
      </c>
      <c r="BI543" s="27"/>
      <c r="BJ543" s="29"/>
      <c r="BK543" s="27"/>
      <c r="BL543" s="27"/>
      <c r="BM543" s="27"/>
      <c r="BN543" s="28" t="str">
        <f aca="false">IF(OR(AX543="Yes",BI543="Yes"),"Yes",IF(AND(AX543="No",BI543="No"),"No",IF(AND(AX543="",BI543=""),"","Unknown")))</f>
        <v/>
      </c>
      <c r="BO543" s="31" t="str">
        <f aca="false">IF(COUNT(AY543,BJ543)=0,"",MIN(AY543,BJ543))</f>
        <v/>
      </c>
      <c r="BP543" s="29"/>
      <c r="BQ543" s="29"/>
      <c r="BR543" s="29"/>
      <c r="BS543" s="28" t="str">
        <f aca="false">IF(AND(N(BP543)&gt;0,N(BR543)&gt;0),BR543-BP543,"")</f>
        <v/>
      </c>
      <c r="BT543" s="28" t="str">
        <f aca="false">IF(BS543="","",ROUND(BS543/365.25,2))</f>
        <v/>
      </c>
      <c r="BU543" s="28" t="str">
        <f aca="false">IF(BS543="","",IF(BS543&gt;=730.5,"Yes","No"))</f>
        <v/>
      </c>
      <c r="BV543" s="27"/>
      <c r="BW543" s="29"/>
      <c r="BX543" s="27"/>
      <c r="BY543" s="27"/>
      <c r="BZ543" s="28" t="str">
        <f aca="false">IF(N(E543)=0,"",IF(E543&lt;65,"Under 65","≥65"))</f>
        <v/>
      </c>
      <c r="CA543" s="28" t="str">
        <f aca="false">IF(OR(AC543="Yes",AC543="No"),AC543,"")</f>
        <v/>
      </c>
      <c r="CB543" s="28" t="str">
        <f aca="false">IF(OR(AD543="Yes",AD543="No"),AD543,"")</f>
        <v/>
      </c>
      <c r="CC543" s="28" t="str">
        <f aca="false">IF(F543="","",F543)</f>
        <v/>
      </c>
      <c r="CD543" s="27"/>
      <c r="CE543" s="27"/>
    </row>
    <row r="544" customFormat="false" ht="15" hidden="false" customHeight="false" outlineLevel="0" collapsed="false">
      <c r="A544" s="27"/>
      <c r="B544" s="27"/>
      <c r="C544" s="27"/>
      <c r="D544" s="27"/>
      <c r="E544" s="27"/>
      <c r="F544" s="27"/>
      <c r="G544" s="27"/>
      <c r="H544" s="27"/>
      <c r="I544" s="27"/>
      <c r="J544" s="28" t="str">
        <f aca="false">IF(AND(N(H544)&gt;0,N(I544)&gt;0),ROUND(I544/(H544/100)^2,1),"")</f>
        <v/>
      </c>
      <c r="K544" s="27"/>
      <c r="L544" s="27"/>
      <c r="M544" s="27"/>
      <c r="N544" s="27"/>
      <c r="O544" s="27"/>
      <c r="P544" s="27"/>
      <c r="Q544" s="27"/>
      <c r="R544" s="29"/>
      <c r="S544" s="29"/>
      <c r="T544" s="27"/>
      <c r="U544" s="28" t="str">
        <f aca="false">IF(N(T544)=0,"",IF(T544&lt;12,"Under 12 months",IF(T544&lt;36,"12-35 months",IF(T544&lt;60,"36-59 months","≥60 months"))))</f>
        <v/>
      </c>
      <c r="V544" s="27"/>
      <c r="W544" s="30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9"/>
      <c r="AT544" s="30"/>
      <c r="AU544" s="30"/>
      <c r="AV544" s="30"/>
      <c r="AW544" s="27"/>
      <c r="AX544" s="27"/>
      <c r="AY544" s="29"/>
      <c r="AZ544" s="27"/>
      <c r="BA544" s="27"/>
      <c r="BB544" s="29"/>
      <c r="BC544" s="30"/>
      <c r="BD544" s="30"/>
      <c r="BE544" s="30"/>
      <c r="BF544" s="27"/>
      <c r="BG544" s="27"/>
      <c r="BH544" s="28" t="str">
        <f aca="false">IF(COUNT(BC544:BE544)=0,"",IF(MIN(BC544:BE544)&lt;=-2.5,"Yes","No"))</f>
        <v/>
      </c>
      <c r="BI544" s="27"/>
      <c r="BJ544" s="29"/>
      <c r="BK544" s="27"/>
      <c r="BL544" s="27"/>
      <c r="BM544" s="27"/>
      <c r="BN544" s="28" t="str">
        <f aca="false">IF(OR(AX544="Yes",BI544="Yes"),"Yes",IF(AND(AX544="No",BI544="No"),"No",IF(AND(AX544="",BI544=""),"","Unknown")))</f>
        <v/>
      </c>
      <c r="BO544" s="31" t="str">
        <f aca="false">IF(COUNT(AY544,BJ544)=0,"",MIN(AY544,BJ544))</f>
        <v/>
      </c>
      <c r="BP544" s="29"/>
      <c r="BQ544" s="29"/>
      <c r="BR544" s="29"/>
      <c r="BS544" s="28" t="str">
        <f aca="false">IF(AND(N(BP544)&gt;0,N(BR544)&gt;0),BR544-BP544,"")</f>
        <v/>
      </c>
      <c r="BT544" s="28" t="str">
        <f aca="false">IF(BS544="","",ROUND(BS544/365.25,2))</f>
        <v/>
      </c>
      <c r="BU544" s="28" t="str">
        <f aca="false">IF(BS544="","",IF(BS544&gt;=730.5,"Yes","No"))</f>
        <v/>
      </c>
      <c r="BV544" s="27"/>
      <c r="BW544" s="29"/>
      <c r="BX544" s="27"/>
      <c r="BY544" s="27"/>
      <c r="BZ544" s="28" t="str">
        <f aca="false">IF(N(E544)=0,"",IF(E544&lt;65,"Under 65","≥65"))</f>
        <v/>
      </c>
      <c r="CA544" s="28" t="str">
        <f aca="false">IF(OR(AC544="Yes",AC544="No"),AC544,"")</f>
        <v/>
      </c>
      <c r="CB544" s="28" t="str">
        <f aca="false">IF(OR(AD544="Yes",AD544="No"),AD544,"")</f>
        <v/>
      </c>
      <c r="CC544" s="28" t="str">
        <f aca="false">IF(F544="","",F544)</f>
        <v/>
      </c>
      <c r="CD544" s="27"/>
      <c r="CE544" s="27"/>
    </row>
    <row r="545" customFormat="false" ht="15" hidden="false" customHeight="false" outlineLevel="0" collapsed="false">
      <c r="A545" s="27"/>
      <c r="B545" s="27"/>
      <c r="C545" s="27"/>
      <c r="D545" s="27"/>
      <c r="E545" s="27"/>
      <c r="F545" s="27"/>
      <c r="G545" s="27"/>
      <c r="H545" s="27"/>
      <c r="I545" s="27"/>
      <c r="J545" s="28" t="str">
        <f aca="false">IF(AND(N(H545)&gt;0,N(I545)&gt;0),ROUND(I545/(H545/100)^2,1),"")</f>
        <v/>
      </c>
      <c r="K545" s="27"/>
      <c r="L545" s="27"/>
      <c r="M545" s="27"/>
      <c r="N545" s="27"/>
      <c r="O545" s="27"/>
      <c r="P545" s="27"/>
      <c r="Q545" s="27"/>
      <c r="R545" s="29"/>
      <c r="S545" s="29"/>
      <c r="T545" s="27"/>
      <c r="U545" s="28" t="str">
        <f aca="false">IF(N(T545)=0,"",IF(T545&lt;12,"Under 12 months",IF(T545&lt;36,"12-35 months",IF(T545&lt;60,"36-59 months","≥60 months"))))</f>
        <v/>
      </c>
      <c r="V545" s="27"/>
      <c r="W545" s="30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9"/>
      <c r="AT545" s="30"/>
      <c r="AU545" s="30"/>
      <c r="AV545" s="30"/>
      <c r="AW545" s="27"/>
      <c r="AX545" s="27"/>
      <c r="AY545" s="29"/>
      <c r="AZ545" s="27"/>
      <c r="BA545" s="27"/>
      <c r="BB545" s="29"/>
      <c r="BC545" s="30"/>
      <c r="BD545" s="30"/>
      <c r="BE545" s="30"/>
      <c r="BF545" s="27"/>
      <c r="BG545" s="27"/>
      <c r="BH545" s="28" t="str">
        <f aca="false">IF(COUNT(BC545:BE545)=0,"",IF(MIN(BC545:BE545)&lt;=-2.5,"Yes","No"))</f>
        <v/>
      </c>
      <c r="BI545" s="27"/>
      <c r="BJ545" s="29"/>
      <c r="BK545" s="27"/>
      <c r="BL545" s="27"/>
      <c r="BM545" s="27"/>
      <c r="BN545" s="28" t="str">
        <f aca="false">IF(OR(AX545="Yes",BI545="Yes"),"Yes",IF(AND(AX545="No",BI545="No"),"No",IF(AND(AX545="",BI545=""),"","Unknown")))</f>
        <v/>
      </c>
      <c r="BO545" s="31" t="str">
        <f aca="false">IF(COUNT(AY545,BJ545)=0,"",MIN(AY545,BJ545))</f>
        <v/>
      </c>
      <c r="BP545" s="29"/>
      <c r="BQ545" s="29"/>
      <c r="BR545" s="29"/>
      <c r="BS545" s="28" t="str">
        <f aca="false">IF(AND(N(BP545)&gt;0,N(BR545)&gt;0),BR545-BP545,"")</f>
        <v/>
      </c>
      <c r="BT545" s="28" t="str">
        <f aca="false">IF(BS545="","",ROUND(BS545/365.25,2))</f>
        <v/>
      </c>
      <c r="BU545" s="28" t="str">
        <f aca="false">IF(BS545="","",IF(BS545&gt;=730.5,"Yes","No"))</f>
        <v/>
      </c>
      <c r="BV545" s="27"/>
      <c r="BW545" s="29"/>
      <c r="BX545" s="27"/>
      <c r="BY545" s="27"/>
      <c r="BZ545" s="28" t="str">
        <f aca="false">IF(N(E545)=0,"",IF(E545&lt;65,"Under 65","≥65"))</f>
        <v/>
      </c>
      <c r="CA545" s="28" t="str">
        <f aca="false">IF(OR(AC545="Yes",AC545="No"),AC545,"")</f>
        <v/>
      </c>
      <c r="CB545" s="28" t="str">
        <f aca="false">IF(OR(AD545="Yes",AD545="No"),AD545,"")</f>
        <v/>
      </c>
      <c r="CC545" s="28" t="str">
        <f aca="false">IF(F545="","",F545)</f>
        <v/>
      </c>
      <c r="CD545" s="27"/>
      <c r="CE545" s="27"/>
    </row>
    <row r="546" customFormat="false" ht="15" hidden="false" customHeight="false" outlineLevel="0" collapsed="false">
      <c r="A546" s="27"/>
      <c r="B546" s="27"/>
      <c r="C546" s="27"/>
      <c r="D546" s="27"/>
      <c r="E546" s="27"/>
      <c r="F546" s="27"/>
      <c r="G546" s="27"/>
      <c r="H546" s="27"/>
      <c r="I546" s="27"/>
      <c r="J546" s="28" t="str">
        <f aca="false">IF(AND(N(H546)&gt;0,N(I546)&gt;0),ROUND(I546/(H546/100)^2,1),"")</f>
        <v/>
      </c>
      <c r="K546" s="27"/>
      <c r="L546" s="27"/>
      <c r="M546" s="27"/>
      <c r="N546" s="27"/>
      <c r="O546" s="27"/>
      <c r="P546" s="27"/>
      <c r="Q546" s="27"/>
      <c r="R546" s="29"/>
      <c r="S546" s="29"/>
      <c r="T546" s="27"/>
      <c r="U546" s="28" t="str">
        <f aca="false">IF(N(T546)=0,"",IF(T546&lt;12,"Under 12 months",IF(T546&lt;36,"12-35 months",IF(T546&lt;60,"36-59 months","≥60 months"))))</f>
        <v/>
      </c>
      <c r="V546" s="27"/>
      <c r="W546" s="30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9"/>
      <c r="AT546" s="30"/>
      <c r="AU546" s="30"/>
      <c r="AV546" s="30"/>
      <c r="AW546" s="27"/>
      <c r="AX546" s="27"/>
      <c r="AY546" s="29"/>
      <c r="AZ546" s="27"/>
      <c r="BA546" s="27"/>
      <c r="BB546" s="29"/>
      <c r="BC546" s="30"/>
      <c r="BD546" s="30"/>
      <c r="BE546" s="30"/>
      <c r="BF546" s="27"/>
      <c r="BG546" s="27"/>
      <c r="BH546" s="28" t="str">
        <f aca="false">IF(COUNT(BC546:BE546)=0,"",IF(MIN(BC546:BE546)&lt;=-2.5,"Yes","No"))</f>
        <v/>
      </c>
      <c r="BI546" s="27"/>
      <c r="BJ546" s="29"/>
      <c r="BK546" s="27"/>
      <c r="BL546" s="27"/>
      <c r="BM546" s="27"/>
      <c r="BN546" s="28" t="str">
        <f aca="false">IF(OR(AX546="Yes",BI546="Yes"),"Yes",IF(AND(AX546="No",BI546="No"),"No",IF(AND(AX546="",BI546=""),"","Unknown")))</f>
        <v/>
      </c>
      <c r="BO546" s="31" t="str">
        <f aca="false">IF(COUNT(AY546,BJ546)=0,"",MIN(AY546,BJ546))</f>
        <v/>
      </c>
      <c r="BP546" s="29"/>
      <c r="BQ546" s="29"/>
      <c r="BR546" s="29"/>
      <c r="BS546" s="28" t="str">
        <f aca="false">IF(AND(N(BP546)&gt;0,N(BR546)&gt;0),BR546-BP546,"")</f>
        <v/>
      </c>
      <c r="BT546" s="28" t="str">
        <f aca="false">IF(BS546="","",ROUND(BS546/365.25,2))</f>
        <v/>
      </c>
      <c r="BU546" s="28" t="str">
        <f aca="false">IF(BS546="","",IF(BS546&gt;=730.5,"Yes","No"))</f>
        <v/>
      </c>
      <c r="BV546" s="27"/>
      <c r="BW546" s="29"/>
      <c r="BX546" s="27"/>
      <c r="BY546" s="27"/>
      <c r="BZ546" s="28" t="str">
        <f aca="false">IF(N(E546)=0,"",IF(E546&lt;65,"Under 65","≥65"))</f>
        <v/>
      </c>
      <c r="CA546" s="28" t="str">
        <f aca="false">IF(OR(AC546="Yes",AC546="No"),AC546,"")</f>
        <v/>
      </c>
      <c r="CB546" s="28" t="str">
        <f aca="false">IF(OR(AD546="Yes",AD546="No"),AD546,"")</f>
        <v/>
      </c>
      <c r="CC546" s="28" t="str">
        <f aca="false">IF(F546="","",F546)</f>
        <v/>
      </c>
      <c r="CD546" s="27"/>
      <c r="CE546" s="27"/>
    </row>
    <row r="547" customFormat="false" ht="15" hidden="false" customHeight="false" outlineLevel="0" collapsed="false">
      <c r="A547" s="27"/>
      <c r="B547" s="27"/>
      <c r="C547" s="27"/>
      <c r="D547" s="27"/>
      <c r="E547" s="27"/>
      <c r="F547" s="27"/>
      <c r="G547" s="27"/>
      <c r="H547" s="27"/>
      <c r="I547" s="27"/>
      <c r="J547" s="28" t="str">
        <f aca="false">IF(AND(N(H547)&gt;0,N(I547)&gt;0),ROUND(I547/(H547/100)^2,1),"")</f>
        <v/>
      </c>
      <c r="K547" s="27"/>
      <c r="L547" s="27"/>
      <c r="M547" s="27"/>
      <c r="N547" s="27"/>
      <c r="O547" s="27"/>
      <c r="P547" s="27"/>
      <c r="Q547" s="27"/>
      <c r="R547" s="29"/>
      <c r="S547" s="29"/>
      <c r="T547" s="27"/>
      <c r="U547" s="28" t="str">
        <f aca="false">IF(N(T547)=0,"",IF(T547&lt;12,"Under 12 months",IF(T547&lt;36,"12-35 months",IF(T547&lt;60,"36-59 months","≥60 months"))))</f>
        <v/>
      </c>
      <c r="V547" s="27"/>
      <c r="W547" s="30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9"/>
      <c r="AT547" s="30"/>
      <c r="AU547" s="30"/>
      <c r="AV547" s="30"/>
      <c r="AW547" s="27"/>
      <c r="AX547" s="27"/>
      <c r="AY547" s="29"/>
      <c r="AZ547" s="27"/>
      <c r="BA547" s="27"/>
      <c r="BB547" s="29"/>
      <c r="BC547" s="30"/>
      <c r="BD547" s="30"/>
      <c r="BE547" s="30"/>
      <c r="BF547" s="27"/>
      <c r="BG547" s="27"/>
      <c r="BH547" s="28" t="str">
        <f aca="false">IF(COUNT(BC547:BE547)=0,"",IF(MIN(BC547:BE547)&lt;=-2.5,"Yes","No"))</f>
        <v/>
      </c>
      <c r="BI547" s="27"/>
      <c r="BJ547" s="29"/>
      <c r="BK547" s="27"/>
      <c r="BL547" s="27"/>
      <c r="BM547" s="27"/>
      <c r="BN547" s="28" t="str">
        <f aca="false">IF(OR(AX547="Yes",BI547="Yes"),"Yes",IF(AND(AX547="No",BI547="No"),"No",IF(AND(AX547="",BI547=""),"","Unknown")))</f>
        <v/>
      </c>
      <c r="BO547" s="31" t="str">
        <f aca="false">IF(COUNT(AY547,BJ547)=0,"",MIN(AY547,BJ547))</f>
        <v/>
      </c>
      <c r="BP547" s="29"/>
      <c r="BQ547" s="29"/>
      <c r="BR547" s="29"/>
      <c r="BS547" s="28" t="str">
        <f aca="false">IF(AND(N(BP547)&gt;0,N(BR547)&gt;0),BR547-BP547,"")</f>
        <v/>
      </c>
      <c r="BT547" s="28" t="str">
        <f aca="false">IF(BS547="","",ROUND(BS547/365.25,2))</f>
        <v/>
      </c>
      <c r="BU547" s="28" t="str">
        <f aca="false">IF(BS547="","",IF(BS547&gt;=730.5,"Yes","No"))</f>
        <v/>
      </c>
      <c r="BV547" s="27"/>
      <c r="BW547" s="29"/>
      <c r="BX547" s="27"/>
      <c r="BY547" s="27"/>
      <c r="BZ547" s="28" t="str">
        <f aca="false">IF(N(E547)=0,"",IF(E547&lt;65,"Under 65","≥65"))</f>
        <v/>
      </c>
      <c r="CA547" s="28" t="str">
        <f aca="false">IF(OR(AC547="Yes",AC547="No"),AC547,"")</f>
        <v/>
      </c>
      <c r="CB547" s="28" t="str">
        <f aca="false">IF(OR(AD547="Yes",AD547="No"),AD547,"")</f>
        <v/>
      </c>
      <c r="CC547" s="28" t="str">
        <f aca="false">IF(F547="","",F547)</f>
        <v/>
      </c>
      <c r="CD547" s="27"/>
      <c r="CE547" s="27"/>
    </row>
    <row r="548" customFormat="false" ht="15" hidden="false" customHeight="false" outlineLevel="0" collapsed="false">
      <c r="A548" s="27"/>
      <c r="B548" s="27"/>
      <c r="C548" s="27"/>
      <c r="D548" s="27"/>
      <c r="E548" s="27"/>
      <c r="F548" s="27"/>
      <c r="G548" s="27"/>
      <c r="H548" s="27"/>
      <c r="I548" s="27"/>
      <c r="J548" s="28" t="str">
        <f aca="false">IF(AND(N(H548)&gt;0,N(I548)&gt;0),ROUND(I548/(H548/100)^2,1),"")</f>
        <v/>
      </c>
      <c r="K548" s="27"/>
      <c r="L548" s="27"/>
      <c r="M548" s="27"/>
      <c r="N548" s="27"/>
      <c r="O548" s="27"/>
      <c r="P548" s="27"/>
      <c r="Q548" s="27"/>
      <c r="R548" s="29"/>
      <c r="S548" s="29"/>
      <c r="T548" s="27"/>
      <c r="U548" s="28" t="str">
        <f aca="false">IF(N(T548)=0,"",IF(T548&lt;12,"Under 12 months",IF(T548&lt;36,"12-35 months",IF(T548&lt;60,"36-59 months","≥60 months"))))</f>
        <v/>
      </c>
      <c r="V548" s="27"/>
      <c r="W548" s="30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9"/>
      <c r="AT548" s="30"/>
      <c r="AU548" s="30"/>
      <c r="AV548" s="30"/>
      <c r="AW548" s="27"/>
      <c r="AX548" s="27"/>
      <c r="AY548" s="29"/>
      <c r="AZ548" s="27"/>
      <c r="BA548" s="27"/>
      <c r="BB548" s="29"/>
      <c r="BC548" s="30"/>
      <c r="BD548" s="30"/>
      <c r="BE548" s="30"/>
      <c r="BF548" s="27"/>
      <c r="BG548" s="27"/>
      <c r="BH548" s="28" t="str">
        <f aca="false">IF(COUNT(BC548:BE548)=0,"",IF(MIN(BC548:BE548)&lt;=-2.5,"Yes","No"))</f>
        <v/>
      </c>
      <c r="BI548" s="27"/>
      <c r="BJ548" s="29"/>
      <c r="BK548" s="27"/>
      <c r="BL548" s="27"/>
      <c r="BM548" s="27"/>
      <c r="BN548" s="28" t="str">
        <f aca="false">IF(OR(AX548="Yes",BI548="Yes"),"Yes",IF(AND(AX548="No",BI548="No"),"No",IF(AND(AX548="",BI548=""),"","Unknown")))</f>
        <v/>
      </c>
      <c r="BO548" s="31" t="str">
        <f aca="false">IF(COUNT(AY548,BJ548)=0,"",MIN(AY548,BJ548))</f>
        <v/>
      </c>
      <c r="BP548" s="29"/>
      <c r="BQ548" s="29"/>
      <c r="BR548" s="29"/>
      <c r="BS548" s="28" t="str">
        <f aca="false">IF(AND(N(BP548)&gt;0,N(BR548)&gt;0),BR548-BP548,"")</f>
        <v/>
      </c>
      <c r="BT548" s="28" t="str">
        <f aca="false">IF(BS548="","",ROUND(BS548/365.25,2))</f>
        <v/>
      </c>
      <c r="BU548" s="28" t="str">
        <f aca="false">IF(BS548="","",IF(BS548&gt;=730.5,"Yes","No"))</f>
        <v/>
      </c>
      <c r="BV548" s="27"/>
      <c r="BW548" s="29"/>
      <c r="BX548" s="27"/>
      <c r="BY548" s="27"/>
      <c r="BZ548" s="28" t="str">
        <f aca="false">IF(N(E548)=0,"",IF(E548&lt;65,"Under 65","≥65"))</f>
        <v/>
      </c>
      <c r="CA548" s="28" t="str">
        <f aca="false">IF(OR(AC548="Yes",AC548="No"),AC548,"")</f>
        <v/>
      </c>
      <c r="CB548" s="28" t="str">
        <f aca="false">IF(OR(AD548="Yes",AD548="No"),AD548,"")</f>
        <v/>
      </c>
      <c r="CC548" s="28" t="str">
        <f aca="false">IF(F548="","",F548)</f>
        <v/>
      </c>
      <c r="CD548" s="27"/>
      <c r="CE548" s="27"/>
    </row>
    <row r="549" customFormat="false" ht="15" hidden="false" customHeight="false" outlineLevel="0" collapsed="false">
      <c r="A549" s="27"/>
      <c r="B549" s="27"/>
      <c r="C549" s="27"/>
      <c r="D549" s="27"/>
      <c r="E549" s="27"/>
      <c r="F549" s="27"/>
      <c r="G549" s="27"/>
      <c r="H549" s="27"/>
      <c r="I549" s="27"/>
      <c r="J549" s="28" t="str">
        <f aca="false">IF(AND(N(H549)&gt;0,N(I549)&gt;0),ROUND(I549/(H549/100)^2,1),"")</f>
        <v/>
      </c>
      <c r="K549" s="27"/>
      <c r="L549" s="27"/>
      <c r="M549" s="27"/>
      <c r="N549" s="27"/>
      <c r="O549" s="27"/>
      <c r="P549" s="27"/>
      <c r="Q549" s="27"/>
      <c r="R549" s="29"/>
      <c r="S549" s="29"/>
      <c r="T549" s="27"/>
      <c r="U549" s="28" t="str">
        <f aca="false">IF(N(T549)=0,"",IF(T549&lt;12,"Under 12 months",IF(T549&lt;36,"12-35 months",IF(T549&lt;60,"36-59 months","≥60 months"))))</f>
        <v/>
      </c>
      <c r="V549" s="27"/>
      <c r="W549" s="30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9"/>
      <c r="AT549" s="30"/>
      <c r="AU549" s="30"/>
      <c r="AV549" s="30"/>
      <c r="AW549" s="27"/>
      <c r="AX549" s="27"/>
      <c r="AY549" s="29"/>
      <c r="AZ549" s="27"/>
      <c r="BA549" s="27"/>
      <c r="BB549" s="29"/>
      <c r="BC549" s="30"/>
      <c r="BD549" s="30"/>
      <c r="BE549" s="30"/>
      <c r="BF549" s="27"/>
      <c r="BG549" s="27"/>
      <c r="BH549" s="28" t="str">
        <f aca="false">IF(COUNT(BC549:BE549)=0,"",IF(MIN(BC549:BE549)&lt;=-2.5,"Yes","No"))</f>
        <v/>
      </c>
      <c r="BI549" s="27"/>
      <c r="BJ549" s="29"/>
      <c r="BK549" s="27"/>
      <c r="BL549" s="27"/>
      <c r="BM549" s="27"/>
      <c r="BN549" s="28" t="str">
        <f aca="false">IF(OR(AX549="Yes",BI549="Yes"),"Yes",IF(AND(AX549="No",BI549="No"),"No",IF(AND(AX549="",BI549=""),"","Unknown")))</f>
        <v/>
      </c>
      <c r="BO549" s="31" t="str">
        <f aca="false">IF(COUNT(AY549,BJ549)=0,"",MIN(AY549,BJ549))</f>
        <v/>
      </c>
      <c r="BP549" s="29"/>
      <c r="BQ549" s="29"/>
      <c r="BR549" s="29"/>
      <c r="BS549" s="28" t="str">
        <f aca="false">IF(AND(N(BP549)&gt;0,N(BR549)&gt;0),BR549-BP549,"")</f>
        <v/>
      </c>
      <c r="BT549" s="28" t="str">
        <f aca="false">IF(BS549="","",ROUND(BS549/365.25,2))</f>
        <v/>
      </c>
      <c r="BU549" s="28" t="str">
        <f aca="false">IF(BS549="","",IF(BS549&gt;=730.5,"Yes","No"))</f>
        <v/>
      </c>
      <c r="BV549" s="27"/>
      <c r="BW549" s="29"/>
      <c r="BX549" s="27"/>
      <c r="BY549" s="27"/>
      <c r="BZ549" s="28" t="str">
        <f aca="false">IF(N(E549)=0,"",IF(E549&lt;65,"Under 65","≥65"))</f>
        <v/>
      </c>
      <c r="CA549" s="28" t="str">
        <f aca="false">IF(OR(AC549="Yes",AC549="No"),AC549,"")</f>
        <v/>
      </c>
      <c r="CB549" s="28" t="str">
        <f aca="false">IF(OR(AD549="Yes",AD549="No"),AD549,"")</f>
        <v/>
      </c>
      <c r="CC549" s="28" t="str">
        <f aca="false">IF(F549="","",F549)</f>
        <v/>
      </c>
      <c r="CD549" s="27"/>
      <c r="CE549" s="27"/>
    </row>
    <row r="550" customFormat="false" ht="15" hidden="false" customHeight="false" outlineLevel="0" collapsed="false">
      <c r="A550" s="27"/>
      <c r="B550" s="27"/>
      <c r="C550" s="27"/>
      <c r="D550" s="27"/>
      <c r="E550" s="27"/>
      <c r="F550" s="27"/>
      <c r="G550" s="27"/>
      <c r="H550" s="27"/>
      <c r="I550" s="27"/>
      <c r="J550" s="28" t="str">
        <f aca="false">IF(AND(N(H550)&gt;0,N(I550)&gt;0),ROUND(I550/(H550/100)^2,1),"")</f>
        <v/>
      </c>
      <c r="K550" s="27"/>
      <c r="L550" s="27"/>
      <c r="M550" s="27"/>
      <c r="N550" s="27"/>
      <c r="O550" s="27"/>
      <c r="P550" s="27"/>
      <c r="Q550" s="27"/>
      <c r="R550" s="29"/>
      <c r="S550" s="29"/>
      <c r="T550" s="27"/>
      <c r="U550" s="28" t="str">
        <f aca="false">IF(N(T550)=0,"",IF(T550&lt;12,"Under 12 months",IF(T550&lt;36,"12-35 months",IF(T550&lt;60,"36-59 months","≥60 months"))))</f>
        <v/>
      </c>
      <c r="V550" s="27"/>
      <c r="W550" s="30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9"/>
      <c r="AT550" s="30"/>
      <c r="AU550" s="30"/>
      <c r="AV550" s="30"/>
      <c r="AW550" s="27"/>
      <c r="AX550" s="27"/>
      <c r="AY550" s="29"/>
      <c r="AZ550" s="27"/>
      <c r="BA550" s="27"/>
      <c r="BB550" s="29"/>
      <c r="BC550" s="30"/>
      <c r="BD550" s="30"/>
      <c r="BE550" s="30"/>
      <c r="BF550" s="27"/>
      <c r="BG550" s="27"/>
      <c r="BH550" s="28" t="str">
        <f aca="false">IF(COUNT(BC550:BE550)=0,"",IF(MIN(BC550:BE550)&lt;=-2.5,"Yes","No"))</f>
        <v/>
      </c>
      <c r="BI550" s="27"/>
      <c r="BJ550" s="29"/>
      <c r="BK550" s="27"/>
      <c r="BL550" s="27"/>
      <c r="BM550" s="27"/>
      <c r="BN550" s="28" t="str">
        <f aca="false">IF(OR(AX550="Yes",BI550="Yes"),"Yes",IF(AND(AX550="No",BI550="No"),"No",IF(AND(AX550="",BI550=""),"","Unknown")))</f>
        <v/>
      </c>
      <c r="BO550" s="31" t="str">
        <f aca="false">IF(COUNT(AY550,BJ550)=0,"",MIN(AY550,BJ550))</f>
        <v/>
      </c>
      <c r="BP550" s="29"/>
      <c r="BQ550" s="29"/>
      <c r="BR550" s="29"/>
      <c r="BS550" s="28" t="str">
        <f aca="false">IF(AND(N(BP550)&gt;0,N(BR550)&gt;0),BR550-BP550,"")</f>
        <v/>
      </c>
      <c r="BT550" s="28" t="str">
        <f aca="false">IF(BS550="","",ROUND(BS550/365.25,2))</f>
        <v/>
      </c>
      <c r="BU550" s="28" t="str">
        <f aca="false">IF(BS550="","",IF(BS550&gt;=730.5,"Yes","No"))</f>
        <v/>
      </c>
      <c r="BV550" s="27"/>
      <c r="BW550" s="29"/>
      <c r="BX550" s="27"/>
      <c r="BY550" s="27"/>
      <c r="BZ550" s="28" t="str">
        <f aca="false">IF(N(E550)=0,"",IF(E550&lt;65,"Under 65","≥65"))</f>
        <v/>
      </c>
      <c r="CA550" s="28" t="str">
        <f aca="false">IF(OR(AC550="Yes",AC550="No"),AC550,"")</f>
        <v/>
      </c>
      <c r="CB550" s="28" t="str">
        <f aca="false">IF(OR(AD550="Yes",AD550="No"),AD550,"")</f>
        <v/>
      </c>
      <c r="CC550" s="28" t="str">
        <f aca="false">IF(F550="","",F550)</f>
        <v/>
      </c>
      <c r="CD550" s="27"/>
      <c r="CE550" s="27"/>
    </row>
    <row r="551" customFormat="false" ht="15" hidden="false" customHeight="false" outlineLevel="0" collapsed="false">
      <c r="A551" s="27"/>
      <c r="B551" s="27"/>
      <c r="C551" s="27"/>
      <c r="D551" s="27"/>
      <c r="E551" s="27"/>
      <c r="F551" s="27"/>
      <c r="G551" s="27"/>
      <c r="H551" s="27"/>
      <c r="I551" s="27"/>
      <c r="J551" s="28" t="str">
        <f aca="false">IF(AND(N(H551)&gt;0,N(I551)&gt;0),ROUND(I551/(H551/100)^2,1),"")</f>
        <v/>
      </c>
      <c r="K551" s="27"/>
      <c r="L551" s="27"/>
      <c r="M551" s="27"/>
      <c r="N551" s="27"/>
      <c r="O551" s="27"/>
      <c r="P551" s="27"/>
      <c r="Q551" s="27"/>
      <c r="R551" s="29"/>
      <c r="S551" s="29"/>
      <c r="T551" s="27"/>
      <c r="U551" s="28" t="str">
        <f aca="false">IF(N(T551)=0,"",IF(T551&lt;12,"Under 12 months",IF(T551&lt;36,"12-35 months",IF(T551&lt;60,"36-59 months","≥60 months"))))</f>
        <v/>
      </c>
      <c r="V551" s="27"/>
      <c r="W551" s="30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9"/>
      <c r="AT551" s="30"/>
      <c r="AU551" s="30"/>
      <c r="AV551" s="30"/>
      <c r="AW551" s="27"/>
      <c r="AX551" s="27"/>
      <c r="AY551" s="29"/>
      <c r="AZ551" s="27"/>
      <c r="BA551" s="27"/>
      <c r="BB551" s="29"/>
      <c r="BC551" s="30"/>
      <c r="BD551" s="30"/>
      <c r="BE551" s="30"/>
      <c r="BF551" s="27"/>
      <c r="BG551" s="27"/>
      <c r="BH551" s="28" t="str">
        <f aca="false">IF(COUNT(BC551:BE551)=0,"",IF(MIN(BC551:BE551)&lt;=-2.5,"Yes","No"))</f>
        <v/>
      </c>
      <c r="BI551" s="27"/>
      <c r="BJ551" s="29"/>
      <c r="BK551" s="27"/>
      <c r="BL551" s="27"/>
      <c r="BM551" s="27"/>
      <c r="BN551" s="28" t="str">
        <f aca="false">IF(OR(AX551="Yes",BI551="Yes"),"Yes",IF(AND(AX551="No",BI551="No"),"No",IF(AND(AX551="",BI551=""),"","Unknown")))</f>
        <v/>
      </c>
      <c r="BO551" s="31" t="str">
        <f aca="false">IF(COUNT(AY551,BJ551)=0,"",MIN(AY551,BJ551))</f>
        <v/>
      </c>
      <c r="BP551" s="29"/>
      <c r="BQ551" s="29"/>
      <c r="BR551" s="29"/>
      <c r="BS551" s="28" t="str">
        <f aca="false">IF(AND(N(BP551)&gt;0,N(BR551)&gt;0),BR551-BP551,"")</f>
        <v/>
      </c>
      <c r="BT551" s="28" t="str">
        <f aca="false">IF(BS551="","",ROUND(BS551/365.25,2))</f>
        <v/>
      </c>
      <c r="BU551" s="28" t="str">
        <f aca="false">IF(BS551="","",IF(BS551&gt;=730.5,"Yes","No"))</f>
        <v/>
      </c>
      <c r="BV551" s="27"/>
      <c r="BW551" s="29"/>
      <c r="BX551" s="27"/>
      <c r="BY551" s="27"/>
      <c r="BZ551" s="28" t="str">
        <f aca="false">IF(N(E551)=0,"",IF(E551&lt;65,"Under 65","≥65"))</f>
        <v/>
      </c>
      <c r="CA551" s="28" t="str">
        <f aca="false">IF(OR(AC551="Yes",AC551="No"),AC551,"")</f>
        <v/>
      </c>
      <c r="CB551" s="28" t="str">
        <f aca="false">IF(OR(AD551="Yes",AD551="No"),AD551,"")</f>
        <v/>
      </c>
      <c r="CC551" s="28" t="str">
        <f aca="false">IF(F551="","",F551)</f>
        <v/>
      </c>
      <c r="CD551" s="27"/>
      <c r="CE551" s="27"/>
    </row>
    <row r="552" customFormat="false" ht="15" hidden="false" customHeight="false" outlineLevel="0" collapsed="false">
      <c r="A552" s="27"/>
      <c r="B552" s="27"/>
      <c r="C552" s="27"/>
      <c r="D552" s="27"/>
      <c r="E552" s="27"/>
      <c r="F552" s="27"/>
      <c r="G552" s="27"/>
      <c r="H552" s="27"/>
      <c r="I552" s="27"/>
      <c r="J552" s="28" t="str">
        <f aca="false">IF(AND(N(H552)&gt;0,N(I552)&gt;0),ROUND(I552/(H552/100)^2,1),"")</f>
        <v/>
      </c>
      <c r="K552" s="27"/>
      <c r="L552" s="27"/>
      <c r="M552" s="27"/>
      <c r="N552" s="27"/>
      <c r="O552" s="27"/>
      <c r="P552" s="27"/>
      <c r="Q552" s="27"/>
      <c r="R552" s="29"/>
      <c r="S552" s="29"/>
      <c r="T552" s="27"/>
      <c r="U552" s="28" t="str">
        <f aca="false">IF(N(T552)=0,"",IF(T552&lt;12,"Under 12 months",IF(T552&lt;36,"12-35 months",IF(T552&lt;60,"36-59 months","≥60 months"))))</f>
        <v/>
      </c>
      <c r="V552" s="27"/>
      <c r="W552" s="30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9"/>
      <c r="AT552" s="30"/>
      <c r="AU552" s="30"/>
      <c r="AV552" s="30"/>
      <c r="AW552" s="27"/>
      <c r="AX552" s="27"/>
      <c r="AY552" s="29"/>
      <c r="AZ552" s="27"/>
      <c r="BA552" s="27"/>
      <c r="BB552" s="29"/>
      <c r="BC552" s="30"/>
      <c r="BD552" s="30"/>
      <c r="BE552" s="30"/>
      <c r="BF552" s="27"/>
      <c r="BG552" s="27"/>
      <c r="BH552" s="28" t="str">
        <f aca="false">IF(COUNT(BC552:BE552)=0,"",IF(MIN(BC552:BE552)&lt;=-2.5,"Yes","No"))</f>
        <v/>
      </c>
      <c r="BI552" s="27"/>
      <c r="BJ552" s="29"/>
      <c r="BK552" s="27"/>
      <c r="BL552" s="27"/>
      <c r="BM552" s="27"/>
      <c r="BN552" s="28" t="str">
        <f aca="false">IF(OR(AX552="Yes",BI552="Yes"),"Yes",IF(AND(AX552="No",BI552="No"),"No",IF(AND(AX552="",BI552=""),"","Unknown")))</f>
        <v/>
      </c>
      <c r="BO552" s="31" t="str">
        <f aca="false">IF(COUNT(AY552,BJ552)=0,"",MIN(AY552,BJ552))</f>
        <v/>
      </c>
      <c r="BP552" s="29"/>
      <c r="BQ552" s="29"/>
      <c r="BR552" s="29"/>
      <c r="BS552" s="28" t="str">
        <f aca="false">IF(AND(N(BP552)&gt;0,N(BR552)&gt;0),BR552-BP552,"")</f>
        <v/>
      </c>
      <c r="BT552" s="28" t="str">
        <f aca="false">IF(BS552="","",ROUND(BS552/365.25,2))</f>
        <v/>
      </c>
      <c r="BU552" s="28" t="str">
        <f aca="false">IF(BS552="","",IF(BS552&gt;=730.5,"Yes","No"))</f>
        <v/>
      </c>
      <c r="BV552" s="27"/>
      <c r="BW552" s="29"/>
      <c r="BX552" s="27"/>
      <c r="BY552" s="27"/>
      <c r="BZ552" s="28" t="str">
        <f aca="false">IF(N(E552)=0,"",IF(E552&lt;65,"Under 65","≥65"))</f>
        <v/>
      </c>
      <c r="CA552" s="28" t="str">
        <f aca="false">IF(OR(AC552="Yes",AC552="No"),AC552,"")</f>
        <v/>
      </c>
      <c r="CB552" s="28" t="str">
        <f aca="false">IF(OR(AD552="Yes",AD552="No"),AD552,"")</f>
        <v/>
      </c>
      <c r="CC552" s="28" t="str">
        <f aca="false">IF(F552="","",F552)</f>
        <v/>
      </c>
      <c r="CD552" s="27"/>
      <c r="CE552" s="27"/>
    </row>
    <row r="553" customFormat="false" ht="15" hidden="false" customHeight="false" outlineLevel="0" collapsed="false">
      <c r="A553" s="27"/>
      <c r="B553" s="27"/>
      <c r="C553" s="27"/>
      <c r="D553" s="27"/>
      <c r="E553" s="27"/>
      <c r="F553" s="27"/>
      <c r="G553" s="27"/>
      <c r="H553" s="27"/>
      <c r="I553" s="27"/>
      <c r="J553" s="28" t="str">
        <f aca="false">IF(AND(N(H553)&gt;0,N(I553)&gt;0),ROUND(I553/(H553/100)^2,1),"")</f>
        <v/>
      </c>
      <c r="K553" s="27"/>
      <c r="L553" s="27"/>
      <c r="M553" s="27"/>
      <c r="N553" s="27"/>
      <c r="O553" s="27"/>
      <c r="P553" s="27"/>
      <c r="Q553" s="27"/>
      <c r="R553" s="29"/>
      <c r="S553" s="29"/>
      <c r="T553" s="27"/>
      <c r="U553" s="28" t="str">
        <f aca="false">IF(N(T553)=0,"",IF(T553&lt;12,"Under 12 months",IF(T553&lt;36,"12-35 months",IF(T553&lt;60,"36-59 months","≥60 months"))))</f>
        <v/>
      </c>
      <c r="V553" s="27"/>
      <c r="W553" s="30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9"/>
      <c r="AT553" s="30"/>
      <c r="AU553" s="30"/>
      <c r="AV553" s="30"/>
      <c r="AW553" s="27"/>
      <c r="AX553" s="27"/>
      <c r="AY553" s="29"/>
      <c r="AZ553" s="27"/>
      <c r="BA553" s="27"/>
      <c r="BB553" s="29"/>
      <c r="BC553" s="30"/>
      <c r="BD553" s="30"/>
      <c r="BE553" s="30"/>
      <c r="BF553" s="27"/>
      <c r="BG553" s="27"/>
      <c r="BH553" s="28" t="str">
        <f aca="false">IF(COUNT(BC553:BE553)=0,"",IF(MIN(BC553:BE553)&lt;=-2.5,"Yes","No"))</f>
        <v/>
      </c>
      <c r="BI553" s="27"/>
      <c r="BJ553" s="29"/>
      <c r="BK553" s="27"/>
      <c r="BL553" s="27"/>
      <c r="BM553" s="27"/>
      <c r="BN553" s="28" t="str">
        <f aca="false">IF(OR(AX553="Yes",BI553="Yes"),"Yes",IF(AND(AX553="No",BI553="No"),"No",IF(AND(AX553="",BI553=""),"","Unknown")))</f>
        <v/>
      </c>
      <c r="BO553" s="31" t="str">
        <f aca="false">IF(COUNT(AY553,BJ553)=0,"",MIN(AY553,BJ553))</f>
        <v/>
      </c>
      <c r="BP553" s="29"/>
      <c r="BQ553" s="29"/>
      <c r="BR553" s="29"/>
      <c r="BS553" s="28" t="str">
        <f aca="false">IF(AND(N(BP553)&gt;0,N(BR553)&gt;0),BR553-BP553,"")</f>
        <v/>
      </c>
      <c r="BT553" s="28" t="str">
        <f aca="false">IF(BS553="","",ROUND(BS553/365.25,2))</f>
        <v/>
      </c>
      <c r="BU553" s="28" t="str">
        <f aca="false">IF(BS553="","",IF(BS553&gt;=730.5,"Yes","No"))</f>
        <v/>
      </c>
      <c r="BV553" s="27"/>
      <c r="BW553" s="29"/>
      <c r="BX553" s="27"/>
      <c r="BY553" s="27"/>
      <c r="BZ553" s="28" t="str">
        <f aca="false">IF(N(E553)=0,"",IF(E553&lt;65,"Under 65","≥65"))</f>
        <v/>
      </c>
      <c r="CA553" s="28" t="str">
        <f aca="false">IF(OR(AC553="Yes",AC553="No"),AC553,"")</f>
        <v/>
      </c>
      <c r="CB553" s="28" t="str">
        <f aca="false">IF(OR(AD553="Yes",AD553="No"),AD553,"")</f>
        <v/>
      </c>
      <c r="CC553" s="28" t="str">
        <f aca="false">IF(F553="","",F553)</f>
        <v/>
      </c>
      <c r="CD553" s="27"/>
      <c r="CE553" s="27"/>
    </row>
    <row r="554" customFormat="false" ht="15" hidden="false" customHeight="false" outlineLevel="0" collapsed="false">
      <c r="A554" s="27"/>
      <c r="B554" s="27"/>
      <c r="C554" s="27"/>
      <c r="D554" s="27"/>
      <c r="E554" s="27"/>
      <c r="F554" s="27"/>
      <c r="G554" s="27"/>
      <c r="H554" s="27"/>
      <c r="I554" s="27"/>
      <c r="J554" s="28" t="str">
        <f aca="false">IF(AND(N(H554)&gt;0,N(I554)&gt;0),ROUND(I554/(H554/100)^2,1),"")</f>
        <v/>
      </c>
      <c r="K554" s="27"/>
      <c r="L554" s="27"/>
      <c r="M554" s="27"/>
      <c r="N554" s="27"/>
      <c r="O554" s="27"/>
      <c r="P554" s="27"/>
      <c r="Q554" s="27"/>
      <c r="R554" s="29"/>
      <c r="S554" s="29"/>
      <c r="T554" s="27"/>
      <c r="U554" s="28" t="str">
        <f aca="false">IF(N(T554)=0,"",IF(T554&lt;12,"Under 12 months",IF(T554&lt;36,"12-35 months",IF(T554&lt;60,"36-59 months","≥60 months"))))</f>
        <v/>
      </c>
      <c r="V554" s="27"/>
      <c r="W554" s="30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9"/>
      <c r="AT554" s="30"/>
      <c r="AU554" s="30"/>
      <c r="AV554" s="30"/>
      <c r="AW554" s="27"/>
      <c r="AX554" s="27"/>
      <c r="AY554" s="29"/>
      <c r="AZ554" s="27"/>
      <c r="BA554" s="27"/>
      <c r="BB554" s="29"/>
      <c r="BC554" s="30"/>
      <c r="BD554" s="30"/>
      <c r="BE554" s="30"/>
      <c r="BF554" s="27"/>
      <c r="BG554" s="27"/>
      <c r="BH554" s="28" t="str">
        <f aca="false">IF(COUNT(BC554:BE554)=0,"",IF(MIN(BC554:BE554)&lt;=-2.5,"Yes","No"))</f>
        <v/>
      </c>
      <c r="BI554" s="27"/>
      <c r="BJ554" s="29"/>
      <c r="BK554" s="27"/>
      <c r="BL554" s="27"/>
      <c r="BM554" s="27"/>
      <c r="BN554" s="28" t="str">
        <f aca="false">IF(OR(AX554="Yes",BI554="Yes"),"Yes",IF(AND(AX554="No",BI554="No"),"No",IF(AND(AX554="",BI554=""),"","Unknown")))</f>
        <v/>
      </c>
      <c r="BO554" s="31" t="str">
        <f aca="false">IF(COUNT(AY554,BJ554)=0,"",MIN(AY554,BJ554))</f>
        <v/>
      </c>
      <c r="BP554" s="29"/>
      <c r="BQ554" s="29"/>
      <c r="BR554" s="29"/>
      <c r="BS554" s="28" t="str">
        <f aca="false">IF(AND(N(BP554)&gt;0,N(BR554)&gt;0),BR554-BP554,"")</f>
        <v/>
      </c>
      <c r="BT554" s="28" t="str">
        <f aca="false">IF(BS554="","",ROUND(BS554/365.25,2))</f>
        <v/>
      </c>
      <c r="BU554" s="28" t="str">
        <f aca="false">IF(BS554="","",IF(BS554&gt;=730.5,"Yes","No"))</f>
        <v/>
      </c>
      <c r="BV554" s="27"/>
      <c r="BW554" s="29"/>
      <c r="BX554" s="27"/>
      <c r="BY554" s="27"/>
      <c r="BZ554" s="28" t="str">
        <f aca="false">IF(N(E554)=0,"",IF(E554&lt;65,"Under 65","≥65"))</f>
        <v/>
      </c>
      <c r="CA554" s="28" t="str">
        <f aca="false">IF(OR(AC554="Yes",AC554="No"),AC554,"")</f>
        <v/>
      </c>
      <c r="CB554" s="28" t="str">
        <f aca="false">IF(OR(AD554="Yes",AD554="No"),AD554,"")</f>
        <v/>
      </c>
      <c r="CC554" s="28" t="str">
        <f aca="false">IF(F554="","",F554)</f>
        <v/>
      </c>
      <c r="CD554" s="27"/>
      <c r="CE554" s="27"/>
    </row>
    <row r="555" customFormat="false" ht="15" hidden="false" customHeight="false" outlineLevel="0" collapsed="false">
      <c r="A555" s="27"/>
      <c r="B555" s="27"/>
      <c r="C555" s="27"/>
      <c r="D555" s="27"/>
      <c r="E555" s="27"/>
      <c r="F555" s="27"/>
      <c r="G555" s="27"/>
      <c r="H555" s="27"/>
      <c r="I555" s="27"/>
      <c r="J555" s="28" t="str">
        <f aca="false">IF(AND(N(H555)&gt;0,N(I555)&gt;0),ROUND(I555/(H555/100)^2,1),"")</f>
        <v/>
      </c>
      <c r="K555" s="27"/>
      <c r="L555" s="27"/>
      <c r="M555" s="27"/>
      <c r="N555" s="27"/>
      <c r="O555" s="27"/>
      <c r="P555" s="27"/>
      <c r="Q555" s="27"/>
      <c r="R555" s="29"/>
      <c r="S555" s="29"/>
      <c r="T555" s="27"/>
      <c r="U555" s="28" t="str">
        <f aca="false">IF(N(T555)=0,"",IF(T555&lt;12,"Under 12 months",IF(T555&lt;36,"12-35 months",IF(T555&lt;60,"36-59 months","≥60 months"))))</f>
        <v/>
      </c>
      <c r="V555" s="27"/>
      <c r="W555" s="30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9"/>
      <c r="AT555" s="30"/>
      <c r="AU555" s="30"/>
      <c r="AV555" s="30"/>
      <c r="AW555" s="27"/>
      <c r="AX555" s="27"/>
      <c r="AY555" s="29"/>
      <c r="AZ555" s="27"/>
      <c r="BA555" s="27"/>
      <c r="BB555" s="29"/>
      <c r="BC555" s="30"/>
      <c r="BD555" s="30"/>
      <c r="BE555" s="30"/>
      <c r="BF555" s="27"/>
      <c r="BG555" s="27"/>
      <c r="BH555" s="28" t="str">
        <f aca="false">IF(COUNT(BC555:BE555)=0,"",IF(MIN(BC555:BE555)&lt;=-2.5,"Yes","No"))</f>
        <v/>
      </c>
      <c r="BI555" s="27"/>
      <c r="BJ555" s="29"/>
      <c r="BK555" s="27"/>
      <c r="BL555" s="27"/>
      <c r="BM555" s="27"/>
      <c r="BN555" s="28" t="str">
        <f aca="false">IF(OR(AX555="Yes",BI555="Yes"),"Yes",IF(AND(AX555="No",BI555="No"),"No",IF(AND(AX555="",BI555=""),"","Unknown")))</f>
        <v/>
      </c>
      <c r="BO555" s="31" t="str">
        <f aca="false">IF(COUNT(AY555,BJ555)=0,"",MIN(AY555,BJ555))</f>
        <v/>
      </c>
      <c r="BP555" s="29"/>
      <c r="BQ555" s="29"/>
      <c r="BR555" s="29"/>
      <c r="BS555" s="28" t="str">
        <f aca="false">IF(AND(N(BP555)&gt;0,N(BR555)&gt;0),BR555-BP555,"")</f>
        <v/>
      </c>
      <c r="BT555" s="28" t="str">
        <f aca="false">IF(BS555="","",ROUND(BS555/365.25,2))</f>
        <v/>
      </c>
      <c r="BU555" s="28" t="str">
        <f aca="false">IF(BS555="","",IF(BS555&gt;=730.5,"Yes","No"))</f>
        <v/>
      </c>
      <c r="BV555" s="27"/>
      <c r="BW555" s="29"/>
      <c r="BX555" s="27"/>
      <c r="BY555" s="27"/>
      <c r="BZ555" s="28" t="str">
        <f aca="false">IF(N(E555)=0,"",IF(E555&lt;65,"Under 65","≥65"))</f>
        <v/>
      </c>
      <c r="CA555" s="28" t="str">
        <f aca="false">IF(OR(AC555="Yes",AC555="No"),AC555,"")</f>
        <v/>
      </c>
      <c r="CB555" s="28" t="str">
        <f aca="false">IF(OR(AD555="Yes",AD555="No"),AD555,"")</f>
        <v/>
      </c>
      <c r="CC555" s="28" t="str">
        <f aca="false">IF(F555="","",F555)</f>
        <v/>
      </c>
      <c r="CD555" s="27"/>
      <c r="CE555" s="27"/>
    </row>
    <row r="556" customFormat="false" ht="15" hidden="false" customHeight="false" outlineLevel="0" collapsed="false">
      <c r="A556" s="27"/>
      <c r="B556" s="27"/>
      <c r="C556" s="27"/>
      <c r="D556" s="27"/>
      <c r="E556" s="27"/>
      <c r="F556" s="27"/>
      <c r="G556" s="27"/>
      <c r="H556" s="27"/>
      <c r="I556" s="27"/>
      <c r="J556" s="28" t="str">
        <f aca="false">IF(AND(N(H556)&gt;0,N(I556)&gt;0),ROUND(I556/(H556/100)^2,1),"")</f>
        <v/>
      </c>
      <c r="K556" s="27"/>
      <c r="L556" s="27"/>
      <c r="M556" s="27"/>
      <c r="N556" s="27"/>
      <c r="O556" s="27"/>
      <c r="P556" s="27"/>
      <c r="Q556" s="27"/>
      <c r="R556" s="29"/>
      <c r="S556" s="29"/>
      <c r="T556" s="27"/>
      <c r="U556" s="28" t="str">
        <f aca="false">IF(N(T556)=0,"",IF(T556&lt;12,"Under 12 months",IF(T556&lt;36,"12-35 months",IF(T556&lt;60,"36-59 months","≥60 months"))))</f>
        <v/>
      </c>
      <c r="V556" s="27"/>
      <c r="W556" s="30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9"/>
      <c r="AT556" s="30"/>
      <c r="AU556" s="30"/>
      <c r="AV556" s="30"/>
      <c r="AW556" s="27"/>
      <c r="AX556" s="27"/>
      <c r="AY556" s="29"/>
      <c r="AZ556" s="27"/>
      <c r="BA556" s="27"/>
      <c r="BB556" s="29"/>
      <c r="BC556" s="30"/>
      <c r="BD556" s="30"/>
      <c r="BE556" s="30"/>
      <c r="BF556" s="27"/>
      <c r="BG556" s="27"/>
      <c r="BH556" s="28" t="str">
        <f aca="false">IF(COUNT(BC556:BE556)=0,"",IF(MIN(BC556:BE556)&lt;=-2.5,"Yes","No"))</f>
        <v/>
      </c>
      <c r="BI556" s="27"/>
      <c r="BJ556" s="29"/>
      <c r="BK556" s="27"/>
      <c r="BL556" s="27"/>
      <c r="BM556" s="27"/>
      <c r="BN556" s="28" t="str">
        <f aca="false">IF(OR(AX556="Yes",BI556="Yes"),"Yes",IF(AND(AX556="No",BI556="No"),"No",IF(AND(AX556="",BI556=""),"","Unknown")))</f>
        <v/>
      </c>
      <c r="BO556" s="31" t="str">
        <f aca="false">IF(COUNT(AY556,BJ556)=0,"",MIN(AY556,BJ556))</f>
        <v/>
      </c>
      <c r="BP556" s="29"/>
      <c r="BQ556" s="29"/>
      <c r="BR556" s="29"/>
      <c r="BS556" s="28" t="str">
        <f aca="false">IF(AND(N(BP556)&gt;0,N(BR556)&gt;0),BR556-BP556,"")</f>
        <v/>
      </c>
      <c r="BT556" s="28" t="str">
        <f aca="false">IF(BS556="","",ROUND(BS556/365.25,2))</f>
        <v/>
      </c>
      <c r="BU556" s="28" t="str">
        <f aca="false">IF(BS556="","",IF(BS556&gt;=730.5,"Yes","No"))</f>
        <v/>
      </c>
      <c r="BV556" s="27"/>
      <c r="BW556" s="29"/>
      <c r="BX556" s="27"/>
      <c r="BY556" s="27"/>
      <c r="BZ556" s="28" t="str">
        <f aca="false">IF(N(E556)=0,"",IF(E556&lt;65,"Under 65","≥65"))</f>
        <v/>
      </c>
      <c r="CA556" s="28" t="str">
        <f aca="false">IF(OR(AC556="Yes",AC556="No"),AC556,"")</f>
        <v/>
      </c>
      <c r="CB556" s="28" t="str">
        <f aca="false">IF(OR(AD556="Yes",AD556="No"),AD556,"")</f>
        <v/>
      </c>
      <c r="CC556" s="28" t="str">
        <f aca="false">IF(F556="","",F556)</f>
        <v/>
      </c>
      <c r="CD556" s="27"/>
      <c r="CE556" s="27"/>
    </row>
    <row r="557" customFormat="false" ht="15" hidden="false" customHeight="false" outlineLevel="0" collapsed="false">
      <c r="A557" s="27"/>
      <c r="B557" s="27"/>
      <c r="C557" s="27"/>
      <c r="D557" s="27"/>
      <c r="E557" s="27"/>
      <c r="F557" s="27"/>
      <c r="G557" s="27"/>
      <c r="H557" s="27"/>
      <c r="I557" s="27"/>
      <c r="J557" s="28" t="str">
        <f aca="false">IF(AND(N(H557)&gt;0,N(I557)&gt;0),ROUND(I557/(H557/100)^2,1),"")</f>
        <v/>
      </c>
      <c r="K557" s="27"/>
      <c r="L557" s="27"/>
      <c r="M557" s="27"/>
      <c r="N557" s="27"/>
      <c r="O557" s="27"/>
      <c r="P557" s="27"/>
      <c r="Q557" s="27"/>
      <c r="R557" s="29"/>
      <c r="S557" s="29"/>
      <c r="T557" s="27"/>
      <c r="U557" s="28" t="str">
        <f aca="false">IF(N(T557)=0,"",IF(T557&lt;12,"Under 12 months",IF(T557&lt;36,"12-35 months",IF(T557&lt;60,"36-59 months","≥60 months"))))</f>
        <v/>
      </c>
      <c r="V557" s="27"/>
      <c r="W557" s="30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9"/>
      <c r="AT557" s="30"/>
      <c r="AU557" s="30"/>
      <c r="AV557" s="30"/>
      <c r="AW557" s="27"/>
      <c r="AX557" s="27"/>
      <c r="AY557" s="29"/>
      <c r="AZ557" s="27"/>
      <c r="BA557" s="27"/>
      <c r="BB557" s="29"/>
      <c r="BC557" s="30"/>
      <c r="BD557" s="30"/>
      <c r="BE557" s="30"/>
      <c r="BF557" s="27"/>
      <c r="BG557" s="27"/>
      <c r="BH557" s="28" t="str">
        <f aca="false">IF(COUNT(BC557:BE557)=0,"",IF(MIN(BC557:BE557)&lt;=-2.5,"Yes","No"))</f>
        <v/>
      </c>
      <c r="BI557" s="27"/>
      <c r="BJ557" s="29"/>
      <c r="BK557" s="27"/>
      <c r="BL557" s="27"/>
      <c r="BM557" s="27"/>
      <c r="BN557" s="28" t="str">
        <f aca="false">IF(OR(AX557="Yes",BI557="Yes"),"Yes",IF(AND(AX557="No",BI557="No"),"No",IF(AND(AX557="",BI557=""),"","Unknown")))</f>
        <v/>
      </c>
      <c r="BO557" s="31" t="str">
        <f aca="false">IF(COUNT(AY557,BJ557)=0,"",MIN(AY557,BJ557))</f>
        <v/>
      </c>
      <c r="BP557" s="29"/>
      <c r="BQ557" s="29"/>
      <c r="BR557" s="29"/>
      <c r="BS557" s="28" t="str">
        <f aca="false">IF(AND(N(BP557)&gt;0,N(BR557)&gt;0),BR557-BP557,"")</f>
        <v/>
      </c>
      <c r="BT557" s="28" t="str">
        <f aca="false">IF(BS557="","",ROUND(BS557/365.25,2))</f>
        <v/>
      </c>
      <c r="BU557" s="28" t="str">
        <f aca="false">IF(BS557="","",IF(BS557&gt;=730.5,"Yes","No"))</f>
        <v/>
      </c>
      <c r="BV557" s="27"/>
      <c r="BW557" s="29"/>
      <c r="BX557" s="27"/>
      <c r="BY557" s="27"/>
      <c r="BZ557" s="28" t="str">
        <f aca="false">IF(N(E557)=0,"",IF(E557&lt;65,"Under 65","≥65"))</f>
        <v/>
      </c>
      <c r="CA557" s="28" t="str">
        <f aca="false">IF(OR(AC557="Yes",AC557="No"),AC557,"")</f>
        <v/>
      </c>
      <c r="CB557" s="28" t="str">
        <f aca="false">IF(OR(AD557="Yes",AD557="No"),AD557,"")</f>
        <v/>
      </c>
      <c r="CC557" s="28" t="str">
        <f aca="false">IF(F557="","",F557)</f>
        <v/>
      </c>
      <c r="CD557" s="27"/>
      <c r="CE557" s="27"/>
    </row>
    <row r="558" customFormat="false" ht="15" hidden="false" customHeight="false" outlineLevel="0" collapsed="false">
      <c r="A558" s="27"/>
      <c r="B558" s="27"/>
      <c r="C558" s="27"/>
      <c r="D558" s="27"/>
      <c r="E558" s="27"/>
      <c r="F558" s="27"/>
      <c r="G558" s="27"/>
      <c r="H558" s="27"/>
      <c r="I558" s="27"/>
      <c r="J558" s="28" t="str">
        <f aca="false">IF(AND(N(H558)&gt;0,N(I558)&gt;0),ROUND(I558/(H558/100)^2,1),"")</f>
        <v/>
      </c>
      <c r="K558" s="27"/>
      <c r="L558" s="27"/>
      <c r="M558" s="27"/>
      <c r="N558" s="27"/>
      <c r="O558" s="27"/>
      <c r="P558" s="27"/>
      <c r="Q558" s="27"/>
      <c r="R558" s="29"/>
      <c r="S558" s="29"/>
      <c r="T558" s="27"/>
      <c r="U558" s="28" t="str">
        <f aca="false">IF(N(T558)=0,"",IF(T558&lt;12,"Under 12 months",IF(T558&lt;36,"12-35 months",IF(T558&lt;60,"36-59 months","≥60 months"))))</f>
        <v/>
      </c>
      <c r="V558" s="27"/>
      <c r="W558" s="30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9"/>
      <c r="AT558" s="30"/>
      <c r="AU558" s="30"/>
      <c r="AV558" s="30"/>
      <c r="AW558" s="27"/>
      <c r="AX558" s="27"/>
      <c r="AY558" s="29"/>
      <c r="AZ558" s="27"/>
      <c r="BA558" s="27"/>
      <c r="BB558" s="29"/>
      <c r="BC558" s="30"/>
      <c r="BD558" s="30"/>
      <c r="BE558" s="30"/>
      <c r="BF558" s="27"/>
      <c r="BG558" s="27"/>
      <c r="BH558" s="28" t="str">
        <f aca="false">IF(COUNT(BC558:BE558)=0,"",IF(MIN(BC558:BE558)&lt;=-2.5,"Yes","No"))</f>
        <v/>
      </c>
      <c r="BI558" s="27"/>
      <c r="BJ558" s="29"/>
      <c r="BK558" s="27"/>
      <c r="BL558" s="27"/>
      <c r="BM558" s="27"/>
      <c r="BN558" s="28" t="str">
        <f aca="false">IF(OR(AX558="Yes",BI558="Yes"),"Yes",IF(AND(AX558="No",BI558="No"),"No",IF(AND(AX558="",BI558=""),"","Unknown")))</f>
        <v/>
      </c>
      <c r="BO558" s="31" t="str">
        <f aca="false">IF(COUNT(AY558,BJ558)=0,"",MIN(AY558,BJ558))</f>
        <v/>
      </c>
      <c r="BP558" s="29"/>
      <c r="BQ558" s="29"/>
      <c r="BR558" s="29"/>
      <c r="BS558" s="28" t="str">
        <f aca="false">IF(AND(N(BP558)&gt;0,N(BR558)&gt;0),BR558-BP558,"")</f>
        <v/>
      </c>
      <c r="BT558" s="28" t="str">
        <f aca="false">IF(BS558="","",ROUND(BS558/365.25,2))</f>
        <v/>
      </c>
      <c r="BU558" s="28" t="str">
        <f aca="false">IF(BS558="","",IF(BS558&gt;=730.5,"Yes","No"))</f>
        <v/>
      </c>
      <c r="BV558" s="27"/>
      <c r="BW558" s="29"/>
      <c r="BX558" s="27"/>
      <c r="BY558" s="27"/>
      <c r="BZ558" s="28" t="str">
        <f aca="false">IF(N(E558)=0,"",IF(E558&lt;65,"Under 65","≥65"))</f>
        <v/>
      </c>
      <c r="CA558" s="28" t="str">
        <f aca="false">IF(OR(AC558="Yes",AC558="No"),AC558,"")</f>
        <v/>
      </c>
      <c r="CB558" s="28" t="str">
        <f aca="false">IF(OR(AD558="Yes",AD558="No"),AD558,"")</f>
        <v/>
      </c>
      <c r="CC558" s="28" t="str">
        <f aca="false">IF(F558="","",F558)</f>
        <v/>
      </c>
      <c r="CD558" s="27"/>
      <c r="CE558" s="27"/>
    </row>
    <row r="559" customFormat="false" ht="15" hidden="false" customHeight="false" outlineLevel="0" collapsed="false">
      <c r="A559" s="27"/>
      <c r="B559" s="27"/>
      <c r="C559" s="27"/>
      <c r="D559" s="27"/>
      <c r="E559" s="27"/>
      <c r="F559" s="27"/>
      <c r="G559" s="27"/>
      <c r="H559" s="27"/>
      <c r="I559" s="27"/>
      <c r="J559" s="28" t="str">
        <f aca="false">IF(AND(N(H559)&gt;0,N(I559)&gt;0),ROUND(I559/(H559/100)^2,1),"")</f>
        <v/>
      </c>
      <c r="K559" s="27"/>
      <c r="L559" s="27"/>
      <c r="M559" s="27"/>
      <c r="N559" s="27"/>
      <c r="O559" s="27"/>
      <c r="P559" s="27"/>
      <c r="Q559" s="27"/>
      <c r="R559" s="29"/>
      <c r="S559" s="29"/>
      <c r="T559" s="27"/>
      <c r="U559" s="28" t="str">
        <f aca="false">IF(N(T559)=0,"",IF(T559&lt;12,"Under 12 months",IF(T559&lt;36,"12-35 months",IF(T559&lt;60,"36-59 months","≥60 months"))))</f>
        <v/>
      </c>
      <c r="V559" s="27"/>
      <c r="W559" s="30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9"/>
      <c r="AT559" s="30"/>
      <c r="AU559" s="30"/>
      <c r="AV559" s="30"/>
      <c r="AW559" s="27"/>
      <c r="AX559" s="27"/>
      <c r="AY559" s="29"/>
      <c r="AZ559" s="27"/>
      <c r="BA559" s="27"/>
      <c r="BB559" s="29"/>
      <c r="BC559" s="30"/>
      <c r="BD559" s="30"/>
      <c r="BE559" s="30"/>
      <c r="BF559" s="27"/>
      <c r="BG559" s="27"/>
      <c r="BH559" s="28" t="str">
        <f aca="false">IF(COUNT(BC559:BE559)=0,"",IF(MIN(BC559:BE559)&lt;=-2.5,"Yes","No"))</f>
        <v/>
      </c>
      <c r="BI559" s="27"/>
      <c r="BJ559" s="29"/>
      <c r="BK559" s="27"/>
      <c r="BL559" s="27"/>
      <c r="BM559" s="27"/>
      <c r="BN559" s="28" t="str">
        <f aca="false">IF(OR(AX559="Yes",BI559="Yes"),"Yes",IF(AND(AX559="No",BI559="No"),"No",IF(AND(AX559="",BI559=""),"","Unknown")))</f>
        <v/>
      </c>
      <c r="BO559" s="31" t="str">
        <f aca="false">IF(COUNT(AY559,BJ559)=0,"",MIN(AY559,BJ559))</f>
        <v/>
      </c>
      <c r="BP559" s="29"/>
      <c r="BQ559" s="29"/>
      <c r="BR559" s="29"/>
      <c r="BS559" s="28" t="str">
        <f aca="false">IF(AND(N(BP559)&gt;0,N(BR559)&gt;0),BR559-BP559,"")</f>
        <v/>
      </c>
      <c r="BT559" s="28" t="str">
        <f aca="false">IF(BS559="","",ROUND(BS559/365.25,2))</f>
        <v/>
      </c>
      <c r="BU559" s="28" t="str">
        <f aca="false">IF(BS559="","",IF(BS559&gt;=730.5,"Yes","No"))</f>
        <v/>
      </c>
      <c r="BV559" s="27"/>
      <c r="BW559" s="29"/>
      <c r="BX559" s="27"/>
      <c r="BY559" s="27"/>
      <c r="BZ559" s="28" t="str">
        <f aca="false">IF(N(E559)=0,"",IF(E559&lt;65,"Under 65","≥65"))</f>
        <v/>
      </c>
      <c r="CA559" s="28" t="str">
        <f aca="false">IF(OR(AC559="Yes",AC559="No"),AC559,"")</f>
        <v/>
      </c>
      <c r="CB559" s="28" t="str">
        <f aca="false">IF(OR(AD559="Yes",AD559="No"),AD559,"")</f>
        <v/>
      </c>
      <c r="CC559" s="28" t="str">
        <f aca="false">IF(F559="","",F559)</f>
        <v/>
      </c>
      <c r="CD559" s="27"/>
      <c r="CE559" s="27"/>
    </row>
    <row r="560" customFormat="false" ht="15" hidden="false" customHeight="false" outlineLevel="0" collapsed="false">
      <c r="A560" s="27"/>
      <c r="B560" s="27"/>
      <c r="C560" s="27"/>
      <c r="D560" s="27"/>
      <c r="E560" s="27"/>
      <c r="F560" s="27"/>
      <c r="G560" s="27"/>
      <c r="H560" s="27"/>
      <c r="I560" s="27"/>
      <c r="J560" s="28" t="str">
        <f aca="false">IF(AND(N(H560)&gt;0,N(I560)&gt;0),ROUND(I560/(H560/100)^2,1),"")</f>
        <v/>
      </c>
      <c r="K560" s="27"/>
      <c r="L560" s="27"/>
      <c r="M560" s="27"/>
      <c r="N560" s="27"/>
      <c r="O560" s="27"/>
      <c r="P560" s="27"/>
      <c r="Q560" s="27"/>
      <c r="R560" s="29"/>
      <c r="S560" s="29"/>
      <c r="T560" s="27"/>
      <c r="U560" s="28" t="str">
        <f aca="false">IF(N(T560)=0,"",IF(T560&lt;12,"Under 12 months",IF(T560&lt;36,"12-35 months",IF(T560&lt;60,"36-59 months","≥60 months"))))</f>
        <v/>
      </c>
      <c r="V560" s="27"/>
      <c r="W560" s="30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9"/>
      <c r="AT560" s="30"/>
      <c r="AU560" s="30"/>
      <c r="AV560" s="30"/>
      <c r="AW560" s="27"/>
      <c r="AX560" s="27"/>
      <c r="AY560" s="29"/>
      <c r="AZ560" s="27"/>
      <c r="BA560" s="27"/>
      <c r="BB560" s="29"/>
      <c r="BC560" s="30"/>
      <c r="BD560" s="30"/>
      <c r="BE560" s="30"/>
      <c r="BF560" s="27"/>
      <c r="BG560" s="27"/>
      <c r="BH560" s="28" t="str">
        <f aca="false">IF(COUNT(BC560:BE560)=0,"",IF(MIN(BC560:BE560)&lt;=-2.5,"Yes","No"))</f>
        <v/>
      </c>
      <c r="BI560" s="27"/>
      <c r="BJ560" s="29"/>
      <c r="BK560" s="27"/>
      <c r="BL560" s="27"/>
      <c r="BM560" s="27"/>
      <c r="BN560" s="28" t="str">
        <f aca="false">IF(OR(AX560="Yes",BI560="Yes"),"Yes",IF(AND(AX560="No",BI560="No"),"No",IF(AND(AX560="",BI560=""),"","Unknown")))</f>
        <v/>
      </c>
      <c r="BO560" s="31" t="str">
        <f aca="false">IF(COUNT(AY560,BJ560)=0,"",MIN(AY560,BJ560))</f>
        <v/>
      </c>
      <c r="BP560" s="29"/>
      <c r="BQ560" s="29"/>
      <c r="BR560" s="29"/>
      <c r="BS560" s="28" t="str">
        <f aca="false">IF(AND(N(BP560)&gt;0,N(BR560)&gt;0),BR560-BP560,"")</f>
        <v/>
      </c>
      <c r="BT560" s="28" t="str">
        <f aca="false">IF(BS560="","",ROUND(BS560/365.25,2))</f>
        <v/>
      </c>
      <c r="BU560" s="28" t="str">
        <f aca="false">IF(BS560="","",IF(BS560&gt;=730.5,"Yes","No"))</f>
        <v/>
      </c>
      <c r="BV560" s="27"/>
      <c r="BW560" s="29"/>
      <c r="BX560" s="27"/>
      <c r="BY560" s="27"/>
      <c r="BZ560" s="28" t="str">
        <f aca="false">IF(N(E560)=0,"",IF(E560&lt;65,"Under 65","≥65"))</f>
        <v/>
      </c>
      <c r="CA560" s="28" t="str">
        <f aca="false">IF(OR(AC560="Yes",AC560="No"),AC560,"")</f>
        <v/>
      </c>
      <c r="CB560" s="28" t="str">
        <f aca="false">IF(OR(AD560="Yes",AD560="No"),AD560,"")</f>
        <v/>
      </c>
      <c r="CC560" s="28" t="str">
        <f aca="false">IF(F560="","",F560)</f>
        <v/>
      </c>
      <c r="CD560" s="27"/>
      <c r="CE560" s="27"/>
    </row>
    <row r="561" customFormat="false" ht="15" hidden="false" customHeight="false" outlineLevel="0" collapsed="false">
      <c r="A561" s="27"/>
      <c r="B561" s="27"/>
      <c r="C561" s="27"/>
      <c r="D561" s="27"/>
      <c r="E561" s="27"/>
      <c r="F561" s="27"/>
      <c r="G561" s="27"/>
      <c r="H561" s="27"/>
      <c r="I561" s="27"/>
      <c r="J561" s="28" t="str">
        <f aca="false">IF(AND(N(H561)&gt;0,N(I561)&gt;0),ROUND(I561/(H561/100)^2,1),"")</f>
        <v/>
      </c>
      <c r="K561" s="27"/>
      <c r="L561" s="27"/>
      <c r="M561" s="27"/>
      <c r="N561" s="27"/>
      <c r="O561" s="27"/>
      <c r="P561" s="27"/>
      <c r="Q561" s="27"/>
      <c r="R561" s="29"/>
      <c r="S561" s="29"/>
      <c r="T561" s="27"/>
      <c r="U561" s="28" t="str">
        <f aca="false">IF(N(T561)=0,"",IF(T561&lt;12,"Under 12 months",IF(T561&lt;36,"12-35 months",IF(T561&lt;60,"36-59 months","≥60 months"))))</f>
        <v/>
      </c>
      <c r="V561" s="27"/>
      <c r="W561" s="30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9"/>
      <c r="AT561" s="30"/>
      <c r="AU561" s="30"/>
      <c r="AV561" s="30"/>
      <c r="AW561" s="27"/>
      <c r="AX561" s="27"/>
      <c r="AY561" s="29"/>
      <c r="AZ561" s="27"/>
      <c r="BA561" s="27"/>
      <c r="BB561" s="29"/>
      <c r="BC561" s="30"/>
      <c r="BD561" s="30"/>
      <c r="BE561" s="30"/>
      <c r="BF561" s="27"/>
      <c r="BG561" s="27"/>
      <c r="BH561" s="28" t="str">
        <f aca="false">IF(COUNT(BC561:BE561)=0,"",IF(MIN(BC561:BE561)&lt;=-2.5,"Yes","No"))</f>
        <v/>
      </c>
      <c r="BI561" s="27"/>
      <c r="BJ561" s="29"/>
      <c r="BK561" s="27"/>
      <c r="BL561" s="27"/>
      <c r="BM561" s="27"/>
      <c r="BN561" s="28" t="str">
        <f aca="false">IF(OR(AX561="Yes",BI561="Yes"),"Yes",IF(AND(AX561="No",BI561="No"),"No",IF(AND(AX561="",BI561=""),"","Unknown")))</f>
        <v/>
      </c>
      <c r="BO561" s="31" t="str">
        <f aca="false">IF(COUNT(AY561,BJ561)=0,"",MIN(AY561,BJ561))</f>
        <v/>
      </c>
      <c r="BP561" s="29"/>
      <c r="BQ561" s="29"/>
      <c r="BR561" s="29"/>
      <c r="BS561" s="28" t="str">
        <f aca="false">IF(AND(N(BP561)&gt;0,N(BR561)&gt;0),BR561-BP561,"")</f>
        <v/>
      </c>
      <c r="BT561" s="28" t="str">
        <f aca="false">IF(BS561="","",ROUND(BS561/365.25,2))</f>
        <v/>
      </c>
      <c r="BU561" s="28" t="str">
        <f aca="false">IF(BS561="","",IF(BS561&gt;=730.5,"Yes","No"))</f>
        <v/>
      </c>
      <c r="BV561" s="27"/>
      <c r="BW561" s="29"/>
      <c r="BX561" s="27"/>
      <c r="BY561" s="27"/>
      <c r="BZ561" s="28" t="str">
        <f aca="false">IF(N(E561)=0,"",IF(E561&lt;65,"Under 65","≥65"))</f>
        <v/>
      </c>
      <c r="CA561" s="28" t="str">
        <f aca="false">IF(OR(AC561="Yes",AC561="No"),AC561,"")</f>
        <v/>
      </c>
      <c r="CB561" s="28" t="str">
        <f aca="false">IF(OR(AD561="Yes",AD561="No"),AD561,"")</f>
        <v/>
      </c>
      <c r="CC561" s="28" t="str">
        <f aca="false">IF(F561="","",F561)</f>
        <v/>
      </c>
      <c r="CD561" s="27"/>
      <c r="CE561" s="27"/>
    </row>
    <row r="562" customFormat="false" ht="15" hidden="false" customHeight="false" outlineLevel="0" collapsed="false">
      <c r="A562" s="27"/>
      <c r="B562" s="27"/>
      <c r="C562" s="27"/>
      <c r="D562" s="27"/>
      <c r="E562" s="27"/>
      <c r="F562" s="27"/>
      <c r="G562" s="27"/>
      <c r="H562" s="27"/>
      <c r="I562" s="27"/>
      <c r="J562" s="28" t="str">
        <f aca="false">IF(AND(N(H562)&gt;0,N(I562)&gt;0),ROUND(I562/(H562/100)^2,1),"")</f>
        <v/>
      </c>
      <c r="K562" s="27"/>
      <c r="L562" s="27"/>
      <c r="M562" s="27"/>
      <c r="N562" s="27"/>
      <c r="O562" s="27"/>
      <c r="P562" s="27"/>
      <c r="Q562" s="27"/>
      <c r="R562" s="29"/>
      <c r="S562" s="29"/>
      <c r="T562" s="27"/>
      <c r="U562" s="28" t="str">
        <f aca="false">IF(N(T562)=0,"",IF(T562&lt;12,"Under 12 months",IF(T562&lt;36,"12-35 months",IF(T562&lt;60,"36-59 months","≥60 months"))))</f>
        <v/>
      </c>
      <c r="V562" s="27"/>
      <c r="W562" s="30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9"/>
      <c r="AT562" s="30"/>
      <c r="AU562" s="30"/>
      <c r="AV562" s="30"/>
      <c r="AW562" s="27"/>
      <c r="AX562" s="27"/>
      <c r="AY562" s="29"/>
      <c r="AZ562" s="27"/>
      <c r="BA562" s="27"/>
      <c r="BB562" s="29"/>
      <c r="BC562" s="30"/>
      <c r="BD562" s="30"/>
      <c r="BE562" s="30"/>
      <c r="BF562" s="27"/>
      <c r="BG562" s="27"/>
      <c r="BH562" s="28" t="str">
        <f aca="false">IF(COUNT(BC562:BE562)=0,"",IF(MIN(BC562:BE562)&lt;=-2.5,"Yes","No"))</f>
        <v/>
      </c>
      <c r="BI562" s="27"/>
      <c r="BJ562" s="29"/>
      <c r="BK562" s="27"/>
      <c r="BL562" s="27"/>
      <c r="BM562" s="27"/>
      <c r="BN562" s="28" t="str">
        <f aca="false">IF(OR(AX562="Yes",BI562="Yes"),"Yes",IF(AND(AX562="No",BI562="No"),"No",IF(AND(AX562="",BI562=""),"","Unknown")))</f>
        <v/>
      </c>
      <c r="BO562" s="31" t="str">
        <f aca="false">IF(COUNT(AY562,BJ562)=0,"",MIN(AY562,BJ562))</f>
        <v/>
      </c>
      <c r="BP562" s="29"/>
      <c r="BQ562" s="29"/>
      <c r="BR562" s="29"/>
      <c r="BS562" s="28" t="str">
        <f aca="false">IF(AND(N(BP562)&gt;0,N(BR562)&gt;0),BR562-BP562,"")</f>
        <v/>
      </c>
      <c r="BT562" s="28" t="str">
        <f aca="false">IF(BS562="","",ROUND(BS562/365.25,2))</f>
        <v/>
      </c>
      <c r="BU562" s="28" t="str">
        <f aca="false">IF(BS562="","",IF(BS562&gt;=730.5,"Yes","No"))</f>
        <v/>
      </c>
      <c r="BV562" s="27"/>
      <c r="BW562" s="29"/>
      <c r="BX562" s="27"/>
      <c r="BY562" s="27"/>
      <c r="BZ562" s="28" t="str">
        <f aca="false">IF(N(E562)=0,"",IF(E562&lt;65,"Under 65","≥65"))</f>
        <v/>
      </c>
      <c r="CA562" s="28" t="str">
        <f aca="false">IF(OR(AC562="Yes",AC562="No"),AC562,"")</f>
        <v/>
      </c>
      <c r="CB562" s="28" t="str">
        <f aca="false">IF(OR(AD562="Yes",AD562="No"),AD562,"")</f>
        <v/>
      </c>
      <c r="CC562" s="28" t="str">
        <f aca="false">IF(F562="","",F562)</f>
        <v/>
      </c>
      <c r="CD562" s="27"/>
      <c r="CE562" s="27"/>
    </row>
    <row r="563" customFormat="false" ht="15" hidden="false" customHeight="false" outlineLevel="0" collapsed="false">
      <c r="A563" s="27"/>
      <c r="B563" s="27"/>
      <c r="C563" s="27"/>
      <c r="D563" s="27"/>
      <c r="E563" s="27"/>
      <c r="F563" s="27"/>
      <c r="G563" s="27"/>
      <c r="H563" s="27"/>
      <c r="I563" s="27"/>
      <c r="J563" s="28" t="str">
        <f aca="false">IF(AND(N(H563)&gt;0,N(I563)&gt;0),ROUND(I563/(H563/100)^2,1),"")</f>
        <v/>
      </c>
      <c r="K563" s="27"/>
      <c r="L563" s="27"/>
      <c r="M563" s="27"/>
      <c r="N563" s="27"/>
      <c r="O563" s="27"/>
      <c r="P563" s="27"/>
      <c r="Q563" s="27"/>
      <c r="R563" s="29"/>
      <c r="S563" s="29"/>
      <c r="T563" s="27"/>
      <c r="U563" s="28" t="str">
        <f aca="false">IF(N(T563)=0,"",IF(T563&lt;12,"Under 12 months",IF(T563&lt;36,"12-35 months",IF(T563&lt;60,"36-59 months","≥60 months"))))</f>
        <v/>
      </c>
      <c r="V563" s="27"/>
      <c r="W563" s="30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9"/>
      <c r="AT563" s="30"/>
      <c r="AU563" s="30"/>
      <c r="AV563" s="30"/>
      <c r="AW563" s="27"/>
      <c r="AX563" s="27"/>
      <c r="AY563" s="29"/>
      <c r="AZ563" s="27"/>
      <c r="BA563" s="27"/>
      <c r="BB563" s="29"/>
      <c r="BC563" s="30"/>
      <c r="BD563" s="30"/>
      <c r="BE563" s="30"/>
      <c r="BF563" s="27"/>
      <c r="BG563" s="27"/>
      <c r="BH563" s="28" t="str">
        <f aca="false">IF(COUNT(BC563:BE563)=0,"",IF(MIN(BC563:BE563)&lt;=-2.5,"Yes","No"))</f>
        <v/>
      </c>
      <c r="BI563" s="27"/>
      <c r="BJ563" s="29"/>
      <c r="BK563" s="27"/>
      <c r="BL563" s="27"/>
      <c r="BM563" s="27"/>
      <c r="BN563" s="28" t="str">
        <f aca="false">IF(OR(AX563="Yes",BI563="Yes"),"Yes",IF(AND(AX563="No",BI563="No"),"No",IF(AND(AX563="",BI563=""),"","Unknown")))</f>
        <v/>
      </c>
      <c r="BO563" s="31" t="str">
        <f aca="false">IF(COUNT(AY563,BJ563)=0,"",MIN(AY563,BJ563))</f>
        <v/>
      </c>
      <c r="BP563" s="29"/>
      <c r="BQ563" s="29"/>
      <c r="BR563" s="29"/>
      <c r="BS563" s="28" t="str">
        <f aca="false">IF(AND(N(BP563)&gt;0,N(BR563)&gt;0),BR563-BP563,"")</f>
        <v/>
      </c>
      <c r="BT563" s="28" t="str">
        <f aca="false">IF(BS563="","",ROUND(BS563/365.25,2))</f>
        <v/>
      </c>
      <c r="BU563" s="28" t="str">
        <f aca="false">IF(BS563="","",IF(BS563&gt;=730.5,"Yes","No"))</f>
        <v/>
      </c>
      <c r="BV563" s="27"/>
      <c r="BW563" s="29"/>
      <c r="BX563" s="27"/>
      <c r="BY563" s="27"/>
      <c r="BZ563" s="28" t="str">
        <f aca="false">IF(N(E563)=0,"",IF(E563&lt;65,"Under 65","≥65"))</f>
        <v/>
      </c>
      <c r="CA563" s="28" t="str">
        <f aca="false">IF(OR(AC563="Yes",AC563="No"),AC563,"")</f>
        <v/>
      </c>
      <c r="CB563" s="28" t="str">
        <f aca="false">IF(OR(AD563="Yes",AD563="No"),AD563,"")</f>
        <v/>
      </c>
      <c r="CC563" s="28" t="str">
        <f aca="false">IF(F563="","",F563)</f>
        <v/>
      </c>
      <c r="CD563" s="27"/>
      <c r="CE563" s="27"/>
    </row>
    <row r="564" customFormat="false" ht="15" hidden="false" customHeight="false" outlineLevel="0" collapsed="false">
      <c r="A564" s="27"/>
      <c r="B564" s="27"/>
      <c r="C564" s="27"/>
      <c r="D564" s="27"/>
      <c r="E564" s="27"/>
      <c r="F564" s="27"/>
      <c r="G564" s="27"/>
      <c r="H564" s="27"/>
      <c r="I564" s="27"/>
      <c r="J564" s="28" t="str">
        <f aca="false">IF(AND(N(H564)&gt;0,N(I564)&gt;0),ROUND(I564/(H564/100)^2,1),"")</f>
        <v/>
      </c>
      <c r="K564" s="27"/>
      <c r="L564" s="27"/>
      <c r="M564" s="27"/>
      <c r="N564" s="27"/>
      <c r="O564" s="27"/>
      <c r="P564" s="27"/>
      <c r="Q564" s="27"/>
      <c r="R564" s="29"/>
      <c r="S564" s="29"/>
      <c r="T564" s="27"/>
      <c r="U564" s="28" t="str">
        <f aca="false">IF(N(T564)=0,"",IF(T564&lt;12,"Under 12 months",IF(T564&lt;36,"12-35 months",IF(T564&lt;60,"36-59 months","≥60 months"))))</f>
        <v/>
      </c>
      <c r="V564" s="27"/>
      <c r="W564" s="30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9"/>
      <c r="AT564" s="30"/>
      <c r="AU564" s="30"/>
      <c r="AV564" s="30"/>
      <c r="AW564" s="27"/>
      <c r="AX564" s="27"/>
      <c r="AY564" s="29"/>
      <c r="AZ564" s="27"/>
      <c r="BA564" s="27"/>
      <c r="BB564" s="29"/>
      <c r="BC564" s="30"/>
      <c r="BD564" s="30"/>
      <c r="BE564" s="30"/>
      <c r="BF564" s="27"/>
      <c r="BG564" s="27"/>
      <c r="BH564" s="28" t="str">
        <f aca="false">IF(COUNT(BC564:BE564)=0,"",IF(MIN(BC564:BE564)&lt;=-2.5,"Yes","No"))</f>
        <v/>
      </c>
      <c r="BI564" s="27"/>
      <c r="BJ564" s="29"/>
      <c r="BK564" s="27"/>
      <c r="BL564" s="27"/>
      <c r="BM564" s="27"/>
      <c r="BN564" s="28" t="str">
        <f aca="false">IF(OR(AX564="Yes",BI564="Yes"),"Yes",IF(AND(AX564="No",BI564="No"),"No",IF(AND(AX564="",BI564=""),"","Unknown")))</f>
        <v/>
      </c>
      <c r="BO564" s="31" t="str">
        <f aca="false">IF(COUNT(AY564,BJ564)=0,"",MIN(AY564,BJ564))</f>
        <v/>
      </c>
      <c r="BP564" s="29"/>
      <c r="BQ564" s="29"/>
      <c r="BR564" s="29"/>
      <c r="BS564" s="28" t="str">
        <f aca="false">IF(AND(N(BP564)&gt;0,N(BR564)&gt;0),BR564-BP564,"")</f>
        <v/>
      </c>
      <c r="BT564" s="28" t="str">
        <f aca="false">IF(BS564="","",ROUND(BS564/365.25,2))</f>
        <v/>
      </c>
      <c r="BU564" s="28" t="str">
        <f aca="false">IF(BS564="","",IF(BS564&gt;=730.5,"Yes","No"))</f>
        <v/>
      </c>
      <c r="BV564" s="27"/>
      <c r="BW564" s="29"/>
      <c r="BX564" s="27"/>
      <c r="BY564" s="27"/>
      <c r="BZ564" s="28" t="str">
        <f aca="false">IF(N(E564)=0,"",IF(E564&lt;65,"Under 65","≥65"))</f>
        <v/>
      </c>
      <c r="CA564" s="28" t="str">
        <f aca="false">IF(OR(AC564="Yes",AC564="No"),AC564,"")</f>
        <v/>
      </c>
      <c r="CB564" s="28" t="str">
        <f aca="false">IF(OR(AD564="Yes",AD564="No"),AD564,"")</f>
        <v/>
      </c>
      <c r="CC564" s="28" t="str">
        <f aca="false">IF(F564="","",F564)</f>
        <v/>
      </c>
      <c r="CD564" s="27"/>
      <c r="CE564" s="27"/>
    </row>
    <row r="565" customFormat="false" ht="15" hidden="false" customHeight="false" outlineLevel="0" collapsed="false">
      <c r="A565" s="27"/>
      <c r="B565" s="27"/>
      <c r="C565" s="27"/>
      <c r="D565" s="27"/>
      <c r="E565" s="27"/>
      <c r="F565" s="27"/>
      <c r="G565" s="27"/>
      <c r="H565" s="27"/>
      <c r="I565" s="27"/>
      <c r="J565" s="28" t="str">
        <f aca="false">IF(AND(N(H565)&gt;0,N(I565)&gt;0),ROUND(I565/(H565/100)^2,1),"")</f>
        <v/>
      </c>
      <c r="K565" s="27"/>
      <c r="L565" s="27"/>
      <c r="M565" s="27"/>
      <c r="N565" s="27"/>
      <c r="O565" s="27"/>
      <c r="P565" s="27"/>
      <c r="Q565" s="27"/>
      <c r="R565" s="29"/>
      <c r="S565" s="29"/>
      <c r="T565" s="27"/>
      <c r="U565" s="28" t="str">
        <f aca="false">IF(N(T565)=0,"",IF(T565&lt;12,"Under 12 months",IF(T565&lt;36,"12-35 months",IF(T565&lt;60,"36-59 months","≥60 months"))))</f>
        <v/>
      </c>
      <c r="V565" s="27"/>
      <c r="W565" s="30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9"/>
      <c r="AT565" s="30"/>
      <c r="AU565" s="30"/>
      <c r="AV565" s="30"/>
      <c r="AW565" s="27"/>
      <c r="AX565" s="27"/>
      <c r="AY565" s="29"/>
      <c r="AZ565" s="27"/>
      <c r="BA565" s="27"/>
      <c r="BB565" s="29"/>
      <c r="BC565" s="30"/>
      <c r="BD565" s="30"/>
      <c r="BE565" s="30"/>
      <c r="BF565" s="27"/>
      <c r="BG565" s="27"/>
      <c r="BH565" s="28" t="str">
        <f aca="false">IF(COUNT(BC565:BE565)=0,"",IF(MIN(BC565:BE565)&lt;=-2.5,"Yes","No"))</f>
        <v/>
      </c>
      <c r="BI565" s="27"/>
      <c r="BJ565" s="29"/>
      <c r="BK565" s="27"/>
      <c r="BL565" s="27"/>
      <c r="BM565" s="27"/>
      <c r="BN565" s="28" t="str">
        <f aca="false">IF(OR(AX565="Yes",BI565="Yes"),"Yes",IF(AND(AX565="No",BI565="No"),"No",IF(AND(AX565="",BI565=""),"","Unknown")))</f>
        <v/>
      </c>
      <c r="BO565" s="31" t="str">
        <f aca="false">IF(COUNT(AY565,BJ565)=0,"",MIN(AY565,BJ565))</f>
        <v/>
      </c>
      <c r="BP565" s="29"/>
      <c r="BQ565" s="29"/>
      <c r="BR565" s="29"/>
      <c r="BS565" s="28" t="str">
        <f aca="false">IF(AND(N(BP565)&gt;0,N(BR565)&gt;0),BR565-BP565,"")</f>
        <v/>
      </c>
      <c r="BT565" s="28" t="str">
        <f aca="false">IF(BS565="","",ROUND(BS565/365.25,2))</f>
        <v/>
      </c>
      <c r="BU565" s="28" t="str">
        <f aca="false">IF(BS565="","",IF(BS565&gt;=730.5,"Yes","No"))</f>
        <v/>
      </c>
      <c r="BV565" s="27"/>
      <c r="BW565" s="29"/>
      <c r="BX565" s="27"/>
      <c r="BY565" s="27"/>
      <c r="BZ565" s="28" t="str">
        <f aca="false">IF(N(E565)=0,"",IF(E565&lt;65,"Under 65","≥65"))</f>
        <v/>
      </c>
      <c r="CA565" s="28" t="str">
        <f aca="false">IF(OR(AC565="Yes",AC565="No"),AC565,"")</f>
        <v/>
      </c>
      <c r="CB565" s="28" t="str">
        <f aca="false">IF(OR(AD565="Yes",AD565="No"),AD565,"")</f>
        <v/>
      </c>
      <c r="CC565" s="28" t="str">
        <f aca="false">IF(F565="","",F565)</f>
        <v/>
      </c>
      <c r="CD565" s="27"/>
      <c r="CE565" s="27"/>
    </row>
    <row r="566" customFormat="false" ht="15" hidden="false" customHeight="false" outlineLevel="0" collapsed="false">
      <c r="A566" s="27"/>
      <c r="B566" s="27"/>
      <c r="C566" s="27"/>
      <c r="D566" s="27"/>
      <c r="E566" s="27"/>
      <c r="F566" s="27"/>
      <c r="G566" s="27"/>
      <c r="H566" s="27"/>
      <c r="I566" s="27"/>
      <c r="J566" s="28" t="str">
        <f aca="false">IF(AND(N(H566)&gt;0,N(I566)&gt;0),ROUND(I566/(H566/100)^2,1),"")</f>
        <v/>
      </c>
      <c r="K566" s="27"/>
      <c r="L566" s="27"/>
      <c r="M566" s="27"/>
      <c r="N566" s="27"/>
      <c r="O566" s="27"/>
      <c r="P566" s="27"/>
      <c r="Q566" s="27"/>
      <c r="R566" s="29"/>
      <c r="S566" s="29"/>
      <c r="T566" s="27"/>
      <c r="U566" s="28" t="str">
        <f aca="false">IF(N(T566)=0,"",IF(T566&lt;12,"Under 12 months",IF(T566&lt;36,"12-35 months",IF(T566&lt;60,"36-59 months","≥60 months"))))</f>
        <v/>
      </c>
      <c r="V566" s="27"/>
      <c r="W566" s="30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9"/>
      <c r="AT566" s="30"/>
      <c r="AU566" s="30"/>
      <c r="AV566" s="30"/>
      <c r="AW566" s="27"/>
      <c r="AX566" s="27"/>
      <c r="AY566" s="29"/>
      <c r="AZ566" s="27"/>
      <c r="BA566" s="27"/>
      <c r="BB566" s="29"/>
      <c r="BC566" s="30"/>
      <c r="BD566" s="30"/>
      <c r="BE566" s="30"/>
      <c r="BF566" s="27"/>
      <c r="BG566" s="27"/>
      <c r="BH566" s="28" t="str">
        <f aca="false">IF(COUNT(BC566:BE566)=0,"",IF(MIN(BC566:BE566)&lt;=-2.5,"Yes","No"))</f>
        <v/>
      </c>
      <c r="BI566" s="27"/>
      <c r="BJ566" s="29"/>
      <c r="BK566" s="27"/>
      <c r="BL566" s="27"/>
      <c r="BM566" s="27"/>
      <c r="BN566" s="28" t="str">
        <f aca="false">IF(OR(AX566="Yes",BI566="Yes"),"Yes",IF(AND(AX566="No",BI566="No"),"No",IF(AND(AX566="",BI566=""),"","Unknown")))</f>
        <v/>
      </c>
      <c r="BO566" s="31" t="str">
        <f aca="false">IF(COUNT(AY566,BJ566)=0,"",MIN(AY566,BJ566))</f>
        <v/>
      </c>
      <c r="BP566" s="29"/>
      <c r="BQ566" s="29"/>
      <c r="BR566" s="29"/>
      <c r="BS566" s="28" t="str">
        <f aca="false">IF(AND(N(BP566)&gt;0,N(BR566)&gt;0),BR566-BP566,"")</f>
        <v/>
      </c>
      <c r="BT566" s="28" t="str">
        <f aca="false">IF(BS566="","",ROUND(BS566/365.25,2))</f>
        <v/>
      </c>
      <c r="BU566" s="28" t="str">
        <f aca="false">IF(BS566="","",IF(BS566&gt;=730.5,"Yes","No"))</f>
        <v/>
      </c>
      <c r="BV566" s="27"/>
      <c r="BW566" s="29"/>
      <c r="BX566" s="27"/>
      <c r="BY566" s="27"/>
      <c r="BZ566" s="28" t="str">
        <f aca="false">IF(N(E566)=0,"",IF(E566&lt;65,"Under 65","≥65"))</f>
        <v/>
      </c>
      <c r="CA566" s="28" t="str">
        <f aca="false">IF(OR(AC566="Yes",AC566="No"),AC566,"")</f>
        <v/>
      </c>
      <c r="CB566" s="28" t="str">
        <f aca="false">IF(OR(AD566="Yes",AD566="No"),AD566,"")</f>
        <v/>
      </c>
      <c r="CC566" s="28" t="str">
        <f aca="false">IF(F566="","",F566)</f>
        <v/>
      </c>
      <c r="CD566" s="27"/>
      <c r="CE566" s="27"/>
    </row>
    <row r="567" customFormat="false" ht="15" hidden="false" customHeight="false" outlineLevel="0" collapsed="false">
      <c r="A567" s="27"/>
      <c r="B567" s="27"/>
      <c r="C567" s="27"/>
      <c r="D567" s="27"/>
      <c r="E567" s="27"/>
      <c r="F567" s="27"/>
      <c r="G567" s="27"/>
      <c r="H567" s="27"/>
      <c r="I567" s="27"/>
      <c r="J567" s="28" t="str">
        <f aca="false">IF(AND(N(H567)&gt;0,N(I567)&gt;0),ROUND(I567/(H567/100)^2,1),"")</f>
        <v/>
      </c>
      <c r="K567" s="27"/>
      <c r="L567" s="27"/>
      <c r="M567" s="27"/>
      <c r="N567" s="27"/>
      <c r="O567" s="27"/>
      <c r="P567" s="27"/>
      <c r="Q567" s="27"/>
      <c r="R567" s="29"/>
      <c r="S567" s="29"/>
      <c r="T567" s="27"/>
      <c r="U567" s="28" t="str">
        <f aca="false">IF(N(T567)=0,"",IF(T567&lt;12,"Under 12 months",IF(T567&lt;36,"12-35 months",IF(T567&lt;60,"36-59 months","≥60 months"))))</f>
        <v/>
      </c>
      <c r="V567" s="27"/>
      <c r="W567" s="30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9"/>
      <c r="AT567" s="30"/>
      <c r="AU567" s="30"/>
      <c r="AV567" s="30"/>
      <c r="AW567" s="27"/>
      <c r="AX567" s="27"/>
      <c r="AY567" s="29"/>
      <c r="AZ567" s="27"/>
      <c r="BA567" s="27"/>
      <c r="BB567" s="29"/>
      <c r="BC567" s="30"/>
      <c r="BD567" s="30"/>
      <c r="BE567" s="30"/>
      <c r="BF567" s="27"/>
      <c r="BG567" s="27"/>
      <c r="BH567" s="28" t="str">
        <f aca="false">IF(COUNT(BC567:BE567)=0,"",IF(MIN(BC567:BE567)&lt;=-2.5,"Yes","No"))</f>
        <v/>
      </c>
      <c r="BI567" s="27"/>
      <c r="BJ567" s="29"/>
      <c r="BK567" s="27"/>
      <c r="BL567" s="27"/>
      <c r="BM567" s="27"/>
      <c r="BN567" s="28" t="str">
        <f aca="false">IF(OR(AX567="Yes",BI567="Yes"),"Yes",IF(AND(AX567="No",BI567="No"),"No",IF(AND(AX567="",BI567=""),"","Unknown")))</f>
        <v/>
      </c>
      <c r="BO567" s="31" t="str">
        <f aca="false">IF(COUNT(AY567,BJ567)=0,"",MIN(AY567,BJ567))</f>
        <v/>
      </c>
      <c r="BP567" s="29"/>
      <c r="BQ567" s="29"/>
      <c r="BR567" s="29"/>
      <c r="BS567" s="28" t="str">
        <f aca="false">IF(AND(N(BP567)&gt;0,N(BR567)&gt;0),BR567-BP567,"")</f>
        <v/>
      </c>
      <c r="BT567" s="28" t="str">
        <f aca="false">IF(BS567="","",ROUND(BS567/365.25,2))</f>
        <v/>
      </c>
      <c r="BU567" s="28" t="str">
        <f aca="false">IF(BS567="","",IF(BS567&gt;=730.5,"Yes","No"))</f>
        <v/>
      </c>
      <c r="BV567" s="27"/>
      <c r="BW567" s="29"/>
      <c r="BX567" s="27"/>
      <c r="BY567" s="27"/>
      <c r="BZ567" s="28" t="str">
        <f aca="false">IF(N(E567)=0,"",IF(E567&lt;65,"Under 65","≥65"))</f>
        <v/>
      </c>
      <c r="CA567" s="28" t="str">
        <f aca="false">IF(OR(AC567="Yes",AC567="No"),AC567,"")</f>
        <v/>
      </c>
      <c r="CB567" s="28" t="str">
        <f aca="false">IF(OR(AD567="Yes",AD567="No"),AD567,"")</f>
        <v/>
      </c>
      <c r="CC567" s="28" t="str">
        <f aca="false">IF(F567="","",F567)</f>
        <v/>
      </c>
      <c r="CD567" s="27"/>
      <c r="CE567" s="27"/>
    </row>
    <row r="568" customFormat="false" ht="15" hidden="false" customHeight="false" outlineLevel="0" collapsed="false">
      <c r="A568" s="27"/>
      <c r="B568" s="27"/>
      <c r="C568" s="27"/>
      <c r="D568" s="27"/>
      <c r="E568" s="27"/>
      <c r="F568" s="27"/>
      <c r="G568" s="27"/>
      <c r="H568" s="27"/>
      <c r="I568" s="27"/>
      <c r="J568" s="28" t="str">
        <f aca="false">IF(AND(N(H568)&gt;0,N(I568)&gt;0),ROUND(I568/(H568/100)^2,1),"")</f>
        <v/>
      </c>
      <c r="K568" s="27"/>
      <c r="L568" s="27"/>
      <c r="M568" s="27"/>
      <c r="N568" s="27"/>
      <c r="O568" s="27"/>
      <c r="P568" s="27"/>
      <c r="Q568" s="27"/>
      <c r="R568" s="29"/>
      <c r="S568" s="29"/>
      <c r="T568" s="27"/>
      <c r="U568" s="28" t="str">
        <f aca="false">IF(N(T568)=0,"",IF(T568&lt;12,"Under 12 months",IF(T568&lt;36,"12-35 months",IF(T568&lt;60,"36-59 months","≥60 months"))))</f>
        <v/>
      </c>
      <c r="V568" s="27"/>
      <c r="W568" s="30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9"/>
      <c r="AT568" s="30"/>
      <c r="AU568" s="30"/>
      <c r="AV568" s="30"/>
      <c r="AW568" s="27"/>
      <c r="AX568" s="27"/>
      <c r="AY568" s="29"/>
      <c r="AZ568" s="27"/>
      <c r="BA568" s="27"/>
      <c r="BB568" s="29"/>
      <c r="BC568" s="30"/>
      <c r="BD568" s="30"/>
      <c r="BE568" s="30"/>
      <c r="BF568" s="27"/>
      <c r="BG568" s="27"/>
      <c r="BH568" s="28" t="str">
        <f aca="false">IF(COUNT(BC568:BE568)=0,"",IF(MIN(BC568:BE568)&lt;=-2.5,"Yes","No"))</f>
        <v/>
      </c>
      <c r="BI568" s="27"/>
      <c r="BJ568" s="29"/>
      <c r="BK568" s="27"/>
      <c r="BL568" s="27"/>
      <c r="BM568" s="27"/>
      <c r="BN568" s="28" t="str">
        <f aca="false">IF(OR(AX568="Yes",BI568="Yes"),"Yes",IF(AND(AX568="No",BI568="No"),"No",IF(AND(AX568="",BI568=""),"","Unknown")))</f>
        <v/>
      </c>
      <c r="BO568" s="31" t="str">
        <f aca="false">IF(COUNT(AY568,BJ568)=0,"",MIN(AY568,BJ568))</f>
        <v/>
      </c>
      <c r="BP568" s="29"/>
      <c r="BQ568" s="29"/>
      <c r="BR568" s="29"/>
      <c r="BS568" s="28" t="str">
        <f aca="false">IF(AND(N(BP568)&gt;0,N(BR568)&gt;0),BR568-BP568,"")</f>
        <v/>
      </c>
      <c r="BT568" s="28" t="str">
        <f aca="false">IF(BS568="","",ROUND(BS568/365.25,2))</f>
        <v/>
      </c>
      <c r="BU568" s="28" t="str">
        <f aca="false">IF(BS568="","",IF(BS568&gt;=730.5,"Yes","No"))</f>
        <v/>
      </c>
      <c r="BV568" s="27"/>
      <c r="BW568" s="29"/>
      <c r="BX568" s="27"/>
      <c r="BY568" s="27"/>
      <c r="BZ568" s="28" t="str">
        <f aca="false">IF(N(E568)=0,"",IF(E568&lt;65,"Under 65","≥65"))</f>
        <v/>
      </c>
      <c r="CA568" s="28" t="str">
        <f aca="false">IF(OR(AC568="Yes",AC568="No"),AC568,"")</f>
        <v/>
      </c>
      <c r="CB568" s="28" t="str">
        <f aca="false">IF(OR(AD568="Yes",AD568="No"),AD568,"")</f>
        <v/>
      </c>
      <c r="CC568" s="28" t="str">
        <f aca="false">IF(F568="","",F568)</f>
        <v/>
      </c>
      <c r="CD568" s="27"/>
      <c r="CE568" s="27"/>
    </row>
    <row r="569" customFormat="false" ht="15" hidden="false" customHeight="false" outlineLevel="0" collapsed="false">
      <c r="A569" s="27"/>
      <c r="B569" s="27"/>
      <c r="C569" s="27"/>
      <c r="D569" s="27"/>
      <c r="E569" s="27"/>
      <c r="F569" s="27"/>
      <c r="G569" s="27"/>
      <c r="H569" s="27"/>
      <c r="I569" s="27"/>
      <c r="J569" s="28" t="str">
        <f aca="false">IF(AND(N(H569)&gt;0,N(I569)&gt;0),ROUND(I569/(H569/100)^2,1),"")</f>
        <v/>
      </c>
      <c r="K569" s="27"/>
      <c r="L569" s="27"/>
      <c r="M569" s="27"/>
      <c r="N569" s="27"/>
      <c r="O569" s="27"/>
      <c r="P569" s="27"/>
      <c r="Q569" s="27"/>
      <c r="R569" s="29"/>
      <c r="S569" s="29"/>
      <c r="T569" s="27"/>
      <c r="U569" s="28" t="str">
        <f aca="false">IF(N(T569)=0,"",IF(T569&lt;12,"Under 12 months",IF(T569&lt;36,"12-35 months",IF(T569&lt;60,"36-59 months","≥60 months"))))</f>
        <v/>
      </c>
      <c r="V569" s="27"/>
      <c r="W569" s="30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9"/>
      <c r="AT569" s="30"/>
      <c r="AU569" s="30"/>
      <c r="AV569" s="30"/>
      <c r="AW569" s="27"/>
      <c r="AX569" s="27"/>
      <c r="AY569" s="29"/>
      <c r="AZ569" s="27"/>
      <c r="BA569" s="27"/>
      <c r="BB569" s="29"/>
      <c r="BC569" s="30"/>
      <c r="BD569" s="30"/>
      <c r="BE569" s="30"/>
      <c r="BF569" s="27"/>
      <c r="BG569" s="27"/>
      <c r="BH569" s="28" t="str">
        <f aca="false">IF(COUNT(BC569:BE569)=0,"",IF(MIN(BC569:BE569)&lt;=-2.5,"Yes","No"))</f>
        <v/>
      </c>
      <c r="BI569" s="27"/>
      <c r="BJ569" s="29"/>
      <c r="BK569" s="27"/>
      <c r="BL569" s="27"/>
      <c r="BM569" s="27"/>
      <c r="BN569" s="28" t="str">
        <f aca="false">IF(OR(AX569="Yes",BI569="Yes"),"Yes",IF(AND(AX569="No",BI569="No"),"No",IF(AND(AX569="",BI569=""),"","Unknown")))</f>
        <v/>
      </c>
      <c r="BO569" s="31" t="str">
        <f aca="false">IF(COUNT(AY569,BJ569)=0,"",MIN(AY569,BJ569))</f>
        <v/>
      </c>
      <c r="BP569" s="29"/>
      <c r="BQ569" s="29"/>
      <c r="BR569" s="29"/>
      <c r="BS569" s="28" t="str">
        <f aca="false">IF(AND(N(BP569)&gt;0,N(BR569)&gt;0),BR569-BP569,"")</f>
        <v/>
      </c>
      <c r="BT569" s="28" t="str">
        <f aca="false">IF(BS569="","",ROUND(BS569/365.25,2))</f>
        <v/>
      </c>
      <c r="BU569" s="28" t="str">
        <f aca="false">IF(BS569="","",IF(BS569&gt;=730.5,"Yes","No"))</f>
        <v/>
      </c>
      <c r="BV569" s="27"/>
      <c r="BW569" s="29"/>
      <c r="BX569" s="27"/>
      <c r="BY569" s="27"/>
      <c r="BZ569" s="28" t="str">
        <f aca="false">IF(N(E569)=0,"",IF(E569&lt;65,"Under 65","≥65"))</f>
        <v/>
      </c>
      <c r="CA569" s="28" t="str">
        <f aca="false">IF(OR(AC569="Yes",AC569="No"),AC569,"")</f>
        <v/>
      </c>
      <c r="CB569" s="28" t="str">
        <f aca="false">IF(OR(AD569="Yes",AD569="No"),AD569,"")</f>
        <v/>
      </c>
      <c r="CC569" s="28" t="str">
        <f aca="false">IF(F569="","",F569)</f>
        <v/>
      </c>
      <c r="CD569" s="27"/>
      <c r="CE569" s="27"/>
    </row>
    <row r="570" customFormat="false" ht="15" hidden="false" customHeight="false" outlineLevel="0" collapsed="false">
      <c r="A570" s="27"/>
      <c r="B570" s="27"/>
      <c r="C570" s="27"/>
      <c r="D570" s="27"/>
      <c r="E570" s="27"/>
      <c r="F570" s="27"/>
      <c r="G570" s="27"/>
      <c r="H570" s="27"/>
      <c r="I570" s="27"/>
      <c r="J570" s="28" t="str">
        <f aca="false">IF(AND(N(H570)&gt;0,N(I570)&gt;0),ROUND(I570/(H570/100)^2,1),"")</f>
        <v/>
      </c>
      <c r="K570" s="27"/>
      <c r="L570" s="27"/>
      <c r="M570" s="27"/>
      <c r="N570" s="27"/>
      <c r="O570" s="27"/>
      <c r="P570" s="27"/>
      <c r="Q570" s="27"/>
      <c r="R570" s="29"/>
      <c r="S570" s="29"/>
      <c r="T570" s="27"/>
      <c r="U570" s="28" t="str">
        <f aca="false">IF(N(T570)=0,"",IF(T570&lt;12,"Under 12 months",IF(T570&lt;36,"12-35 months",IF(T570&lt;60,"36-59 months","≥60 months"))))</f>
        <v/>
      </c>
      <c r="V570" s="27"/>
      <c r="W570" s="30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9"/>
      <c r="AT570" s="30"/>
      <c r="AU570" s="30"/>
      <c r="AV570" s="30"/>
      <c r="AW570" s="27"/>
      <c r="AX570" s="27"/>
      <c r="AY570" s="29"/>
      <c r="AZ570" s="27"/>
      <c r="BA570" s="27"/>
      <c r="BB570" s="29"/>
      <c r="BC570" s="30"/>
      <c r="BD570" s="30"/>
      <c r="BE570" s="30"/>
      <c r="BF570" s="27"/>
      <c r="BG570" s="27"/>
      <c r="BH570" s="28" t="str">
        <f aca="false">IF(COUNT(BC570:BE570)=0,"",IF(MIN(BC570:BE570)&lt;=-2.5,"Yes","No"))</f>
        <v/>
      </c>
      <c r="BI570" s="27"/>
      <c r="BJ570" s="29"/>
      <c r="BK570" s="27"/>
      <c r="BL570" s="27"/>
      <c r="BM570" s="27"/>
      <c r="BN570" s="28" t="str">
        <f aca="false">IF(OR(AX570="Yes",BI570="Yes"),"Yes",IF(AND(AX570="No",BI570="No"),"No",IF(AND(AX570="",BI570=""),"","Unknown")))</f>
        <v/>
      </c>
      <c r="BO570" s="31" t="str">
        <f aca="false">IF(COUNT(AY570,BJ570)=0,"",MIN(AY570,BJ570))</f>
        <v/>
      </c>
      <c r="BP570" s="29"/>
      <c r="BQ570" s="29"/>
      <c r="BR570" s="29"/>
      <c r="BS570" s="28" t="str">
        <f aca="false">IF(AND(N(BP570)&gt;0,N(BR570)&gt;0),BR570-BP570,"")</f>
        <v/>
      </c>
      <c r="BT570" s="28" t="str">
        <f aca="false">IF(BS570="","",ROUND(BS570/365.25,2))</f>
        <v/>
      </c>
      <c r="BU570" s="28" t="str">
        <f aca="false">IF(BS570="","",IF(BS570&gt;=730.5,"Yes","No"))</f>
        <v/>
      </c>
      <c r="BV570" s="27"/>
      <c r="BW570" s="29"/>
      <c r="BX570" s="27"/>
      <c r="BY570" s="27"/>
      <c r="BZ570" s="28" t="str">
        <f aca="false">IF(N(E570)=0,"",IF(E570&lt;65,"Under 65","≥65"))</f>
        <v/>
      </c>
      <c r="CA570" s="28" t="str">
        <f aca="false">IF(OR(AC570="Yes",AC570="No"),AC570,"")</f>
        <v/>
      </c>
      <c r="CB570" s="28" t="str">
        <f aca="false">IF(OR(AD570="Yes",AD570="No"),AD570,"")</f>
        <v/>
      </c>
      <c r="CC570" s="28" t="str">
        <f aca="false">IF(F570="","",F570)</f>
        <v/>
      </c>
      <c r="CD570" s="27"/>
      <c r="CE570" s="27"/>
    </row>
    <row r="571" customFormat="false" ht="15" hidden="false" customHeight="false" outlineLevel="0" collapsed="false">
      <c r="A571" s="27"/>
      <c r="B571" s="27"/>
      <c r="C571" s="27"/>
      <c r="D571" s="27"/>
      <c r="E571" s="27"/>
      <c r="F571" s="27"/>
      <c r="G571" s="27"/>
      <c r="H571" s="27"/>
      <c r="I571" s="27"/>
      <c r="J571" s="28" t="str">
        <f aca="false">IF(AND(N(H571)&gt;0,N(I571)&gt;0),ROUND(I571/(H571/100)^2,1),"")</f>
        <v/>
      </c>
      <c r="K571" s="27"/>
      <c r="L571" s="27"/>
      <c r="M571" s="27"/>
      <c r="N571" s="27"/>
      <c r="O571" s="27"/>
      <c r="P571" s="27"/>
      <c r="Q571" s="27"/>
      <c r="R571" s="29"/>
      <c r="S571" s="29"/>
      <c r="T571" s="27"/>
      <c r="U571" s="28" t="str">
        <f aca="false">IF(N(T571)=0,"",IF(T571&lt;12,"Under 12 months",IF(T571&lt;36,"12-35 months",IF(T571&lt;60,"36-59 months","≥60 months"))))</f>
        <v/>
      </c>
      <c r="V571" s="27"/>
      <c r="W571" s="30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9"/>
      <c r="AT571" s="30"/>
      <c r="AU571" s="30"/>
      <c r="AV571" s="30"/>
      <c r="AW571" s="27"/>
      <c r="AX571" s="27"/>
      <c r="AY571" s="29"/>
      <c r="AZ571" s="27"/>
      <c r="BA571" s="27"/>
      <c r="BB571" s="29"/>
      <c r="BC571" s="30"/>
      <c r="BD571" s="30"/>
      <c r="BE571" s="30"/>
      <c r="BF571" s="27"/>
      <c r="BG571" s="27"/>
      <c r="BH571" s="28" t="str">
        <f aca="false">IF(COUNT(BC571:BE571)=0,"",IF(MIN(BC571:BE571)&lt;=-2.5,"Yes","No"))</f>
        <v/>
      </c>
      <c r="BI571" s="27"/>
      <c r="BJ571" s="29"/>
      <c r="BK571" s="27"/>
      <c r="BL571" s="27"/>
      <c r="BM571" s="27"/>
      <c r="BN571" s="28" t="str">
        <f aca="false">IF(OR(AX571="Yes",BI571="Yes"),"Yes",IF(AND(AX571="No",BI571="No"),"No",IF(AND(AX571="",BI571=""),"","Unknown")))</f>
        <v/>
      </c>
      <c r="BO571" s="31" t="str">
        <f aca="false">IF(COUNT(AY571,BJ571)=0,"",MIN(AY571,BJ571))</f>
        <v/>
      </c>
      <c r="BP571" s="29"/>
      <c r="BQ571" s="29"/>
      <c r="BR571" s="29"/>
      <c r="BS571" s="28" t="str">
        <f aca="false">IF(AND(N(BP571)&gt;0,N(BR571)&gt;0),BR571-BP571,"")</f>
        <v/>
      </c>
      <c r="BT571" s="28" t="str">
        <f aca="false">IF(BS571="","",ROUND(BS571/365.25,2))</f>
        <v/>
      </c>
      <c r="BU571" s="28" t="str">
        <f aca="false">IF(BS571="","",IF(BS571&gt;=730.5,"Yes","No"))</f>
        <v/>
      </c>
      <c r="BV571" s="27"/>
      <c r="BW571" s="29"/>
      <c r="BX571" s="27"/>
      <c r="BY571" s="27"/>
      <c r="BZ571" s="28" t="str">
        <f aca="false">IF(N(E571)=0,"",IF(E571&lt;65,"Under 65","≥65"))</f>
        <v/>
      </c>
      <c r="CA571" s="28" t="str">
        <f aca="false">IF(OR(AC571="Yes",AC571="No"),AC571,"")</f>
        <v/>
      </c>
      <c r="CB571" s="28" t="str">
        <f aca="false">IF(OR(AD571="Yes",AD571="No"),AD571,"")</f>
        <v/>
      </c>
      <c r="CC571" s="28" t="str">
        <f aca="false">IF(F571="","",F571)</f>
        <v/>
      </c>
      <c r="CD571" s="27"/>
      <c r="CE571" s="27"/>
    </row>
    <row r="572" customFormat="false" ht="15" hidden="false" customHeight="false" outlineLevel="0" collapsed="false">
      <c r="A572" s="27"/>
      <c r="B572" s="27"/>
      <c r="C572" s="27"/>
      <c r="D572" s="27"/>
      <c r="E572" s="27"/>
      <c r="F572" s="27"/>
      <c r="G572" s="27"/>
      <c r="H572" s="27"/>
      <c r="I572" s="27"/>
      <c r="J572" s="28" t="str">
        <f aca="false">IF(AND(N(H572)&gt;0,N(I572)&gt;0),ROUND(I572/(H572/100)^2,1),"")</f>
        <v/>
      </c>
      <c r="K572" s="27"/>
      <c r="L572" s="27"/>
      <c r="M572" s="27"/>
      <c r="N572" s="27"/>
      <c r="O572" s="27"/>
      <c r="P572" s="27"/>
      <c r="Q572" s="27"/>
      <c r="R572" s="29"/>
      <c r="S572" s="29"/>
      <c r="T572" s="27"/>
      <c r="U572" s="28" t="str">
        <f aca="false">IF(N(T572)=0,"",IF(T572&lt;12,"Under 12 months",IF(T572&lt;36,"12-35 months",IF(T572&lt;60,"36-59 months","≥60 months"))))</f>
        <v/>
      </c>
      <c r="V572" s="27"/>
      <c r="W572" s="30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9"/>
      <c r="AT572" s="30"/>
      <c r="AU572" s="30"/>
      <c r="AV572" s="30"/>
      <c r="AW572" s="27"/>
      <c r="AX572" s="27"/>
      <c r="AY572" s="29"/>
      <c r="AZ572" s="27"/>
      <c r="BA572" s="27"/>
      <c r="BB572" s="29"/>
      <c r="BC572" s="30"/>
      <c r="BD572" s="30"/>
      <c r="BE572" s="30"/>
      <c r="BF572" s="27"/>
      <c r="BG572" s="27"/>
      <c r="BH572" s="28" t="str">
        <f aca="false">IF(COUNT(BC572:BE572)=0,"",IF(MIN(BC572:BE572)&lt;=-2.5,"Yes","No"))</f>
        <v/>
      </c>
      <c r="BI572" s="27"/>
      <c r="BJ572" s="29"/>
      <c r="BK572" s="27"/>
      <c r="BL572" s="27"/>
      <c r="BM572" s="27"/>
      <c r="BN572" s="28" t="str">
        <f aca="false">IF(OR(AX572="Yes",BI572="Yes"),"Yes",IF(AND(AX572="No",BI572="No"),"No",IF(AND(AX572="",BI572=""),"","Unknown")))</f>
        <v/>
      </c>
      <c r="BO572" s="31" t="str">
        <f aca="false">IF(COUNT(AY572,BJ572)=0,"",MIN(AY572,BJ572))</f>
        <v/>
      </c>
      <c r="BP572" s="29"/>
      <c r="BQ572" s="29"/>
      <c r="BR572" s="29"/>
      <c r="BS572" s="28" t="str">
        <f aca="false">IF(AND(N(BP572)&gt;0,N(BR572)&gt;0),BR572-BP572,"")</f>
        <v/>
      </c>
      <c r="BT572" s="28" t="str">
        <f aca="false">IF(BS572="","",ROUND(BS572/365.25,2))</f>
        <v/>
      </c>
      <c r="BU572" s="28" t="str">
        <f aca="false">IF(BS572="","",IF(BS572&gt;=730.5,"Yes","No"))</f>
        <v/>
      </c>
      <c r="BV572" s="27"/>
      <c r="BW572" s="29"/>
      <c r="BX572" s="27"/>
      <c r="BY572" s="27"/>
      <c r="BZ572" s="28" t="str">
        <f aca="false">IF(N(E572)=0,"",IF(E572&lt;65,"Under 65","≥65"))</f>
        <v/>
      </c>
      <c r="CA572" s="28" t="str">
        <f aca="false">IF(OR(AC572="Yes",AC572="No"),AC572,"")</f>
        <v/>
      </c>
      <c r="CB572" s="28" t="str">
        <f aca="false">IF(OR(AD572="Yes",AD572="No"),AD572,"")</f>
        <v/>
      </c>
      <c r="CC572" s="28" t="str">
        <f aca="false">IF(F572="","",F572)</f>
        <v/>
      </c>
      <c r="CD572" s="27"/>
      <c r="CE572" s="27"/>
    </row>
    <row r="573" customFormat="false" ht="15" hidden="false" customHeight="false" outlineLevel="0" collapsed="false">
      <c r="A573" s="27"/>
      <c r="B573" s="27"/>
      <c r="C573" s="27"/>
      <c r="D573" s="27"/>
      <c r="E573" s="27"/>
      <c r="F573" s="27"/>
      <c r="G573" s="27"/>
      <c r="H573" s="27"/>
      <c r="I573" s="27"/>
      <c r="J573" s="28" t="str">
        <f aca="false">IF(AND(N(H573)&gt;0,N(I573)&gt;0),ROUND(I573/(H573/100)^2,1),"")</f>
        <v/>
      </c>
      <c r="K573" s="27"/>
      <c r="L573" s="27"/>
      <c r="M573" s="27"/>
      <c r="N573" s="27"/>
      <c r="O573" s="27"/>
      <c r="P573" s="27"/>
      <c r="Q573" s="27"/>
      <c r="R573" s="29"/>
      <c r="S573" s="29"/>
      <c r="T573" s="27"/>
      <c r="U573" s="28" t="str">
        <f aca="false">IF(N(T573)=0,"",IF(T573&lt;12,"Under 12 months",IF(T573&lt;36,"12-35 months",IF(T573&lt;60,"36-59 months","≥60 months"))))</f>
        <v/>
      </c>
      <c r="V573" s="27"/>
      <c r="W573" s="30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9"/>
      <c r="AT573" s="30"/>
      <c r="AU573" s="30"/>
      <c r="AV573" s="30"/>
      <c r="AW573" s="27"/>
      <c r="AX573" s="27"/>
      <c r="AY573" s="29"/>
      <c r="AZ573" s="27"/>
      <c r="BA573" s="27"/>
      <c r="BB573" s="29"/>
      <c r="BC573" s="30"/>
      <c r="BD573" s="30"/>
      <c r="BE573" s="30"/>
      <c r="BF573" s="27"/>
      <c r="BG573" s="27"/>
      <c r="BH573" s="28" t="str">
        <f aca="false">IF(COUNT(BC573:BE573)=0,"",IF(MIN(BC573:BE573)&lt;=-2.5,"Yes","No"))</f>
        <v/>
      </c>
      <c r="BI573" s="27"/>
      <c r="BJ573" s="29"/>
      <c r="BK573" s="27"/>
      <c r="BL573" s="27"/>
      <c r="BM573" s="27"/>
      <c r="BN573" s="28" t="str">
        <f aca="false">IF(OR(AX573="Yes",BI573="Yes"),"Yes",IF(AND(AX573="No",BI573="No"),"No",IF(AND(AX573="",BI573=""),"","Unknown")))</f>
        <v/>
      </c>
      <c r="BO573" s="31" t="str">
        <f aca="false">IF(COUNT(AY573,BJ573)=0,"",MIN(AY573,BJ573))</f>
        <v/>
      </c>
      <c r="BP573" s="29"/>
      <c r="BQ573" s="29"/>
      <c r="BR573" s="29"/>
      <c r="BS573" s="28" t="str">
        <f aca="false">IF(AND(N(BP573)&gt;0,N(BR573)&gt;0),BR573-BP573,"")</f>
        <v/>
      </c>
      <c r="BT573" s="28" t="str">
        <f aca="false">IF(BS573="","",ROUND(BS573/365.25,2))</f>
        <v/>
      </c>
      <c r="BU573" s="28" t="str">
        <f aca="false">IF(BS573="","",IF(BS573&gt;=730.5,"Yes","No"))</f>
        <v/>
      </c>
      <c r="BV573" s="27"/>
      <c r="BW573" s="29"/>
      <c r="BX573" s="27"/>
      <c r="BY573" s="27"/>
      <c r="BZ573" s="28" t="str">
        <f aca="false">IF(N(E573)=0,"",IF(E573&lt;65,"Under 65","≥65"))</f>
        <v/>
      </c>
      <c r="CA573" s="28" t="str">
        <f aca="false">IF(OR(AC573="Yes",AC573="No"),AC573,"")</f>
        <v/>
      </c>
      <c r="CB573" s="28" t="str">
        <f aca="false">IF(OR(AD573="Yes",AD573="No"),AD573,"")</f>
        <v/>
      </c>
      <c r="CC573" s="28" t="str">
        <f aca="false">IF(F573="","",F573)</f>
        <v/>
      </c>
      <c r="CD573" s="27"/>
      <c r="CE573" s="27"/>
    </row>
    <row r="574" customFormat="false" ht="15" hidden="false" customHeight="false" outlineLevel="0" collapsed="false">
      <c r="A574" s="27"/>
      <c r="B574" s="27"/>
      <c r="C574" s="27"/>
      <c r="D574" s="27"/>
      <c r="E574" s="27"/>
      <c r="F574" s="27"/>
      <c r="G574" s="27"/>
      <c r="H574" s="27"/>
      <c r="I574" s="27"/>
      <c r="J574" s="28" t="str">
        <f aca="false">IF(AND(N(H574)&gt;0,N(I574)&gt;0),ROUND(I574/(H574/100)^2,1),"")</f>
        <v/>
      </c>
      <c r="K574" s="27"/>
      <c r="L574" s="27"/>
      <c r="M574" s="27"/>
      <c r="N574" s="27"/>
      <c r="O574" s="27"/>
      <c r="P574" s="27"/>
      <c r="Q574" s="27"/>
      <c r="R574" s="29"/>
      <c r="S574" s="29"/>
      <c r="T574" s="27"/>
      <c r="U574" s="28" t="str">
        <f aca="false">IF(N(T574)=0,"",IF(T574&lt;12,"Under 12 months",IF(T574&lt;36,"12-35 months",IF(T574&lt;60,"36-59 months","≥60 months"))))</f>
        <v/>
      </c>
      <c r="V574" s="27"/>
      <c r="W574" s="30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9"/>
      <c r="AT574" s="30"/>
      <c r="AU574" s="30"/>
      <c r="AV574" s="30"/>
      <c r="AW574" s="27"/>
      <c r="AX574" s="27"/>
      <c r="AY574" s="29"/>
      <c r="AZ574" s="27"/>
      <c r="BA574" s="27"/>
      <c r="BB574" s="29"/>
      <c r="BC574" s="30"/>
      <c r="BD574" s="30"/>
      <c r="BE574" s="30"/>
      <c r="BF574" s="27"/>
      <c r="BG574" s="27"/>
      <c r="BH574" s="28" t="str">
        <f aca="false">IF(COUNT(BC574:BE574)=0,"",IF(MIN(BC574:BE574)&lt;=-2.5,"Yes","No"))</f>
        <v/>
      </c>
      <c r="BI574" s="27"/>
      <c r="BJ574" s="29"/>
      <c r="BK574" s="27"/>
      <c r="BL574" s="27"/>
      <c r="BM574" s="27"/>
      <c r="BN574" s="28" t="str">
        <f aca="false">IF(OR(AX574="Yes",BI574="Yes"),"Yes",IF(AND(AX574="No",BI574="No"),"No",IF(AND(AX574="",BI574=""),"","Unknown")))</f>
        <v/>
      </c>
      <c r="BO574" s="31" t="str">
        <f aca="false">IF(COUNT(AY574,BJ574)=0,"",MIN(AY574,BJ574))</f>
        <v/>
      </c>
      <c r="BP574" s="29"/>
      <c r="BQ574" s="29"/>
      <c r="BR574" s="29"/>
      <c r="BS574" s="28" t="str">
        <f aca="false">IF(AND(N(BP574)&gt;0,N(BR574)&gt;0),BR574-BP574,"")</f>
        <v/>
      </c>
      <c r="BT574" s="28" t="str">
        <f aca="false">IF(BS574="","",ROUND(BS574/365.25,2))</f>
        <v/>
      </c>
      <c r="BU574" s="28" t="str">
        <f aca="false">IF(BS574="","",IF(BS574&gt;=730.5,"Yes","No"))</f>
        <v/>
      </c>
      <c r="BV574" s="27"/>
      <c r="BW574" s="29"/>
      <c r="BX574" s="27"/>
      <c r="BY574" s="27"/>
      <c r="BZ574" s="28" t="str">
        <f aca="false">IF(N(E574)=0,"",IF(E574&lt;65,"Under 65","≥65"))</f>
        <v/>
      </c>
      <c r="CA574" s="28" t="str">
        <f aca="false">IF(OR(AC574="Yes",AC574="No"),AC574,"")</f>
        <v/>
      </c>
      <c r="CB574" s="28" t="str">
        <f aca="false">IF(OR(AD574="Yes",AD574="No"),AD574,"")</f>
        <v/>
      </c>
      <c r="CC574" s="28" t="str">
        <f aca="false">IF(F574="","",F574)</f>
        <v/>
      </c>
      <c r="CD574" s="27"/>
      <c r="CE574" s="27"/>
    </row>
    <row r="575" customFormat="false" ht="15" hidden="false" customHeight="false" outlineLevel="0" collapsed="false">
      <c r="A575" s="27"/>
      <c r="B575" s="27"/>
      <c r="C575" s="27"/>
      <c r="D575" s="27"/>
      <c r="E575" s="27"/>
      <c r="F575" s="27"/>
      <c r="G575" s="27"/>
      <c r="H575" s="27"/>
      <c r="I575" s="27"/>
      <c r="J575" s="28" t="str">
        <f aca="false">IF(AND(N(H575)&gt;0,N(I575)&gt;0),ROUND(I575/(H575/100)^2,1),"")</f>
        <v/>
      </c>
      <c r="K575" s="27"/>
      <c r="L575" s="27"/>
      <c r="M575" s="27"/>
      <c r="N575" s="27"/>
      <c r="O575" s="27"/>
      <c r="P575" s="27"/>
      <c r="Q575" s="27"/>
      <c r="R575" s="29"/>
      <c r="S575" s="29"/>
      <c r="T575" s="27"/>
      <c r="U575" s="28" t="str">
        <f aca="false">IF(N(T575)=0,"",IF(T575&lt;12,"Under 12 months",IF(T575&lt;36,"12-35 months",IF(T575&lt;60,"36-59 months","≥60 months"))))</f>
        <v/>
      </c>
      <c r="V575" s="27"/>
      <c r="W575" s="30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9"/>
      <c r="AT575" s="30"/>
      <c r="AU575" s="30"/>
      <c r="AV575" s="30"/>
      <c r="AW575" s="27"/>
      <c r="AX575" s="27"/>
      <c r="AY575" s="29"/>
      <c r="AZ575" s="27"/>
      <c r="BA575" s="27"/>
      <c r="BB575" s="29"/>
      <c r="BC575" s="30"/>
      <c r="BD575" s="30"/>
      <c r="BE575" s="30"/>
      <c r="BF575" s="27"/>
      <c r="BG575" s="27"/>
      <c r="BH575" s="28" t="str">
        <f aca="false">IF(COUNT(BC575:BE575)=0,"",IF(MIN(BC575:BE575)&lt;=-2.5,"Yes","No"))</f>
        <v/>
      </c>
      <c r="BI575" s="27"/>
      <c r="BJ575" s="29"/>
      <c r="BK575" s="27"/>
      <c r="BL575" s="27"/>
      <c r="BM575" s="27"/>
      <c r="BN575" s="28" t="str">
        <f aca="false">IF(OR(AX575="Yes",BI575="Yes"),"Yes",IF(AND(AX575="No",BI575="No"),"No",IF(AND(AX575="",BI575=""),"","Unknown")))</f>
        <v/>
      </c>
      <c r="BO575" s="31" t="str">
        <f aca="false">IF(COUNT(AY575,BJ575)=0,"",MIN(AY575,BJ575))</f>
        <v/>
      </c>
      <c r="BP575" s="29"/>
      <c r="BQ575" s="29"/>
      <c r="BR575" s="29"/>
      <c r="BS575" s="28" t="str">
        <f aca="false">IF(AND(N(BP575)&gt;0,N(BR575)&gt;0),BR575-BP575,"")</f>
        <v/>
      </c>
      <c r="BT575" s="28" t="str">
        <f aca="false">IF(BS575="","",ROUND(BS575/365.25,2))</f>
        <v/>
      </c>
      <c r="BU575" s="28" t="str">
        <f aca="false">IF(BS575="","",IF(BS575&gt;=730.5,"Yes","No"))</f>
        <v/>
      </c>
      <c r="BV575" s="27"/>
      <c r="BW575" s="29"/>
      <c r="BX575" s="27"/>
      <c r="BY575" s="27"/>
      <c r="BZ575" s="28" t="str">
        <f aca="false">IF(N(E575)=0,"",IF(E575&lt;65,"Under 65","≥65"))</f>
        <v/>
      </c>
      <c r="CA575" s="28" t="str">
        <f aca="false">IF(OR(AC575="Yes",AC575="No"),AC575,"")</f>
        <v/>
      </c>
      <c r="CB575" s="28" t="str">
        <f aca="false">IF(OR(AD575="Yes",AD575="No"),AD575,"")</f>
        <v/>
      </c>
      <c r="CC575" s="28" t="str">
        <f aca="false">IF(F575="","",F575)</f>
        <v/>
      </c>
      <c r="CD575" s="27"/>
      <c r="CE575" s="27"/>
    </row>
    <row r="576" customFormat="false" ht="15" hidden="false" customHeight="false" outlineLevel="0" collapsed="false">
      <c r="A576" s="27"/>
      <c r="B576" s="27"/>
      <c r="C576" s="27"/>
      <c r="D576" s="27"/>
      <c r="E576" s="27"/>
      <c r="F576" s="27"/>
      <c r="G576" s="27"/>
      <c r="H576" s="27"/>
      <c r="I576" s="27"/>
      <c r="J576" s="28" t="str">
        <f aca="false">IF(AND(N(H576)&gt;0,N(I576)&gt;0),ROUND(I576/(H576/100)^2,1),"")</f>
        <v/>
      </c>
      <c r="K576" s="27"/>
      <c r="L576" s="27"/>
      <c r="M576" s="27"/>
      <c r="N576" s="27"/>
      <c r="O576" s="27"/>
      <c r="P576" s="27"/>
      <c r="Q576" s="27"/>
      <c r="R576" s="29"/>
      <c r="S576" s="29"/>
      <c r="T576" s="27"/>
      <c r="U576" s="28" t="str">
        <f aca="false">IF(N(T576)=0,"",IF(T576&lt;12,"Under 12 months",IF(T576&lt;36,"12-35 months",IF(T576&lt;60,"36-59 months","≥60 months"))))</f>
        <v/>
      </c>
      <c r="V576" s="27"/>
      <c r="W576" s="30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9"/>
      <c r="AT576" s="30"/>
      <c r="AU576" s="30"/>
      <c r="AV576" s="30"/>
      <c r="AW576" s="27"/>
      <c r="AX576" s="27"/>
      <c r="AY576" s="29"/>
      <c r="AZ576" s="27"/>
      <c r="BA576" s="27"/>
      <c r="BB576" s="29"/>
      <c r="BC576" s="30"/>
      <c r="BD576" s="30"/>
      <c r="BE576" s="30"/>
      <c r="BF576" s="27"/>
      <c r="BG576" s="27"/>
      <c r="BH576" s="28" t="str">
        <f aca="false">IF(COUNT(BC576:BE576)=0,"",IF(MIN(BC576:BE576)&lt;=-2.5,"Yes","No"))</f>
        <v/>
      </c>
      <c r="BI576" s="27"/>
      <c r="BJ576" s="29"/>
      <c r="BK576" s="27"/>
      <c r="BL576" s="27"/>
      <c r="BM576" s="27"/>
      <c r="BN576" s="28" t="str">
        <f aca="false">IF(OR(AX576="Yes",BI576="Yes"),"Yes",IF(AND(AX576="No",BI576="No"),"No",IF(AND(AX576="",BI576=""),"","Unknown")))</f>
        <v/>
      </c>
      <c r="BO576" s="31" t="str">
        <f aca="false">IF(COUNT(AY576,BJ576)=0,"",MIN(AY576,BJ576))</f>
        <v/>
      </c>
      <c r="BP576" s="29"/>
      <c r="BQ576" s="29"/>
      <c r="BR576" s="29"/>
      <c r="BS576" s="28" t="str">
        <f aca="false">IF(AND(N(BP576)&gt;0,N(BR576)&gt;0),BR576-BP576,"")</f>
        <v/>
      </c>
      <c r="BT576" s="28" t="str">
        <f aca="false">IF(BS576="","",ROUND(BS576/365.25,2))</f>
        <v/>
      </c>
      <c r="BU576" s="28" t="str">
        <f aca="false">IF(BS576="","",IF(BS576&gt;=730.5,"Yes","No"))</f>
        <v/>
      </c>
      <c r="BV576" s="27"/>
      <c r="BW576" s="29"/>
      <c r="BX576" s="27"/>
      <c r="BY576" s="27"/>
      <c r="BZ576" s="28" t="str">
        <f aca="false">IF(N(E576)=0,"",IF(E576&lt;65,"Under 65","≥65"))</f>
        <v/>
      </c>
      <c r="CA576" s="28" t="str">
        <f aca="false">IF(OR(AC576="Yes",AC576="No"),AC576,"")</f>
        <v/>
      </c>
      <c r="CB576" s="28" t="str">
        <f aca="false">IF(OR(AD576="Yes",AD576="No"),AD576,"")</f>
        <v/>
      </c>
      <c r="CC576" s="28" t="str">
        <f aca="false">IF(F576="","",F576)</f>
        <v/>
      </c>
      <c r="CD576" s="27"/>
      <c r="CE576" s="27"/>
    </row>
    <row r="577" customFormat="false" ht="15" hidden="false" customHeight="false" outlineLevel="0" collapsed="false">
      <c r="A577" s="27"/>
      <c r="B577" s="27"/>
      <c r="C577" s="27"/>
      <c r="D577" s="27"/>
      <c r="E577" s="27"/>
      <c r="F577" s="27"/>
      <c r="G577" s="27"/>
      <c r="H577" s="27"/>
      <c r="I577" s="27"/>
      <c r="J577" s="28" t="str">
        <f aca="false">IF(AND(N(H577)&gt;0,N(I577)&gt;0),ROUND(I577/(H577/100)^2,1),"")</f>
        <v/>
      </c>
      <c r="K577" s="27"/>
      <c r="L577" s="27"/>
      <c r="M577" s="27"/>
      <c r="N577" s="27"/>
      <c r="O577" s="27"/>
      <c r="P577" s="27"/>
      <c r="Q577" s="27"/>
      <c r="R577" s="29"/>
      <c r="S577" s="29"/>
      <c r="T577" s="27"/>
      <c r="U577" s="28" t="str">
        <f aca="false">IF(N(T577)=0,"",IF(T577&lt;12,"Under 12 months",IF(T577&lt;36,"12-35 months",IF(T577&lt;60,"36-59 months","≥60 months"))))</f>
        <v/>
      </c>
      <c r="V577" s="27"/>
      <c r="W577" s="30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9"/>
      <c r="AT577" s="30"/>
      <c r="AU577" s="30"/>
      <c r="AV577" s="30"/>
      <c r="AW577" s="27"/>
      <c r="AX577" s="27"/>
      <c r="AY577" s="29"/>
      <c r="AZ577" s="27"/>
      <c r="BA577" s="27"/>
      <c r="BB577" s="29"/>
      <c r="BC577" s="30"/>
      <c r="BD577" s="30"/>
      <c r="BE577" s="30"/>
      <c r="BF577" s="27"/>
      <c r="BG577" s="27"/>
      <c r="BH577" s="28" t="str">
        <f aca="false">IF(COUNT(BC577:BE577)=0,"",IF(MIN(BC577:BE577)&lt;=-2.5,"Yes","No"))</f>
        <v/>
      </c>
      <c r="BI577" s="27"/>
      <c r="BJ577" s="29"/>
      <c r="BK577" s="27"/>
      <c r="BL577" s="27"/>
      <c r="BM577" s="27"/>
      <c r="BN577" s="28" t="str">
        <f aca="false">IF(OR(AX577="Yes",BI577="Yes"),"Yes",IF(AND(AX577="No",BI577="No"),"No",IF(AND(AX577="",BI577=""),"","Unknown")))</f>
        <v/>
      </c>
      <c r="BO577" s="31" t="str">
        <f aca="false">IF(COUNT(AY577,BJ577)=0,"",MIN(AY577,BJ577))</f>
        <v/>
      </c>
      <c r="BP577" s="29"/>
      <c r="BQ577" s="29"/>
      <c r="BR577" s="29"/>
      <c r="BS577" s="28" t="str">
        <f aca="false">IF(AND(N(BP577)&gt;0,N(BR577)&gt;0),BR577-BP577,"")</f>
        <v/>
      </c>
      <c r="BT577" s="28" t="str">
        <f aca="false">IF(BS577="","",ROUND(BS577/365.25,2))</f>
        <v/>
      </c>
      <c r="BU577" s="28" t="str">
        <f aca="false">IF(BS577="","",IF(BS577&gt;=730.5,"Yes","No"))</f>
        <v/>
      </c>
      <c r="BV577" s="27"/>
      <c r="BW577" s="29"/>
      <c r="BX577" s="27"/>
      <c r="BY577" s="27"/>
      <c r="BZ577" s="28" t="str">
        <f aca="false">IF(N(E577)=0,"",IF(E577&lt;65,"Under 65","≥65"))</f>
        <v/>
      </c>
      <c r="CA577" s="28" t="str">
        <f aca="false">IF(OR(AC577="Yes",AC577="No"),AC577,"")</f>
        <v/>
      </c>
      <c r="CB577" s="28" t="str">
        <f aca="false">IF(OR(AD577="Yes",AD577="No"),AD577,"")</f>
        <v/>
      </c>
      <c r="CC577" s="28" t="str">
        <f aca="false">IF(F577="","",F577)</f>
        <v/>
      </c>
      <c r="CD577" s="27"/>
      <c r="CE577" s="27"/>
    </row>
    <row r="578" customFormat="false" ht="15" hidden="false" customHeight="false" outlineLevel="0" collapsed="false">
      <c r="A578" s="27"/>
      <c r="B578" s="27"/>
      <c r="C578" s="27"/>
      <c r="D578" s="27"/>
      <c r="E578" s="27"/>
      <c r="F578" s="27"/>
      <c r="G578" s="27"/>
      <c r="H578" s="27"/>
      <c r="I578" s="27"/>
      <c r="J578" s="28" t="str">
        <f aca="false">IF(AND(N(H578)&gt;0,N(I578)&gt;0),ROUND(I578/(H578/100)^2,1),"")</f>
        <v/>
      </c>
      <c r="K578" s="27"/>
      <c r="L578" s="27"/>
      <c r="M578" s="27"/>
      <c r="N578" s="27"/>
      <c r="O578" s="27"/>
      <c r="P578" s="27"/>
      <c r="Q578" s="27"/>
      <c r="R578" s="29"/>
      <c r="S578" s="29"/>
      <c r="T578" s="27"/>
      <c r="U578" s="28" t="str">
        <f aca="false">IF(N(T578)=0,"",IF(T578&lt;12,"Under 12 months",IF(T578&lt;36,"12-35 months",IF(T578&lt;60,"36-59 months","≥60 months"))))</f>
        <v/>
      </c>
      <c r="V578" s="27"/>
      <c r="W578" s="30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9"/>
      <c r="AT578" s="30"/>
      <c r="AU578" s="30"/>
      <c r="AV578" s="30"/>
      <c r="AW578" s="27"/>
      <c r="AX578" s="27"/>
      <c r="AY578" s="29"/>
      <c r="AZ578" s="27"/>
      <c r="BA578" s="27"/>
      <c r="BB578" s="29"/>
      <c r="BC578" s="30"/>
      <c r="BD578" s="30"/>
      <c r="BE578" s="30"/>
      <c r="BF578" s="27"/>
      <c r="BG578" s="27"/>
      <c r="BH578" s="28" t="str">
        <f aca="false">IF(COUNT(BC578:BE578)=0,"",IF(MIN(BC578:BE578)&lt;=-2.5,"Yes","No"))</f>
        <v/>
      </c>
      <c r="BI578" s="27"/>
      <c r="BJ578" s="29"/>
      <c r="BK578" s="27"/>
      <c r="BL578" s="27"/>
      <c r="BM578" s="27"/>
      <c r="BN578" s="28" t="str">
        <f aca="false">IF(OR(AX578="Yes",BI578="Yes"),"Yes",IF(AND(AX578="No",BI578="No"),"No",IF(AND(AX578="",BI578=""),"","Unknown")))</f>
        <v/>
      </c>
      <c r="BO578" s="31" t="str">
        <f aca="false">IF(COUNT(AY578,BJ578)=0,"",MIN(AY578,BJ578))</f>
        <v/>
      </c>
      <c r="BP578" s="29"/>
      <c r="BQ578" s="29"/>
      <c r="BR578" s="29"/>
      <c r="BS578" s="28" t="str">
        <f aca="false">IF(AND(N(BP578)&gt;0,N(BR578)&gt;0),BR578-BP578,"")</f>
        <v/>
      </c>
      <c r="BT578" s="28" t="str">
        <f aca="false">IF(BS578="","",ROUND(BS578/365.25,2))</f>
        <v/>
      </c>
      <c r="BU578" s="28" t="str">
        <f aca="false">IF(BS578="","",IF(BS578&gt;=730.5,"Yes","No"))</f>
        <v/>
      </c>
      <c r="BV578" s="27"/>
      <c r="BW578" s="29"/>
      <c r="BX578" s="27"/>
      <c r="BY578" s="27"/>
      <c r="BZ578" s="28" t="str">
        <f aca="false">IF(N(E578)=0,"",IF(E578&lt;65,"Under 65","≥65"))</f>
        <v/>
      </c>
      <c r="CA578" s="28" t="str">
        <f aca="false">IF(OR(AC578="Yes",AC578="No"),AC578,"")</f>
        <v/>
      </c>
      <c r="CB578" s="28" t="str">
        <f aca="false">IF(OR(AD578="Yes",AD578="No"),AD578,"")</f>
        <v/>
      </c>
      <c r="CC578" s="28" t="str">
        <f aca="false">IF(F578="","",F578)</f>
        <v/>
      </c>
      <c r="CD578" s="27"/>
      <c r="CE578" s="27"/>
    </row>
    <row r="579" customFormat="false" ht="15" hidden="false" customHeight="false" outlineLevel="0" collapsed="false">
      <c r="A579" s="27"/>
      <c r="B579" s="27"/>
      <c r="C579" s="27"/>
      <c r="D579" s="27"/>
      <c r="E579" s="27"/>
      <c r="F579" s="27"/>
      <c r="G579" s="27"/>
      <c r="H579" s="27"/>
      <c r="I579" s="27"/>
      <c r="J579" s="28" t="str">
        <f aca="false">IF(AND(N(H579)&gt;0,N(I579)&gt;0),ROUND(I579/(H579/100)^2,1),"")</f>
        <v/>
      </c>
      <c r="K579" s="27"/>
      <c r="L579" s="27"/>
      <c r="M579" s="27"/>
      <c r="N579" s="27"/>
      <c r="O579" s="27"/>
      <c r="P579" s="27"/>
      <c r="Q579" s="27"/>
      <c r="R579" s="29"/>
      <c r="S579" s="29"/>
      <c r="T579" s="27"/>
      <c r="U579" s="28" t="str">
        <f aca="false">IF(N(T579)=0,"",IF(T579&lt;12,"Under 12 months",IF(T579&lt;36,"12-35 months",IF(T579&lt;60,"36-59 months","≥60 months"))))</f>
        <v/>
      </c>
      <c r="V579" s="27"/>
      <c r="W579" s="30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9"/>
      <c r="AT579" s="30"/>
      <c r="AU579" s="30"/>
      <c r="AV579" s="30"/>
      <c r="AW579" s="27"/>
      <c r="AX579" s="27"/>
      <c r="AY579" s="29"/>
      <c r="AZ579" s="27"/>
      <c r="BA579" s="27"/>
      <c r="BB579" s="29"/>
      <c r="BC579" s="30"/>
      <c r="BD579" s="30"/>
      <c r="BE579" s="30"/>
      <c r="BF579" s="27"/>
      <c r="BG579" s="27"/>
      <c r="BH579" s="28" t="str">
        <f aca="false">IF(COUNT(BC579:BE579)=0,"",IF(MIN(BC579:BE579)&lt;=-2.5,"Yes","No"))</f>
        <v/>
      </c>
      <c r="BI579" s="27"/>
      <c r="BJ579" s="29"/>
      <c r="BK579" s="27"/>
      <c r="BL579" s="27"/>
      <c r="BM579" s="27"/>
      <c r="BN579" s="28" t="str">
        <f aca="false">IF(OR(AX579="Yes",BI579="Yes"),"Yes",IF(AND(AX579="No",BI579="No"),"No",IF(AND(AX579="",BI579=""),"","Unknown")))</f>
        <v/>
      </c>
      <c r="BO579" s="31" t="str">
        <f aca="false">IF(COUNT(AY579,BJ579)=0,"",MIN(AY579,BJ579))</f>
        <v/>
      </c>
      <c r="BP579" s="29"/>
      <c r="BQ579" s="29"/>
      <c r="BR579" s="29"/>
      <c r="BS579" s="28" t="str">
        <f aca="false">IF(AND(N(BP579)&gt;0,N(BR579)&gt;0),BR579-BP579,"")</f>
        <v/>
      </c>
      <c r="BT579" s="28" t="str">
        <f aca="false">IF(BS579="","",ROUND(BS579/365.25,2))</f>
        <v/>
      </c>
      <c r="BU579" s="28" t="str">
        <f aca="false">IF(BS579="","",IF(BS579&gt;=730.5,"Yes","No"))</f>
        <v/>
      </c>
      <c r="BV579" s="27"/>
      <c r="BW579" s="29"/>
      <c r="BX579" s="27"/>
      <c r="BY579" s="27"/>
      <c r="BZ579" s="28" t="str">
        <f aca="false">IF(N(E579)=0,"",IF(E579&lt;65,"Under 65","≥65"))</f>
        <v/>
      </c>
      <c r="CA579" s="28" t="str">
        <f aca="false">IF(OR(AC579="Yes",AC579="No"),AC579,"")</f>
        <v/>
      </c>
      <c r="CB579" s="28" t="str">
        <f aca="false">IF(OR(AD579="Yes",AD579="No"),AD579,"")</f>
        <v/>
      </c>
      <c r="CC579" s="28" t="str">
        <f aca="false">IF(F579="","",F579)</f>
        <v/>
      </c>
      <c r="CD579" s="27"/>
      <c r="CE579" s="27"/>
    </row>
    <row r="580" customFormat="false" ht="15" hidden="false" customHeight="false" outlineLevel="0" collapsed="false">
      <c r="A580" s="27"/>
      <c r="B580" s="27"/>
      <c r="C580" s="27"/>
      <c r="D580" s="27"/>
      <c r="E580" s="27"/>
      <c r="F580" s="27"/>
      <c r="G580" s="27"/>
      <c r="H580" s="27"/>
      <c r="I580" s="27"/>
      <c r="J580" s="28" t="str">
        <f aca="false">IF(AND(N(H580)&gt;0,N(I580)&gt;0),ROUND(I580/(H580/100)^2,1),"")</f>
        <v/>
      </c>
      <c r="K580" s="27"/>
      <c r="L580" s="27"/>
      <c r="M580" s="27"/>
      <c r="N580" s="27"/>
      <c r="O580" s="27"/>
      <c r="P580" s="27"/>
      <c r="Q580" s="27"/>
      <c r="R580" s="29"/>
      <c r="S580" s="29"/>
      <c r="T580" s="27"/>
      <c r="U580" s="28" t="str">
        <f aca="false">IF(N(T580)=0,"",IF(T580&lt;12,"Under 12 months",IF(T580&lt;36,"12-35 months",IF(T580&lt;60,"36-59 months","≥60 months"))))</f>
        <v/>
      </c>
      <c r="V580" s="27"/>
      <c r="W580" s="30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9"/>
      <c r="AT580" s="30"/>
      <c r="AU580" s="30"/>
      <c r="AV580" s="30"/>
      <c r="AW580" s="27"/>
      <c r="AX580" s="27"/>
      <c r="AY580" s="29"/>
      <c r="AZ580" s="27"/>
      <c r="BA580" s="27"/>
      <c r="BB580" s="29"/>
      <c r="BC580" s="30"/>
      <c r="BD580" s="30"/>
      <c r="BE580" s="30"/>
      <c r="BF580" s="27"/>
      <c r="BG580" s="27"/>
      <c r="BH580" s="28" t="str">
        <f aca="false">IF(COUNT(BC580:BE580)=0,"",IF(MIN(BC580:BE580)&lt;=-2.5,"Yes","No"))</f>
        <v/>
      </c>
      <c r="BI580" s="27"/>
      <c r="BJ580" s="29"/>
      <c r="BK580" s="27"/>
      <c r="BL580" s="27"/>
      <c r="BM580" s="27"/>
      <c r="BN580" s="28" t="str">
        <f aca="false">IF(OR(AX580="Yes",BI580="Yes"),"Yes",IF(AND(AX580="No",BI580="No"),"No",IF(AND(AX580="",BI580=""),"","Unknown")))</f>
        <v/>
      </c>
      <c r="BO580" s="31" t="str">
        <f aca="false">IF(COUNT(AY580,BJ580)=0,"",MIN(AY580,BJ580))</f>
        <v/>
      </c>
      <c r="BP580" s="29"/>
      <c r="BQ580" s="29"/>
      <c r="BR580" s="29"/>
      <c r="BS580" s="28" t="str">
        <f aca="false">IF(AND(N(BP580)&gt;0,N(BR580)&gt;0),BR580-BP580,"")</f>
        <v/>
      </c>
      <c r="BT580" s="28" t="str">
        <f aca="false">IF(BS580="","",ROUND(BS580/365.25,2))</f>
        <v/>
      </c>
      <c r="BU580" s="28" t="str">
        <f aca="false">IF(BS580="","",IF(BS580&gt;=730.5,"Yes","No"))</f>
        <v/>
      </c>
      <c r="BV580" s="27"/>
      <c r="BW580" s="29"/>
      <c r="BX580" s="27"/>
      <c r="BY580" s="27"/>
      <c r="BZ580" s="28" t="str">
        <f aca="false">IF(N(E580)=0,"",IF(E580&lt;65,"Under 65","≥65"))</f>
        <v/>
      </c>
      <c r="CA580" s="28" t="str">
        <f aca="false">IF(OR(AC580="Yes",AC580="No"),AC580,"")</f>
        <v/>
      </c>
      <c r="CB580" s="28" t="str">
        <f aca="false">IF(OR(AD580="Yes",AD580="No"),AD580,"")</f>
        <v/>
      </c>
      <c r="CC580" s="28" t="str">
        <f aca="false">IF(F580="","",F580)</f>
        <v/>
      </c>
      <c r="CD580" s="27"/>
      <c r="CE580" s="27"/>
    </row>
    <row r="581" customFormat="false" ht="15" hidden="false" customHeight="false" outlineLevel="0" collapsed="false">
      <c r="A581" s="27"/>
      <c r="B581" s="27"/>
      <c r="C581" s="27"/>
      <c r="D581" s="27"/>
      <c r="E581" s="27"/>
      <c r="F581" s="27"/>
      <c r="G581" s="27"/>
      <c r="H581" s="27"/>
      <c r="I581" s="27"/>
      <c r="J581" s="28" t="str">
        <f aca="false">IF(AND(N(H581)&gt;0,N(I581)&gt;0),ROUND(I581/(H581/100)^2,1),"")</f>
        <v/>
      </c>
      <c r="K581" s="27"/>
      <c r="L581" s="27"/>
      <c r="M581" s="27"/>
      <c r="N581" s="27"/>
      <c r="O581" s="27"/>
      <c r="P581" s="27"/>
      <c r="Q581" s="27"/>
      <c r="R581" s="29"/>
      <c r="S581" s="29"/>
      <c r="T581" s="27"/>
      <c r="U581" s="28" t="str">
        <f aca="false">IF(N(T581)=0,"",IF(T581&lt;12,"Under 12 months",IF(T581&lt;36,"12-35 months",IF(T581&lt;60,"36-59 months","≥60 months"))))</f>
        <v/>
      </c>
      <c r="V581" s="27"/>
      <c r="W581" s="30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9"/>
      <c r="AT581" s="30"/>
      <c r="AU581" s="30"/>
      <c r="AV581" s="30"/>
      <c r="AW581" s="27"/>
      <c r="AX581" s="27"/>
      <c r="AY581" s="29"/>
      <c r="AZ581" s="27"/>
      <c r="BA581" s="27"/>
      <c r="BB581" s="29"/>
      <c r="BC581" s="30"/>
      <c r="BD581" s="30"/>
      <c r="BE581" s="30"/>
      <c r="BF581" s="27"/>
      <c r="BG581" s="27"/>
      <c r="BH581" s="28" t="str">
        <f aca="false">IF(COUNT(BC581:BE581)=0,"",IF(MIN(BC581:BE581)&lt;=-2.5,"Yes","No"))</f>
        <v/>
      </c>
      <c r="BI581" s="27"/>
      <c r="BJ581" s="29"/>
      <c r="BK581" s="27"/>
      <c r="BL581" s="27"/>
      <c r="BM581" s="27"/>
      <c r="BN581" s="28" t="str">
        <f aca="false">IF(OR(AX581="Yes",BI581="Yes"),"Yes",IF(AND(AX581="No",BI581="No"),"No",IF(AND(AX581="",BI581=""),"","Unknown")))</f>
        <v/>
      </c>
      <c r="BO581" s="31" t="str">
        <f aca="false">IF(COUNT(AY581,BJ581)=0,"",MIN(AY581,BJ581))</f>
        <v/>
      </c>
      <c r="BP581" s="29"/>
      <c r="BQ581" s="29"/>
      <c r="BR581" s="29"/>
      <c r="BS581" s="28" t="str">
        <f aca="false">IF(AND(N(BP581)&gt;0,N(BR581)&gt;0),BR581-BP581,"")</f>
        <v/>
      </c>
      <c r="BT581" s="28" t="str">
        <f aca="false">IF(BS581="","",ROUND(BS581/365.25,2))</f>
        <v/>
      </c>
      <c r="BU581" s="28" t="str">
        <f aca="false">IF(BS581="","",IF(BS581&gt;=730.5,"Yes","No"))</f>
        <v/>
      </c>
      <c r="BV581" s="27"/>
      <c r="BW581" s="29"/>
      <c r="BX581" s="27"/>
      <c r="BY581" s="27"/>
      <c r="BZ581" s="28" t="str">
        <f aca="false">IF(N(E581)=0,"",IF(E581&lt;65,"Under 65","≥65"))</f>
        <v/>
      </c>
      <c r="CA581" s="28" t="str">
        <f aca="false">IF(OR(AC581="Yes",AC581="No"),AC581,"")</f>
        <v/>
      </c>
      <c r="CB581" s="28" t="str">
        <f aca="false">IF(OR(AD581="Yes",AD581="No"),AD581,"")</f>
        <v/>
      </c>
      <c r="CC581" s="28" t="str">
        <f aca="false">IF(F581="","",F581)</f>
        <v/>
      </c>
      <c r="CD581" s="27"/>
      <c r="CE581" s="27"/>
    </row>
    <row r="582" customFormat="false" ht="15" hidden="false" customHeight="false" outlineLevel="0" collapsed="false">
      <c r="A582" s="27"/>
      <c r="B582" s="27"/>
      <c r="C582" s="27"/>
      <c r="D582" s="27"/>
      <c r="E582" s="27"/>
      <c r="F582" s="27"/>
      <c r="G582" s="27"/>
      <c r="H582" s="27"/>
      <c r="I582" s="27"/>
      <c r="J582" s="28" t="str">
        <f aca="false">IF(AND(N(H582)&gt;0,N(I582)&gt;0),ROUND(I582/(H582/100)^2,1),"")</f>
        <v/>
      </c>
      <c r="K582" s="27"/>
      <c r="L582" s="27"/>
      <c r="M582" s="27"/>
      <c r="N582" s="27"/>
      <c r="O582" s="27"/>
      <c r="P582" s="27"/>
      <c r="Q582" s="27"/>
      <c r="R582" s="29"/>
      <c r="S582" s="29"/>
      <c r="T582" s="27"/>
      <c r="U582" s="28" t="str">
        <f aca="false">IF(N(T582)=0,"",IF(T582&lt;12,"Under 12 months",IF(T582&lt;36,"12-35 months",IF(T582&lt;60,"36-59 months","≥60 months"))))</f>
        <v/>
      </c>
      <c r="V582" s="27"/>
      <c r="W582" s="30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9"/>
      <c r="AT582" s="30"/>
      <c r="AU582" s="30"/>
      <c r="AV582" s="30"/>
      <c r="AW582" s="27"/>
      <c r="AX582" s="27"/>
      <c r="AY582" s="29"/>
      <c r="AZ582" s="27"/>
      <c r="BA582" s="27"/>
      <c r="BB582" s="29"/>
      <c r="BC582" s="30"/>
      <c r="BD582" s="30"/>
      <c r="BE582" s="30"/>
      <c r="BF582" s="27"/>
      <c r="BG582" s="27"/>
      <c r="BH582" s="28" t="str">
        <f aca="false">IF(COUNT(BC582:BE582)=0,"",IF(MIN(BC582:BE582)&lt;=-2.5,"Yes","No"))</f>
        <v/>
      </c>
      <c r="BI582" s="27"/>
      <c r="BJ582" s="29"/>
      <c r="BK582" s="27"/>
      <c r="BL582" s="27"/>
      <c r="BM582" s="27"/>
      <c r="BN582" s="28" t="str">
        <f aca="false">IF(OR(AX582="Yes",BI582="Yes"),"Yes",IF(AND(AX582="No",BI582="No"),"No",IF(AND(AX582="",BI582=""),"","Unknown")))</f>
        <v/>
      </c>
      <c r="BO582" s="31" t="str">
        <f aca="false">IF(COUNT(AY582,BJ582)=0,"",MIN(AY582,BJ582))</f>
        <v/>
      </c>
      <c r="BP582" s="29"/>
      <c r="BQ582" s="29"/>
      <c r="BR582" s="29"/>
      <c r="BS582" s="28" t="str">
        <f aca="false">IF(AND(N(BP582)&gt;0,N(BR582)&gt;0),BR582-BP582,"")</f>
        <v/>
      </c>
      <c r="BT582" s="28" t="str">
        <f aca="false">IF(BS582="","",ROUND(BS582/365.25,2))</f>
        <v/>
      </c>
      <c r="BU582" s="28" t="str">
        <f aca="false">IF(BS582="","",IF(BS582&gt;=730.5,"Yes","No"))</f>
        <v/>
      </c>
      <c r="BV582" s="27"/>
      <c r="BW582" s="29"/>
      <c r="BX582" s="27"/>
      <c r="BY582" s="27"/>
      <c r="BZ582" s="28" t="str">
        <f aca="false">IF(N(E582)=0,"",IF(E582&lt;65,"Under 65","≥65"))</f>
        <v/>
      </c>
      <c r="CA582" s="28" t="str">
        <f aca="false">IF(OR(AC582="Yes",AC582="No"),AC582,"")</f>
        <v/>
      </c>
      <c r="CB582" s="28" t="str">
        <f aca="false">IF(OR(AD582="Yes",AD582="No"),AD582,"")</f>
        <v/>
      </c>
      <c r="CC582" s="28" t="str">
        <f aca="false">IF(F582="","",F582)</f>
        <v/>
      </c>
      <c r="CD582" s="27"/>
      <c r="CE582" s="27"/>
    </row>
    <row r="583" customFormat="false" ht="15" hidden="false" customHeight="false" outlineLevel="0" collapsed="false">
      <c r="A583" s="27"/>
      <c r="B583" s="27"/>
      <c r="C583" s="27"/>
      <c r="D583" s="27"/>
      <c r="E583" s="27"/>
      <c r="F583" s="27"/>
      <c r="G583" s="27"/>
      <c r="H583" s="27"/>
      <c r="I583" s="27"/>
      <c r="J583" s="28" t="str">
        <f aca="false">IF(AND(N(H583)&gt;0,N(I583)&gt;0),ROUND(I583/(H583/100)^2,1),"")</f>
        <v/>
      </c>
      <c r="K583" s="27"/>
      <c r="L583" s="27"/>
      <c r="M583" s="27"/>
      <c r="N583" s="27"/>
      <c r="O583" s="27"/>
      <c r="P583" s="27"/>
      <c r="Q583" s="27"/>
      <c r="R583" s="29"/>
      <c r="S583" s="29"/>
      <c r="T583" s="27"/>
      <c r="U583" s="28" t="str">
        <f aca="false">IF(N(T583)=0,"",IF(T583&lt;12,"Under 12 months",IF(T583&lt;36,"12-35 months",IF(T583&lt;60,"36-59 months","≥60 months"))))</f>
        <v/>
      </c>
      <c r="V583" s="27"/>
      <c r="W583" s="30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9"/>
      <c r="AT583" s="30"/>
      <c r="AU583" s="30"/>
      <c r="AV583" s="30"/>
      <c r="AW583" s="27"/>
      <c r="AX583" s="27"/>
      <c r="AY583" s="29"/>
      <c r="AZ583" s="27"/>
      <c r="BA583" s="27"/>
      <c r="BB583" s="29"/>
      <c r="BC583" s="30"/>
      <c r="BD583" s="30"/>
      <c r="BE583" s="30"/>
      <c r="BF583" s="27"/>
      <c r="BG583" s="27"/>
      <c r="BH583" s="28" t="str">
        <f aca="false">IF(COUNT(BC583:BE583)=0,"",IF(MIN(BC583:BE583)&lt;=-2.5,"Yes","No"))</f>
        <v/>
      </c>
      <c r="BI583" s="27"/>
      <c r="BJ583" s="29"/>
      <c r="BK583" s="27"/>
      <c r="BL583" s="27"/>
      <c r="BM583" s="27"/>
      <c r="BN583" s="28" t="str">
        <f aca="false">IF(OR(AX583="Yes",BI583="Yes"),"Yes",IF(AND(AX583="No",BI583="No"),"No",IF(AND(AX583="",BI583=""),"","Unknown")))</f>
        <v/>
      </c>
      <c r="BO583" s="31" t="str">
        <f aca="false">IF(COUNT(AY583,BJ583)=0,"",MIN(AY583,BJ583))</f>
        <v/>
      </c>
      <c r="BP583" s="29"/>
      <c r="BQ583" s="29"/>
      <c r="BR583" s="29"/>
      <c r="BS583" s="28" t="str">
        <f aca="false">IF(AND(N(BP583)&gt;0,N(BR583)&gt;0),BR583-BP583,"")</f>
        <v/>
      </c>
      <c r="BT583" s="28" t="str">
        <f aca="false">IF(BS583="","",ROUND(BS583/365.25,2))</f>
        <v/>
      </c>
      <c r="BU583" s="28" t="str">
        <f aca="false">IF(BS583="","",IF(BS583&gt;=730.5,"Yes","No"))</f>
        <v/>
      </c>
      <c r="BV583" s="27"/>
      <c r="BW583" s="29"/>
      <c r="BX583" s="27"/>
      <c r="BY583" s="27"/>
      <c r="BZ583" s="28" t="str">
        <f aca="false">IF(N(E583)=0,"",IF(E583&lt;65,"Under 65","≥65"))</f>
        <v/>
      </c>
      <c r="CA583" s="28" t="str">
        <f aca="false">IF(OR(AC583="Yes",AC583="No"),AC583,"")</f>
        <v/>
      </c>
      <c r="CB583" s="28" t="str">
        <f aca="false">IF(OR(AD583="Yes",AD583="No"),AD583,"")</f>
        <v/>
      </c>
      <c r="CC583" s="28" t="str">
        <f aca="false">IF(F583="","",F583)</f>
        <v/>
      </c>
      <c r="CD583" s="27"/>
      <c r="CE583" s="27"/>
    </row>
    <row r="584" customFormat="false" ht="15" hidden="false" customHeight="false" outlineLevel="0" collapsed="false">
      <c r="A584" s="27"/>
      <c r="B584" s="27"/>
      <c r="C584" s="27"/>
      <c r="D584" s="27"/>
      <c r="E584" s="27"/>
      <c r="F584" s="27"/>
      <c r="G584" s="27"/>
      <c r="H584" s="27"/>
      <c r="I584" s="27"/>
      <c r="J584" s="28" t="str">
        <f aca="false">IF(AND(N(H584)&gt;0,N(I584)&gt;0),ROUND(I584/(H584/100)^2,1),"")</f>
        <v/>
      </c>
      <c r="K584" s="27"/>
      <c r="L584" s="27"/>
      <c r="M584" s="27"/>
      <c r="N584" s="27"/>
      <c r="O584" s="27"/>
      <c r="P584" s="27"/>
      <c r="Q584" s="27"/>
      <c r="R584" s="29"/>
      <c r="S584" s="29"/>
      <c r="T584" s="27"/>
      <c r="U584" s="28" t="str">
        <f aca="false">IF(N(T584)=0,"",IF(T584&lt;12,"Under 12 months",IF(T584&lt;36,"12-35 months",IF(T584&lt;60,"36-59 months","≥60 months"))))</f>
        <v/>
      </c>
      <c r="V584" s="27"/>
      <c r="W584" s="30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9"/>
      <c r="AT584" s="30"/>
      <c r="AU584" s="30"/>
      <c r="AV584" s="30"/>
      <c r="AW584" s="27"/>
      <c r="AX584" s="27"/>
      <c r="AY584" s="29"/>
      <c r="AZ584" s="27"/>
      <c r="BA584" s="27"/>
      <c r="BB584" s="29"/>
      <c r="BC584" s="30"/>
      <c r="BD584" s="30"/>
      <c r="BE584" s="30"/>
      <c r="BF584" s="27"/>
      <c r="BG584" s="27"/>
      <c r="BH584" s="28" t="str">
        <f aca="false">IF(COUNT(BC584:BE584)=0,"",IF(MIN(BC584:BE584)&lt;=-2.5,"Yes","No"))</f>
        <v/>
      </c>
      <c r="BI584" s="27"/>
      <c r="BJ584" s="29"/>
      <c r="BK584" s="27"/>
      <c r="BL584" s="27"/>
      <c r="BM584" s="27"/>
      <c r="BN584" s="28" t="str">
        <f aca="false">IF(OR(AX584="Yes",BI584="Yes"),"Yes",IF(AND(AX584="No",BI584="No"),"No",IF(AND(AX584="",BI584=""),"","Unknown")))</f>
        <v/>
      </c>
      <c r="BO584" s="31" t="str">
        <f aca="false">IF(COUNT(AY584,BJ584)=0,"",MIN(AY584,BJ584))</f>
        <v/>
      </c>
      <c r="BP584" s="29"/>
      <c r="BQ584" s="29"/>
      <c r="BR584" s="29"/>
      <c r="BS584" s="28" t="str">
        <f aca="false">IF(AND(N(BP584)&gt;0,N(BR584)&gt;0),BR584-BP584,"")</f>
        <v/>
      </c>
      <c r="BT584" s="28" t="str">
        <f aca="false">IF(BS584="","",ROUND(BS584/365.25,2))</f>
        <v/>
      </c>
      <c r="BU584" s="28" t="str">
        <f aca="false">IF(BS584="","",IF(BS584&gt;=730.5,"Yes","No"))</f>
        <v/>
      </c>
      <c r="BV584" s="27"/>
      <c r="BW584" s="29"/>
      <c r="BX584" s="27"/>
      <c r="BY584" s="27"/>
      <c r="BZ584" s="28" t="str">
        <f aca="false">IF(N(E584)=0,"",IF(E584&lt;65,"Under 65","≥65"))</f>
        <v/>
      </c>
      <c r="CA584" s="28" t="str">
        <f aca="false">IF(OR(AC584="Yes",AC584="No"),AC584,"")</f>
        <v/>
      </c>
      <c r="CB584" s="28" t="str">
        <f aca="false">IF(OR(AD584="Yes",AD584="No"),AD584,"")</f>
        <v/>
      </c>
      <c r="CC584" s="28" t="str">
        <f aca="false">IF(F584="","",F584)</f>
        <v/>
      </c>
      <c r="CD584" s="27"/>
      <c r="CE584" s="27"/>
    </row>
    <row r="585" customFormat="false" ht="15" hidden="false" customHeight="false" outlineLevel="0" collapsed="false">
      <c r="A585" s="27"/>
      <c r="B585" s="27"/>
      <c r="C585" s="27"/>
      <c r="D585" s="27"/>
      <c r="E585" s="27"/>
      <c r="F585" s="27"/>
      <c r="G585" s="27"/>
      <c r="H585" s="27"/>
      <c r="I585" s="27"/>
      <c r="J585" s="28" t="str">
        <f aca="false">IF(AND(N(H585)&gt;0,N(I585)&gt;0),ROUND(I585/(H585/100)^2,1),"")</f>
        <v/>
      </c>
      <c r="K585" s="27"/>
      <c r="L585" s="27"/>
      <c r="M585" s="27"/>
      <c r="N585" s="27"/>
      <c r="O585" s="27"/>
      <c r="P585" s="27"/>
      <c r="Q585" s="27"/>
      <c r="R585" s="29"/>
      <c r="S585" s="29"/>
      <c r="T585" s="27"/>
      <c r="U585" s="28" t="str">
        <f aca="false">IF(N(T585)=0,"",IF(T585&lt;12,"Under 12 months",IF(T585&lt;36,"12-35 months",IF(T585&lt;60,"36-59 months","≥60 months"))))</f>
        <v/>
      </c>
      <c r="V585" s="27"/>
      <c r="W585" s="30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9"/>
      <c r="AT585" s="30"/>
      <c r="AU585" s="30"/>
      <c r="AV585" s="30"/>
      <c r="AW585" s="27"/>
      <c r="AX585" s="27"/>
      <c r="AY585" s="29"/>
      <c r="AZ585" s="27"/>
      <c r="BA585" s="27"/>
      <c r="BB585" s="29"/>
      <c r="BC585" s="30"/>
      <c r="BD585" s="30"/>
      <c r="BE585" s="30"/>
      <c r="BF585" s="27"/>
      <c r="BG585" s="27"/>
      <c r="BH585" s="28" t="str">
        <f aca="false">IF(COUNT(BC585:BE585)=0,"",IF(MIN(BC585:BE585)&lt;=-2.5,"Yes","No"))</f>
        <v/>
      </c>
      <c r="BI585" s="27"/>
      <c r="BJ585" s="29"/>
      <c r="BK585" s="27"/>
      <c r="BL585" s="27"/>
      <c r="BM585" s="27"/>
      <c r="BN585" s="28" t="str">
        <f aca="false">IF(OR(AX585="Yes",BI585="Yes"),"Yes",IF(AND(AX585="No",BI585="No"),"No",IF(AND(AX585="",BI585=""),"","Unknown")))</f>
        <v/>
      </c>
      <c r="BO585" s="31" t="str">
        <f aca="false">IF(COUNT(AY585,BJ585)=0,"",MIN(AY585,BJ585))</f>
        <v/>
      </c>
      <c r="BP585" s="29"/>
      <c r="BQ585" s="29"/>
      <c r="BR585" s="29"/>
      <c r="BS585" s="28" t="str">
        <f aca="false">IF(AND(N(BP585)&gt;0,N(BR585)&gt;0),BR585-BP585,"")</f>
        <v/>
      </c>
      <c r="BT585" s="28" t="str">
        <f aca="false">IF(BS585="","",ROUND(BS585/365.25,2))</f>
        <v/>
      </c>
      <c r="BU585" s="28" t="str">
        <f aca="false">IF(BS585="","",IF(BS585&gt;=730.5,"Yes","No"))</f>
        <v/>
      </c>
      <c r="BV585" s="27"/>
      <c r="BW585" s="29"/>
      <c r="BX585" s="27"/>
      <c r="BY585" s="27"/>
      <c r="BZ585" s="28" t="str">
        <f aca="false">IF(N(E585)=0,"",IF(E585&lt;65,"Under 65","≥65"))</f>
        <v/>
      </c>
      <c r="CA585" s="28" t="str">
        <f aca="false">IF(OR(AC585="Yes",AC585="No"),AC585,"")</f>
        <v/>
      </c>
      <c r="CB585" s="28" t="str">
        <f aca="false">IF(OR(AD585="Yes",AD585="No"),AD585,"")</f>
        <v/>
      </c>
      <c r="CC585" s="28" t="str">
        <f aca="false">IF(F585="","",F585)</f>
        <v/>
      </c>
      <c r="CD585" s="27"/>
      <c r="CE585" s="27"/>
    </row>
    <row r="586" customFormat="false" ht="15" hidden="false" customHeight="false" outlineLevel="0" collapsed="false">
      <c r="A586" s="27"/>
      <c r="B586" s="27"/>
      <c r="C586" s="27"/>
      <c r="D586" s="27"/>
      <c r="E586" s="27"/>
      <c r="F586" s="27"/>
      <c r="G586" s="27"/>
      <c r="H586" s="27"/>
      <c r="I586" s="27"/>
      <c r="J586" s="28" t="str">
        <f aca="false">IF(AND(N(H586)&gt;0,N(I586)&gt;0),ROUND(I586/(H586/100)^2,1),"")</f>
        <v/>
      </c>
      <c r="K586" s="27"/>
      <c r="L586" s="27"/>
      <c r="M586" s="27"/>
      <c r="N586" s="27"/>
      <c r="O586" s="27"/>
      <c r="P586" s="27"/>
      <c r="Q586" s="27"/>
      <c r="R586" s="29"/>
      <c r="S586" s="29"/>
      <c r="T586" s="27"/>
      <c r="U586" s="28" t="str">
        <f aca="false">IF(N(T586)=0,"",IF(T586&lt;12,"Under 12 months",IF(T586&lt;36,"12-35 months",IF(T586&lt;60,"36-59 months","≥60 months"))))</f>
        <v/>
      </c>
      <c r="V586" s="27"/>
      <c r="W586" s="30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9"/>
      <c r="AT586" s="30"/>
      <c r="AU586" s="30"/>
      <c r="AV586" s="30"/>
      <c r="AW586" s="27"/>
      <c r="AX586" s="27"/>
      <c r="AY586" s="29"/>
      <c r="AZ586" s="27"/>
      <c r="BA586" s="27"/>
      <c r="BB586" s="29"/>
      <c r="BC586" s="30"/>
      <c r="BD586" s="30"/>
      <c r="BE586" s="30"/>
      <c r="BF586" s="27"/>
      <c r="BG586" s="27"/>
      <c r="BH586" s="28" t="str">
        <f aca="false">IF(COUNT(BC586:BE586)=0,"",IF(MIN(BC586:BE586)&lt;=-2.5,"Yes","No"))</f>
        <v/>
      </c>
      <c r="BI586" s="27"/>
      <c r="BJ586" s="29"/>
      <c r="BK586" s="27"/>
      <c r="BL586" s="27"/>
      <c r="BM586" s="27"/>
      <c r="BN586" s="28" t="str">
        <f aca="false">IF(OR(AX586="Yes",BI586="Yes"),"Yes",IF(AND(AX586="No",BI586="No"),"No",IF(AND(AX586="",BI586=""),"","Unknown")))</f>
        <v/>
      </c>
      <c r="BO586" s="31" t="str">
        <f aca="false">IF(COUNT(AY586,BJ586)=0,"",MIN(AY586,BJ586))</f>
        <v/>
      </c>
      <c r="BP586" s="29"/>
      <c r="BQ586" s="29"/>
      <c r="BR586" s="29"/>
      <c r="BS586" s="28" t="str">
        <f aca="false">IF(AND(N(BP586)&gt;0,N(BR586)&gt;0),BR586-BP586,"")</f>
        <v/>
      </c>
      <c r="BT586" s="28" t="str">
        <f aca="false">IF(BS586="","",ROUND(BS586/365.25,2))</f>
        <v/>
      </c>
      <c r="BU586" s="28" t="str">
        <f aca="false">IF(BS586="","",IF(BS586&gt;=730.5,"Yes","No"))</f>
        <v/>
      </c>
      <c r="BV586" s="27"/>
      <c r="BW586" s="29"/>
      <c r="BX586" s="27"/>
      <c r="BY586" s="27"/>
      <c r="BZ586" s="28" t="str">
        <f aca="false">IF(N(E586)=0,"",IF(E586&lt;65,"Under 65","≥65"))</f>
        <v/>
      </c>
      <c r="CA586" s="28" t="str">
        <f aca="false">IF(OR(AC586="Yes",AC586="No"),AC586,"")</f>
        <v/>
      </c>
      <c r="CB586" s="28" t="str">
        <f aca="false">IF(OR(AD586="Yes",AD586="No"),AD586,"")</f>
        <v/>
      </c>
      <c r="CC586" s="28" t="str">
        <f aca="false">IF(F586="","",F586)</f>
        <v/>
      </c>
      <c r="CD586" s="27"/>
      <c r="CE586" s="27"/>
    </row>
    <row r="587" customFormat="false" ht="15" hidden="false" customHeight="false" outlineLevel="0" collapsed="false">
      <c r="A587" s="27"/>
      <c r="B587" s="27"/>
      <c r="C587" s="27"/>
      <c r="D587" s="27"/>
      <c r="E587" s="27"/>
      <c r="F587" s="27"/>
      <c r="G587" s="27"/>
      <c r="H587" s="27"/>
      <c r="I587" s="27"/>
      <c r="J587" s="28" t="str">
        <f aca="false">IF(AND(N(H587)&gt;0,N(I587)&gt;0),ROUND(I587/(H587/100)^2,1),"")</f>
        <v/>
      </c>
      <c r="K587" s="27"/>
      <c r="L587" s="27"/>
      <c r="M587" s="27"/>
      <c r="N587" s="27"/>
      <c r="O587" s="27"/>
      <c r="P587" s="27"/>
      <c r="Q587" s="27"/>
      <c r="R587" s="29"/>
      <c r="S587" s="29"/>
      <c r="T587" s="27"/>
      <c r="U587" s="28" t="str">
        <f aca="false">IF(N(T587)=0,"",IF(T587&lt;12,"Under 12 months",IF(T587&lt;36,"12-35 months",IF(T587&lt;60,"36-59 months","≥60 months"))))</f>
        <v/>
      </c>
      <c r="V587" s="27"/>
      <c r="W587" s="30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9"/>
      <c r="AT587" s="30"/>
      <c r="AU587" s="30"/>
      <c r="AV587" s="30"/>
      <c r="AW587" s="27"/>
      <c r="AX587" s="27"/>
      <c r="AY587" s="29"/>
      <c r="AZ587" s="27"/>
      <c r="BA587" s="27"/>
      <c r="BB587" s="29"/>
      <c r="BC587" s="30"/>
      <c r="BD587" s="30"/>
      <c r="BE587" s="30"/>
      <c r="BF587" s="27"/>
      <c r="BG587" s="27"/>
      <c r="BH587" s="28" t="str">
        <f aca="false">IF(COUNT(BC587:BE587)=0,"",IF(MIN(BC587:BE587)&lt;=-2.5,"Yes","No"))</f>
        <v/>
      </c>
      <c r="BI587" s="27"/>
      <c r="BJ587" s="29"/>
      <c r="BK587" s="27"/>
      <c r="BL587" s="27"/>
      <c r="BM587" s="27"/>
      <c r="BN587" s="28" t="str">
        <f aca="false">IF(OR(AX587="Yes",BI587="Yes"),"Yes",IF(AND(AX587="No",BI587="No"),"No",IF(AND(AX587="",BI587=""),"","Unknown")))</f>
        <v/>
      </c>
      <c r="BO587" s="31" t="str">
        <f aca="false">IF(COUNT(AY587,BJ587)=0,"",MIN(AY587,BJ587))</f>
        <v/>
      </c>
      <c r="BP587" s="29"/>
      <c r="BQ587" s="29"/>
      <c r="BR587" s="29"/>
      <c r="BS587" s="28" t="str">
        <f aca="false">IF(AND(N(BP587)&gt;0,N(BR587)&gt;0),BR587-BP587,"")</f>
        <v/>
      </c>
      <c r="BT587" s="28" t="str">
        <f aca="false">IF(BS587="","",ROUND(BS587/365.25,2))</f>
        <v/>
      </c>
      <c r="BU587" s="28" t="str">
        <f aca="false">IF(BS587="","",IF(BS587&gt;=730.5,"Yes","No"))</f>
        <v/>
      </c>
      <c r="BV587" s="27"/>
      <c r="BW587" s="29"/>
      <c r="BX587" s="27"/>
      <c r="BY587" s="27"/>
      <c r="BZ587" s="28" t="str">
        <f aca="false">IF(N(E587)=0,"",IF(E587&lt;65,"Under 65","≥65"))</f>
        <v/>
      </c>
      <c r="CA587" s="28" t="str">
        <f aca="false">IF(OR(AC587="Yes",AC587="No"),AC587,"")</f>
        <v/>
      </c>
      <c r="CB587" s="28" t="str">
        <f aca="false">IF(OR(AD587="Yes",AD587="No"),AD587,"")</f>
        <v/>
      </c>
      <c r="CC587" s="28" t="str">
        <f aca="false">IF(F587="","",F587)</f>
        <v/>
      </c>
      <c r="CD587" s="27"/>
      <c r="CE587" s="27"/>
    </row>
    <row r="588" customFormat="false" ht="15" hidden="false" customHeight="false" outlineLevel="0" collapsed="false">
      <c r="A588" s="27"/>
      <c r="B588" s="27"/>
      <c r="C588" s="27"/>
      <c r="D588" s="27"/>
      <c r="E588" s="27"/>
      <c r="F588" s="27"/>
      <c r="G588" s="27"/>
      <c r="H588" s="27"/>
      <c r="I588" s="27"/>
      <c r="J588" s="28" t="str">
        <f aca="false">IF(AND(N(H588)&gt;0,N(I588)&gt;0),ROUND(I588/(H588/100)^2,1),"")</f>
        <v/>
      </c>
      <c r="K588" s="27"/>
      <c r="L588" s="27"/>
      <c r="M588" s="27"/>
      <c r="N588" s="27"/>
      <c r="O588" s="27"/>
      <c r="P588" s="27"/>
      <c r="Q588" s="27"/>
      <c r="R588" s="29"/>
      <c r="S588" s="29"/>
      <c r="T588" s="27"/>
      <c r="U588" s="28" t="str">
        <f aca="false">IF(N(T588)=0,"",IF(T588&lt;12,"Under 12 months",IF(T588&lt;36,"12-35 months",IF(T588&lt;60,"36-59 months","≥60 months"))))</f>
        <v/>
      </c>
      <c r="V588" s="27"/>
      <c r="W588" s="30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9"/>
      <c r="AT588" s="30"/>
      <c r="AU588" s="30"/>
      <c r="AV588" s="30"/>
      <c r="AW588" s="27"/>
      <c r="AX588" s="27"/>
      <c r="AY588" s="29"/>
      <c r="AZ588" s="27"/>
      <c r="BA588" s="27"/>
      <c r="BB588" s="29"/>
      <c r="BC588" s="30"/>
      <c r="BD588" s="30"/>
      <c r="BE588" s="30"/>
      <c r="BF588" s="27"/>
      <c r="BG588" s="27"/>
      <c r="BH588" s="28" t="str">
        <f aca="false">IF(COUNT(BC588:BE588)=0,"",IF(MIN(BC588:BE588)&lt;=-2.5,"Yes","No"))</f>
        <v/>
      </c>
      <c r="BI588" s="27"/>
      <c r="BJ588" s="29"/>
      <c r="BK588" s="27"/>
      <c r="BL588" s="27"/>
      <c r="BM588" s="27"/>
      <c r="BN588" s="28" t="str">
        <f aca="false">IF(OR(AX588="Yes",BI588="Yes"),"Yes",IF(AND(AX588="No",BI588="No"),"No",IF(AND(AX588="",BI588=""),"","Unknown")))</f>
        <v/>
      </c>
      <c r="BO588" s="31" t="str">
        <f aca="false">IF(COUNT(AY588,BJ588)=0,"",MIN(AY588,BJ588))</f>
        <v/>
      </c>
      <c r="BP588" s="29"/>
      <c r="BQ588" s="29"/>
      <c r="BR588" s="29"/>
      <c r="BS588" s="28" t="str">
        <f aca="false">IF(AND(N(BP588)&gt;0,N(BR588)&gt;0),BR588-BP588,"")</f>
        <v/>
      </c>
      <c r="BT588" s="28" t="str">
        <f aca="false">IF(BS588="","",ROUND(BS588/365.25,2))</f>
        <v/>
      </c>
      <c r="BU588" s="28" t="str">
        <f aca="false">IF(BS588="","",IF(BS588&gt;=730.5,"Yes","No"))</f>
        <v/>
      </c>
      <c r="BV588" s="27"/>
      <c r="BW588" s="29"/>
      <c r="BX588" s="27"/>
      <c r="BY588" s="27"/>
      <c r="BZ588" s="28" t="str">
        <f aca="false">IF(N(E588)=0,"",IF(E588&lt;65,"Under 65","≥65"))</f>
        <v/>
      </c>
      <c r="CA588" s="28" t="str">
        <f aca="false">IF(OR(AC588="Yes",AC588="No"),AC588,"")</f>
        <v/>
      </c>
      <c r="CB588" s="28" t="str">
        <f aca="false">IF(OR(AD588="Yes",AD588="No"),AD588,"")</f>
        <v/>
      </c>
      <c r="CC588" s="28" t="str">
        <f aca="false">IF(F588="","",F588)</f>
        <v/>
      </c>
      <c r="CD588" s="27"/>
      <c r="CE588" s="27"/>
    </row>
    <row r="589" customFormat="false" ht="15" hidden="false" customHeight="false" outlineLevel="0" collapsed="false">
      <c r="A589" s="27"/>
      <c r="B589" s="27"/>
      <c r="C589" s="27"/>
      <c r="D589" s="27"/>
      <c r="E589" s="27"/>
      <c r="F589" s="27"/>
      <c r="G589" s="27"/>
      <c r="H589" s="27"/>
      <c r="I589" s="27"/>
      <c r="J589" s="28" t="str">
        <f aca="false">IF(AND(N(H589)&gt;0,N(I589)&gt;0),ROUND(I589/(H589/100)^2,1),"")</f>
        <v/>
      </c>
      <c r="K589" s="27"/>
      <c r="L589" s="27"/>
      <c r="M589" s="27"/>
      <c r="N589" s="27"/>
      <c r="O589" s="27"/>
      <c r="P589" s="27"/>
      <c r="Q589" s="27"/>
      <c r="R589" s="29"/>
      <c r="S589" s="29"/>
      <c r="T589" s="27"/>
      <c r="U589" s="28" t="str">
        <f aca="false">IF(N(T589)=0,"",IF(T589&lt;12,"Under 12 months",IF(T589&lt;36,"12-35 months",IF(T589&lt;60,"36-59 months","≥60 months"))))</f>
        <v/>
      </c>
      <c r="V589" s="27"/>
      <c r="W589" s="30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9"/>
      <c r="AT589" s="30"/>
      <c r="AU589" s="30"/>
      <c r="AV589" s="30"/>
      <c r="AW589" s="27"/>
      <c r="AX589" s="27"/>
      <c r="AY589" s="29"/>
      <c r="AZ589" s="27"/>
      <c r="BA589" s="27"/>
      <c r="BB589" s="29"/>
      <c r="BC589" s="30"/>
      <c r="BD589" s="30"/>
      <c r="BE589" s="30"/>
      <c r="BF589" s="27"/>
      <c r="BG589" s="27"/>
      <c r="BH589" s="28" t="str">
        <f aca="false">IF(COUNT(BC589:BE589)=0,"",IF(MIN(BC589:BE589)&lt;=-2.5,"Yes","No"))</f>
        <v/>
      </c>
      <c r="BI589" s="27"/>
      <c r="BJ589" s="29"/>
      <c r="BK589" s="27"/>
      <c r="BL589" s="27"/>
      <c r="BM589" s="27"/>
      <c r="BN589" s="28" t="str">
        <f aca="false">IF(OR(AX589="Yes",BI589="Yes"),"Yes",IF(AND(AX589="No",BI589="No"),"No",IF(AND(AX589="",BI589=""),"","Unknown")))</f>
        <v/>
      </c>
      <c r="BO589" s="31" t="str">
        <f aca="false">IF(COUNT(AY589,BJ589)=0,"",MIN(AY589,BJ589))</f>
        <v/>
      </c>
      <c r="BP589" s="29"/>
      <c r="BQ589" s="29"/>
      <c r="BR589" s="29"/>
      <c r="BS589" s="28" t="str">
        <f aca="false">IF(AND(N(BP589)&gt;0,N(BR589)&gt;0),BR589-BP589,"")</f>
        <v/>
      </c>
      <c r="BT589" s="28" t="str">
        <f aca="false">IF(BS589="","",ROUND(BS589/365.25,2))</f>
        <v/>
      </c>
      <c r="BU589" s="28" t="str">
        <f aca="false">IF(BS589="","",IF(BS589&gt;=730.5,"Yes","No"))</f>
        <v/>
      </c>
      <c r="BV589" s="27"/>
      <c r="BW589" s="29"/>
      <c r="BX589" s="27"/>
      <c r="BY589" s="27"/>
      <c r="BZ589" s="28" t="str">
        <f aca="false">IF(N(E589)=0,"",IF(E589&lt;65,"Under 65","≥65"))</f>
        <v/>
      </c>
      <c r="CA589" s="28" t="str">
        <f aca="false">IF(OR(AC589="Yes",AC589="No"),AC589,"")</f>
        <v/>
      </c>
      <c r="CB589" s="28" t="str">
        <f aca="false">IF(OR(AD589="Yes",AD589="No"),AD589,"")</f>
        <v/>
      </c>
      <c r="CC589" s="28" t="str">
        <f aca="false">IF(F589="","",F589)</f>
        <v/>
      </c>
      <c r="CD589" s="27"/>
      <c r="CE589" s="27"/>
    </row>
    <row r="590" customFormat="false" ht="15" hidden="false" customHeight="false" outlineLevel="0" collapsed="false">
      <c r="A590" s="27"/>
      <c r="B590" s="27"/>
      <c r="C590" s="27"/>
      <c r="D590" s="27"/>
      <c r="E590" s="27"/>
      <c r="F590" s="27"/>
      <c r="G590" s="27"/>
      <c r="H590" s="27"/>
      <c r="I590" s="27"/>
      <c r="J590" s="28" t="str">
        <f aca="false">IF(AND(N(H590)&gt;0,N(I590)&gt;0),ROUND(I590/(H590/100)^2,1),"")</f>
        <v/>
      </c>
      <c r="K590" s="27"/>
      <c r="L590" s="27"/>
      <c r="M590" s="27"/>
      <c r="N590" s="27"/>
      <c r="O590" s="27"/>
      <c r="P590" s="27"/>
      <c r="Q590" s="27"/>
      <c r="R590" s="29"/>
      <c r="S590" s="29"/>
      <c r="T590" s="27"/>
      <c r="U590" s="28" t="str">
        <f aca="false">IF(N(T590)=0,"",IF(T590&lt;12,"Under 12 months",IF(T590&lt;36,"12-35 months",IF(T590&lt;60,"36-59 months","≥60 months"))))</f>
        <v/>
      </c>
      <c r="V590" s="27"/>
      <c r="W590" s="30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9"/>
      <c r="AT590" s="30"/>
      <c r="AU590" s="30"/>
      <c r="AV590" s="30"/>
      <c r="AW590" s="27"/>
      <c r="AX590" s="27"/>
      <c r="AY590" s="29"/>
      <c r="AZ590" s="27"/>
      <c r="BA590" s="27"/>
      <c r="BB590" s="29"/>
      <c r="BC590" s="30"/>
      <c r="BD590" s="30"/>
      <c r="BE590" s="30"/>
      <c r="BF590" s="27"/>
      <c r="BG590" s="27"/>
      <c r="BH590" s="28" t="str">
        <f aca="false">IF(COUNT(BC590:BE590)=0,"",IF(MIN(BC590:BE590)&lt;=-2.5,"Yes","No"))</f>
        <v/>
      </c>
      <c r="BI590" s="27"/>
      <c r="BJ590" s="29"/>
      <c r="BK590" s="27"/>
      <c r="BL590" s="27"/>
      <c r="BM590" s="27"/>
      <c r="BN590" s="28" t="str">
        <f aca="false">IF(OR(AX590="Yes",BI590="Yes"),"Yes",IF(AND(AX590="No",BI590="No"),"No",IF(AND(AX590="",BI590=""),"","Unknown")))</f>
        <v/>
      </c>
      <c r="BO590" s="31" t="str">
        <f aca="false">IF(COUNT(AY590,BJ590)=0,"",MIN(AY590,BJ590))</f>
        <v/>
      </c>
      <c r="BP590" s="29"/>
      <c r="BQ590" s="29"/>
      <c r="BR590" s="29"/>
      <c r="BS590" s="28" t="str">
        <f aca="false">IF(AND(N(BP590)&gt;0,N(BR590)&gt;0),BR590-BP590,"")</f>
        <v/>
      </c>
      <c r="BT590" s="28" t="str">
        <f aca="false">IF(BS590="","",ROUND(BS590/365.25,2))</f>
        <v/>
      </c>
      <c r="BU590" s="28" t="str">
        <f aca="false">IF(BS590="","",IF(BS590&gt;=730.5,"Yes","No"))</f>
        <v/>
      </c>
      <c r="BV590" s="27"/>
      <c r="BW590" s="29"/>
      <c r="BX590" s="27"/>
      <c r="BY590" s="27"/>
      <c r="BZ590" s="28" t="str">
        <f aca="false">IF(N(E590)=0,"",IF(E590&lt;65,"Under 65","≥65"))</f>
        <v/>
      </c>
      <c r="CA590" s="28" t="str">
        <f aca="false">IF(OR(AC590="Yes",AC590="No"),AC590,"")</f>
        <v/>
      </c>
      <c r="CB590" s="28" t="str">
        <f aca="false">IF(OR(AD590="Yes",AD590="No"),AD590,"")</f>
        <v/>
      </c>
      <c r="CC590" s="28" t="str">
        <f aca="false">IF(F590="","",F590)</f>
        <v/>
      </c>
      <c r="CD590" s="27"/>
      <c r="CE590" s="27"/>
    </row>
    <row r="591" customFormat="false" ht="15" hidden="false" customHeight="false" outlineLevel="0" collapsed="false">
      <c r="A591" s="27"/>
      <c r="B591" s="27"/>
      <c r="C591" s="27"/>
      <c r="D591" s="27"/>
      <c r="E591" s="27"/>
      <c r="F591" s="27"/>
      <c r="G591" s="27"/>
      <c r="H591" s="27"/>
      <c r="I591" s="27"/>
      <c r="J591" s="28" t="str">
        <f aca="false">IF(AND(N(H591)&gt;0,N(I591)&gt;0),ROUND(I591/(H591/100)^2,1),"")</f>
        <v/>
      </c>
      <c r="K591" s="27"/>
      <c r="L591" s="27"/>
      <c r="M591" s="27"/>
      <c r="N591" s="27"/>
      <c r="O591" s="27"/>
      <c r="P591" s="27"/>
      <c r="Q591" s="27"/>
      <c r="R591" s="29"/>
      <c r="S591" s="29"/>
      <c r="T591" s="27"/>
      <c r="U591" s="28" t="str">
        <f aca="false">IF(N(T591)=0,"",IF(T591&lt;12,"Under 12 months",IF(T591&lt;36,"12-35 months",IF(T591&lt;60,"36-59 months","≥60 months"))))</f>
        <v/>
      </c>
      <c r="V591" s="27"/>
      <c r="W591" s="30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9"/>
      <c r="AT591" s="30"/>
      <c r="AU591" s="30"/>
      <c r="AV591" s="30"/>
      <c r="AW591" s="27"/>
      <c r="AX591" s="27"/>
      <c r="AY591" s="29"/>
      <c r="AZ591" s="27"/>
      <c r="BA591" s="27"/>
      <c r="BB591" s="29"/>
      <c r="BC591" s="30"/>
      <c r="BD591" s="30"/>
      <c r="BE591" s="30"/>
      <c r="BF591" s="27"/>
      <c r="BG591" s="27"/>
      <c r="BH591" s="28" t="str">
        <f aca="false">IF(COUNT(BC591:BE591)=0,"",IF(MIN(BC591:BE591)&lt;=-2.5,"Yes","No"))</f>
        <v/>
      </c>
      <c r="BI591" s="27"/>
      <c r="BJ591" s="29"/>
      <c r="BK591" s="27"/>
      <c r="BL591" s="27"/>
      <c r="BM591" s="27"/>
      <c r="BN591" s="28" t="str">
        <f aca="false">IF(OR(AX591="Yes",BI591="Yes"),"Yes",IF(AND(AX591="No",BI591="No"),"No",IF(AND(AX591="",BI591=""),"","Unknown")))</f>
        <v/>
      </c>
      <c r="BO591" s="31" t="str">
        <f aca="false">IF(COUNT(AY591,BJ591)=0,"",MIN(AY591,BJ591))</f>
        <v/>
      </c>
      <c r="BP591" s="29"/>
      <c r="BQ591" s="29"/>
      <c r="BR591" s="29"/>
      <c r="BS591" s="28" t="str">
        <f aca="false">IF(AND(N(BP591)&gt;0,N(BR591)&gt;0),BR591-BP591,"")</f>
        <v/>
      </c>
      <c r="BT591" s="28" t="str">
        <f aca="false">IF(BS591="","",ROUND(BS591/365.25,2))</f>
        <v/>
      </c>
      <c r="BU591" s="28" t="str">
        <f aca="false">IF(BS591="","",IF(BS591&gt;=730.5,"Yes","No"))</f>
        <v/>
      </c>
      <c r="BV591" s="27"/>
      <c r="BW591" s="29"/>
      <c r="BX591" s="27"/>
      <c r="BY591" s="27"/>
      <c r="BZ591" s="28" t="str">
        <f aca="false">IF(N(E591)=0,"",IF(E591&lt;65,"Under 65","≥65"))</f>
        <v/>
      </c>
      <c r="CA591" s="28" t="str">
        <f aca="false">IF(OR(AC591="Yes",AC591="No"),AC591,"")</f>
        <v/>
      </c>
      <c r="CB591" s="28" t="str">
        <f aca="false">IF(OR(AD591="Yes",AD591="No"),AD591,"")</f>
        <v/>
      </c>
      <c r="CC591" s="28" t="str">
        <f aca="false">IF(F591="","",F591)</f>
        <v/>
      </c>
      <c r="CD591" s="27"/>
      <c r="CE591" s="27"/>
    </row>
    <row r="592" customFormat="false" ht="15" hidden="false" customHeight="false" outlineLevel="0" collapsed="false">
      <c r="A592" s="27"/>
      <c r="B592" s="27"/>
      <c r="C592" s="27"/>
      <c r="D592" s="27"/>
      <c r="E592" s="27"/>
      <c r="F592" s="27"/>
      <c r="G592" s="27"/>
      <c r="H592" s="27"/>
      <c r="I592" s="27"/>
      <c r="J592" s="28" t="str">
        <f aca="false">IF(AND(N(H592)&gt;0,N(I592)&gt;0),ROUND(I592/(H592/100)^2,1),"")</f>
        <v/>
      </c>
      <c r="K592" s="27"/>
      <c r="L592" s="27"/>
      <c r="M592" s="27"/>
      <c r="N592" s="27"/>
      <c r="O592" s="27"/>
      <c r="P592" s="27"/>
      <c r="Q592" s="27"/>
      <c r="R592" s="29"/>
      <c r="S592" s="29"/>
      <c r="T592" s="27"/>
      <c r="U592" s="28" t="str">
        <f aca="false">IF(N(T592)=0,"",IF(T592&lt;12,"Under 12 months",IF(T592&lt;36,"12-35 months",IF(T592&lt;60,"36-59 months","≥60 months"))))</f>
        <v/>
      </c>
      <c r="V592" s="27"/>
      <c r="W592" s="30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9"/>
      <c r="AT592" s="30"/>
      <c r="AU592" s="30"/>
      <c r="AV592" s="30"/>
      <c r="AW592" s="27"/>
      <c r="AX592" s="27"/>
      <c r="AY592" s="29"/>
      <c r="AZ592" s="27"/>
      <c r="BA592" s="27"/>
      <c r="BB592" s="29"/>
      <c r="BC592" s="30"/>
      <c r="BD592" s="30"/>
      <c r="BE592" s="30"/>
      <c r="BF592" s="27"/>
      <c r="BG592" s="27"/>
      <c r="BH592" s="28" t="str">
        <f aca="false">IF(COUNT(BC592:BE592)=0,"",IF(MIN(BC592:BE592)&lt;=-2.5,"Yes","No"))</f>
        <v/>
      </c>
      <c r="BI592" s="27"/>
      <c r="BJ592" s="29"/>
      <c r="BK592" s="27"/>
      <c r="BL592" s="27"/>
      <c r="BM592" s="27"/>
      <c r="BN592" s="28" t="str">
        <f aca="false">IF(OR(AX592="Yes",BI592="Yes"),"Yes",IF(AND(AX592="No",BI592="No"),"No",IF(AND(AX592="",BI592=""),"","Unknown")))</f>
        <v/>
      </c>
      <c r="BO592" s="31" t="str">
        <f aca="false">IF(COUNT(AY592,BJ592)=0,"",MIN(AY592,BJ592))</f>
        <v/>
      </c>
      <c r="BP592" s="29"/>
      <c r="BQ592" s="29"/>
      <c r="BR592" s="29"/>
      <c r="BS592" s="28" t="str">
        <f aca="false">IF(AND(N(BP592)&gt;0,N(BR592)&gt;0),BR592-BP592,"")</f>
        <v/>
      </c>
      <c r="BT592" s="28" t="str">
        <f aca="false">IF(BS592="","",ROUND(BS592/365.25,2))</f>
        <v/>
      </c>
      <c r="BU592" s="28" t="str">
        <f aca="false">IF(BS592="","",IF(BS592&gt;=730.5,"Yes","No"))</f>
        <v/>
      </c>
      <c r="BV592" s="27"/>
      <c r="BW592" s="29"/>
      <c r="BX592" s="27"/>
      <c r="BY592" s="27"/>
      <c r="BZ592" s="28" t="str">
        <f aca="false">IF(N(E592)=0,"",IF(E592&lt;65,"Under 65","≥65"))</f>
        <v/>
      </c>
      <c r="CA592" s="28" t="str">
        <f aca="false">IF(OR(AC592="Yes",AC592="No"),AC592,"")</f>
        <v/>
      </c>
      <c r="CB592" s="28" t="str">
        <f aca="false">IF(OR(AD592="Yes",AD592="No"),AD592,"")</f>
        <v/>
      </c>
      <c r="CC592" s="28" t="str">
        <f aca="false">IF(F592="","",F592)</f>
        <v/>
      </c>
      <c r="CD592" s="27"/>
      <c r="CE592" s="27"/>
    </row>
    <row r="593" customFormat="false" ht="15" hidden="false" customHeight="false" outlineLevel="0" collapsed="false">
      <c r="A593" s="27"/>
      <c r="B593" s="27"/>
      <c r="C593" s="27"/>
      <c r="D593" s="27"/>
      <c r="E593" s="27"/>
      <c r="F593" s="27"/>
      <c r="G593" s="27"/>
      <c r="H593" s="27"/>
      <c r="I593" s="27"/>
      <c r="J593" s="28" t="str">
        <f aca="false">IF(AND(N(H593)&gt;0,N(I593)&gt;0),ROUND(I593/(H593/100)^2,1),"")</f>
        <v/>
      </c>
      <c r="K593" s="27"/>
      <c r="L593" s="27"/>
      <c r="M593" s="27"/>
      <c r="N593" s="27"/>
      <c r="O593" s="27"/>
      <c r="P593" s="27"/>
      <c r="Q593" s="27"/>
      <c r="R593" s="29"/>
      <c r="S593" s="29"/>
      <c r="T593" s="27"/>
      <c r="U593" s="28" t="str">
        <f aca="false">IF(N(T593)=0,"",IF(T593&lt;12,"Under 12 months",IF(T593&lt;36,"12-35 months",IF(T593&lt;60,"36-59 months","≥60 months"))))</f>
        <v/>
      </c>
      <c r="V593" s="27"/>
      <c r="W593" s="30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9"/>
      <c r="AT593" s="30"/>
      <c r="AU593" s="30"/>
      <c r="AV593" s="30"/>
      <c r="AW593" s="27"/>
      <c r="AX593" s="27"/>
      <c r="AY593" s="29"/>
      <c r="AZ593" s="27"/>
      <c r="BA593" s="27"/>
      <c r="BB593" s="29"/>
      <c r="BC593" s="30"/>
      <c r="BD593" s="30"/>
      <c r="BE593" s="30"/>
      <c r="BF593" s="27"/>
      <c r="BG593" s="27"/>
      <c r="BH593" s="28" t="str">
        <f aca="false">IF(COUNT(BC593:BE593)=0,"",IF(MIN(BC593:BE593)&lt;=-2.5,"Yes","No"))</f>
        <v/>
      </c>
      <c r="BI593" s="27"/>
      <c r="BJ593" s="29"/>
      <c r="BK593" s="27"/>
      <c r="BL593" s="27"/>
      <c r="BM593" s="27"/>
      <c r="BN593" s="28" t="str">
        <f aca="false">IF(OR(AX593="Yes",BI593="Yes"),"Yes",IF(AND(AX593="No",BI593="No"),"No",IF(AND(AX593="",BI593=""),"","Unknown")))</f>
        <v/>
      </c>
      <c r="BO593" s="31" t="str">
        <f aca="false">IF(COUNT(AY593,BJ593)=0,"",MIN(AY593,BJ593))</f>
        <v/>
      </c>
      <c r="BP593" s="29"/>
      <c r="BQ593" s="29"/>
      <c r="BR593" s="29"/>
      <c r="BS593" s="28" t="str">
        <f aca="false">IF(AND(N(BP593)&gt;0,N(BR593)&gt;0),BR593-BP593,"")</f>
        <v/>
      </c>
      <c r="BT593" s="28" t="str">
        <f aca="false">IF(BS593="","",ROUND(BS593/365.25,2))</f>
        <v/>
      </c>
      <c r="BU593" s="28" t="str">
        <f aca="false">IF(BS593="","",IF(BS593&gt;=730.5,"Yes","No"))</f>
        <v/>
      </c>
      <c r="BV593" s="27"/>
      <c r="BW593" s="29"/>
      <c r="BX593" s="27"/>
      <c r="BY593" s="27"/>
      <c r="BZ593" s="28" t="str">
        <f aca="false">IF(N(E593)=0,"",IF(E593&lt;65,"Under 65","≥65"))</f>
        <v/>
      </c>
      <c r="CA593" s="28" t="str">
        <f aca="false">IF(OR(AC593="Yes",AC593="No"),AC593,"")</f>
        <v/>
      </c>
      <c r="CB593" s="28" t="str">
        <f aca="false">IF(OR(AD593="Yes",AD593="No"),AD593,"")</f>
        <v/>
      </c>
      <c r="CC593" s="28" t="str">
        <f aca="false">IF(F593="","",F593)</f>
        <v/>
      </c>
      <c r="CD593" s="27"/>
      <c r="CE593" s="27"/>
    </row>
    <row r="594" customFormat="false" ht="15" hidden="false" customHeight="false" outlineLevel="0" collapsed="false">
      <c r="A594" s="27"/>
      <c r="B594" s="27"/>
      <c r="C594" s="27"/>
      <c r="D594" s="27"/>
      <c r="E594" s="27"/>
      <c r="F594" s="27"/>
      <c r="G594" s="27"/>
      <c r="H594" s="27"/>
      <c r="I594" s="27"/>
      <c r="J594" s="28" t="str">
        <f aca="false">IF(AND(N(H594)&gt;0,N(I594)&gt;0),ROUND(I594/(H594/100)^2,1),"")</f>
        <v/>
      </c>
      <c r="K594" s="27"/>
      <c r="L594" s="27"/>
      <c r="M594" s="27"/>
      <c r="N594" s="27"/>
      <c r="O594" s="27"/>
      <c r="P594" s="27"/>
      <c r="Q594" s="27"/>
      <c r="R594" s="29"/>
      <c r="S594" s="29"/>
      <c r="T594" s="27"/>
      <c r="U594" s="28" t="str">
        <f aca="false">IF(N(T594)=0,"",IF(T594&lt;12,"Under 12 months",IF(T594&lt;36,"12-35 months",IF(T594&lt;60,"36-59 months","≥60 months"))))</f>
        <v/>
      </c>
      <c r="V594" s="27"/>
      <c r="W594" s="30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9"/>
      <c r="AT594" s="30"/>
      <c r="AU594" s="30"/>
      <c r="AV594" s="30"/>
      <c r="AW594" s="27"/>
      <c r="AX594" s="27"/>
      <c r="AY594" s="29"/>
      <c r="AZ594" s="27"/>
      <c r="BA594" s="27"/>
      <c r="BB594" s="29"/>
      <c r="BC594" s="30"/>
      <c r="BD594" s="30"/>
      <c r="BE594" s="30"/>
      <c r="BF594" s="27"/>
      <c r="BG594" s="27"/>
      <c r="BH594" s="28" t="str">
        <f aca="false">IF(COUNT(BC594:BE594)=0,"",IF(MIN(BC594:BE594)&lt;=-2.5,"Yes","No"))</f>
        <v/>
      </c>
      <c r="BI594" s="27"/>
      <c r="BJ594" s="29"/>
      <c r="BK594" s="27"/>
      <c r="BL594" s="27"/>
      <c r="BM594" s="27"/>
      <c r="BN594" s="28" t="str">
        <f aca="false">IF(OR(AX594="Yes",BI594="Yes"),"Yes",IF(AND(AX594="No",BI594="No"),"No",IF(AND(AX594="",BI594=""),"","Unknown")))</f>
        <v/>
      </c>
      <c r="BO594" s="31" t="str">
        <f aca="false">IF(COUNT(AY594,BJ594)=0,"",MIN(AY594,BJ594))</f>
        <v/>
      </c>
      <c r="BP594" s="29"/>
      <c r="BQ594" s="29"/>
      <c r="BR594" s="29"/>
      <c r="BS594" s="28" t="str">
        <f aca="false">IF(AND(N(BP594)&gt;0,N(BR594)&gt;0),BR594-BP594,"")</f>
        <v/>
      </c>
      <c r="BT594" s="28" t="str">
        <f aca="false">IF(BS594="","",ROUND(BS594/365.25,2))</f>
        <v/>
      </c>
      <c r="BU594" s="28" t="str">
        <f aca="false">IF(BS594="","",IF(BS594&gt;=730.5,"Yes","No"))</f>
        <v/>
      </c>
      <c r="BV594" s="27"/>
      <c r="BW594" s="29"/>
      <c r="BX594" s="27"/>
      <c r="BY594" s="27"/>
      <c r="BZ594" s="28" t="str">
        <f aca="false">IF(N(E594)=0,"",IF(E594&lt;65,"Under 65","≥65"))</f>
        <v/>
      </c>
      <c r="CA594" s="28" t="str">
        <f aca="false">IF(OR(AC594="Yes",AC594="No"),AC594,"")</f>
        <v/>
      </c>
      <c r="CB594" s="28" t="str">
        <f aca="false">IF(OR(AD594="Yes",AD594="No"),AD594,"")</f>
        <v/>
      </c>
      <c r="CC594" s="28" t="str">
        <f aca="false">IF(F594="","",F594)</f>
        <v/>
      </c>
      <c r="CD594" s="27"/>
      <c r="CE594" s="27"/>
    </row>
    <row r="595" customFormat="false" ht="15" hidden="false" customHeight="false" outlineLevel="0" collapsed="false">
      <c r="A595" s="27"/>
      <c r="B595" s="27"/>
      <c r="C595" s="27"/>
      <c r="D595" s="27"/>
      <c r="E595" s="27"/>
      <c r="F595" s="27"/>
      <c r="G595" s="27"/>
      <c r="H595" s="27"/>
      <c r="I595" s="27"/>
      <c r="J595" s="28" t="str">
        <f aca="false">IF(AND(N(H595)&gt;0,N(I595)&gt;0),ROUND(I595/(H595/100)^2,1),"")</f>
        <v/>
      </c>
      <c r="K595" s="27"/>
      <c r="L595" s="27"/>
      <c r="M595" s="27"/>
      <c r="N595" s="27"/>
      <c r="O595" s="27"/>
      <c r="P595" s="27"/>
      <c r="Q595" s="27"/>
      <c r="R595" s="29"/>
      <c r="S595" s="29"/>
      <c r="T595" s="27"/>
      <c r="U595" s="28" t="str">
        <f aca="false">IF(N(T595)=0,"",IF(T595&lt;12,"Under 12 months",IF(T595&lt;36,"12-35 months",IF(T595&lt;60,"36-59 months","≥60 months"))))</f>
        <v/>
      </c>
      <c r="V595" s="27"/>
      <c r="W595" s="30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9"/>
      <c r="AT595" s="30"/>
      <c r="AU595" s="30"/>
      <c r="AV595" s="30"/>
      <c r="AW595" s="27"/>
      <c r="AX595" s="27"/>
      <c r="AY595" s="29"/>
      <c r="AZ595" s="27"/>
      <c r="BA595" s="27"/>
      <c r="BB595" s="29"/>
      <c r="BC595" s="30"/>
      <c r="BD595" s="30"/>
      <c r="BE595" s="30"/>
      <c r="BF595" s="27"/>
      <c r="BG595" s="27"/>
      <c r="BH595" s="28" t="str">
        <f aca="false">IF(COUNT(BC595:BE595)=0,"",IF(MIN(BC595:BE595)&lt;=-2.5,"Yes","No"))</f>
        <v/>
      </c>
      <c r="BI595" s="27"/>
      <c r="BJ595" s="29"/>
      <c r="BK595" s="27"/>
      <c r="BL595" s="27"/>
      <c r="BM595" s="27"/>
      <c r="BN595" s="28" t="str">
        <f aca="false">IF(OR(AX595="Yes",BI595="Yes"),"Yes",IF(AND(AX595="No",BI595="No"),"No",IF(AND(AX595="",BI595=""),"","Unknown")))</f>
        <v/>
      </c>
      <c r="BO595" s="31" t="str">
        <f aca="false">IF(COUNT(AY595,BJ595)=0,"",MIN(AY595,BJ595))</f>
        <v/>
      </c>
      <c r="BP595" s="29"/>
      <c r="BQ595" s="29"/>
      <c r="BR595" s="29"/>
      <c r="BS595" s="28" t="str">
        <f aca="false">IF(AND(N(BP595)&gt;0,N(BR595)&gt;0),BR595-BP595,"")</f>
        <v/>
      </c>
      <c r="BT595" s="28" t="str">
        <f aca="false">IF(BS595="","",ROUND(BS595/365.25,2))</f>
        <v/>
      </c>
      <c r="BU595" s="28" t="str">
        <f aca="false">IF(BS595="","",IF(BS595&gt;=730.5,"Yes","No"))</f>
        <v/>
      </c>
      <c r="BV595" s="27"/>
      <c r="BW595" s="29"/>
      <c r="BX595" s="27"/>
      <c r="BY595" s="27"/>
      <c r="BZ595" s="28" t="str">
        <f aca="false">IF(N(E595)=0,"",IF(E595&lt;65,"Under 65","≥65"))</f>
        <v/>
      </c>
      <c r="CA595" s="28" t="str">
        <f aca="false">IF(OR(AC595="Yes",AC595="No"),AC595,"")</f>
        <v/>
      </c>
      <c r="CB595" s="28" t="str">
        <f aca="false">IF(OR(AD595="Yes",AD595="No"),AD595,"")</f>
        <v/>
      </c>
      <c r="CC595" s="28" t="str">
        <f aca="false">IF(F595="","",F595)</f>
        <v/>
      </c>
      <c r="CD595" s="27"/>
      <c r="CE595" s="27"/>
    </row>
    <row r="596" customFormat="false" ht="15" hidden="false" customHeight="false" outlineLevel="0" collapsed="false">
      <c r="A596" s="27"/>
      <c r="B596" s="27"/>
      <c r="C596" s="27"/>
      <c r="D596" s="27"/>
      <c r="E596" s="27"/>
      <c r="F596" s="27"/>
      <c r="G596" s="27"/>
      <c r="H596" s="27"/>
      <c r="I596" s="27"/>
      <c r="J596" s="28" t="str">
        <f aca="false">IF(AND(N(H596)&gt;0,N(I596)&gt;0),ROUND(I596/(H596/100)^2,1),"")</f>
        <v/>
      </c>
      <c r="K596" s="27"/>
      <c r="L596" s="27"/>
      <c r="M596" s="27"/>
      <c r="N596" s="27"/>
      <c r="O596" s="27"/>
      <c r="P596" s="27"/>
      <c r="Q596" s="27"/>
      <c r="R596" s="29"/>
      <c r="S596" s="29"/>
      <c r="T596" s="27"/>
      <c r="U596" s="28" t="str">
        <f aca="false">IF(N(T596)=0,"",IF(T596&lt;12,"Under 12 months",IF(T596&lt;36,"12-35 months",IF(T596&lt;60,"36-59 months","≥60 months"))))</f>
        <v/>
      </c>
      <c r="V596" s="27"/>
      <c r="W596" s="30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9"/>
      <c r="AT596" s="30"/>
      <c r="AU596" s="30"/>
      <c r="AV596" s="30"/>
      <c r="AW596" s="27"/>
      <c r="AX596" s="27"/>
      <c r="AY596" s="29"/>
      <c r="AZ596" s="27"/>
      <c r="BA596" s="27"/>
      <c r="BB596" s="29"/>
      <c r="BC596" s="30"/>
      <c r="BD596" s="30"/>
      <c r="BE596" s="30"/>
      <c r="BF596" s="27"/>
      <c r="BG596" s="27"/>
      <c r="BH596" s="28" t="str">
        <f aca="false">IF(COUNT(BC596:BE596)=0,"",IF(MIN(BC596:BE596)&lt;=-2.5,"Yes","No"))</f>
        <v/>
      </c>
      <c r="BI596" s="27"/>
      <c r="BJ596" s="29"/>
      <c r="BK596" s="27"/>
      <c r="BL596" s="27"/>
      <c r="BM596" s="27"/>
      <c r="BN596" s="28" t="str">
        <f aca="false">IF(OR(AX596="Yes",BI596="Yes"),"Yes",IF(AND(AX596="No",BI596="No"),"No",IF(AND(AX596="",BI596=""),"","Unknown")))</f>
        <v/>
      </c>
      <c r="BO596" s="31" t="str">
        <f aca="false">IF(COUNT(AY596,BJ596)=0,"",MIN(AY596,BJ596))</f>
        <v/>
      </c>
      <c r="BP596" s="29"/>
      <c r="BQ596" s="29"/>
      <c r="BR596" s="29"/>
      <c r="BS596" s="28" t="str">
        <f aca="false">IF(AND(N(BP596)&gt;0,N(BR596)&gt;0),BR596-BP596,"")</f>
        <v/>
      </c>
      <c r="BT596" s="28" t="str">
        <f aca="false">IF(BS596="","",ROUND(BS596/365.25,2))</f>
        <v/>
      </c>
      <c r="BU596" s="28" t="str">
        <f aca="false">IF(BS596="","",IF(BS596&gt;=730.5,"Yes","No"))</f>
        <v/>
      </c>
      <c r="BV596" s="27"/>
      <c r="BW596" s="29"/>
      <c r="BX596" s="27"/>
      <c r="BY596" s="27"/>
      <c r="BZ596" s="28" t="str">
        <f aca="false">IF(N(E596)=0,"",IF(E596&lt;65,"Under 65","≥65"))</f>
        <v/>
      </c>
      <c r="CA596" s="28" t="str">
        <f aca="false">IF(OR(AC596="Yes",AC596="No"),AC596,"")</f>
        <v/>
      </c>
      <c r="CB596" s="28" t="str">
        <f aca="false">IF(OR(AD596="Yes",AD596="No"),AD596,"")</f>
        <v/>
      </c>
      <c r="CC596" s="28" t="str">
        <f aca="false">IF(F596="","",F596)</f>
        <v/>
      </c>
      <c r="CD596" s="27"/>
      <c r="CE596" s="27"/>
    </row>
    <row r="597" customFormat="false" ht="15" hidden="false" customHeight="false" outlineLevel="0" collapsed="false">
      <c r="A597" s="27"/>
      <c r="B597" s="27"/>
      <c r="C597" s="27"/>
      <c r="D597" s="27"/>
      <c r="E597" s="27"/>
      <c r="F597" s="27"/>
      <c r="G597" s="27"/>
      <c r="H597" s="27"/>
      <c r="I597" s="27"/>
      <c r="J597" s="28" t="str">
        <f aca="false">IF(AND(N(H597)&gt;0,N(I597)&gt;0),ROUND(I597/(H597/100)^2,1),"")</f>
        <v/>
      </c>
      <c r="K597" s="27"/>
      <c r="L597" s="27"/>
      <c r="M597" s="27"/>
      <c r="N597" s="27"/>
      <c r="O597" s="27"/>
      <c r="P597" s="27"/>
      <c r="Q597" s="27"/>
      <c r="R597" s="29"/>
      <c r="S597" s="29"/>
      <c r="T597" s="27"/>
      <c r="U597" s="28" t="str">
        <f aca="false">IF(N(T597)=0,"",IF(T597&lt;12,"Under 12 months",IF(T597&lt;36,"12-35 months",IF(T597&lt;60,"36-59 months","≥60 months"))))</f>
        <v/>
      </c>
      <c r="V597" s="27"/>
      <c r="W597" s="30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9"/>
      <c r="AT597" s="30"/>
      <c r="AU597" s="30"/>
      <c r="AV597" s="30"/>
      <c r="AW597" s="27"/>
      <c r="AX597" s="27"/>
      <c r="AY597" s="29"/>
      <c r="AZ597" s="27"/>
      <c r="BA597" s="27"/>
      <c r="BB597" s="29"/>
      <c r="BC597" s="30"/>
      <c r="BD597" s="30"/>
      <c r="BE597" s="30"/>
      <c r="BF597" s="27"/>
      <c r="BG597" s="27"/>
      <c r="BH597" s="28" t="str">
        <f aca="false">IF(COUNT(BC597:BE597)=0,"",IF(MIN(BC597:BE597)&lt;=-2.5,"Yes","No"))</f>
        <v/>
      </c>
      <c r="BI597" s="27"/>
      <c r="BJ597" s="29"/>
      <c r="BK597" s="27"/>
      <c r="BL597" s="27"/>
      <c r="BM597" s="27"/>
      <c r="BN597" s="28" t="str">
        <f aca="false">IF(OR(AX597="Yes",BI597="Yes"),"Yes",IF(AND(AX597="No",BI597="No"),"No",IF(AND(AX597="",BI597=""),"","Unknown")))</f>
        <v/>
      </c>
      <c r="BO597" s="31" t="str">
        <f aca="false">IF(COUNT(AY597,BJ597)=0,"",MIN(AY597,BJ597))</f>
        <v/>
      </c>
      <c r="BP597" s="29"/>
      <c r="BQ597" s="29"/>
      <c r="BR597" s="29"/>
      <c r="BS597" s="28" t="str">
        <f aca="false">IF(AND(N(BP597)&gt;0,N(BR597)&gt;0),BR597-BP597,"")</f>
        <v/>
      </c>
      <c r="BT597" s="28" t="str">
        <f aca="false">IF(BS597="","",ROUND(BS597/365.25,2))</f>
        <v/>
      </c>
      <c r="BU597" s="28" t="str">
        <f aca="false">IF(BS597="","",IF(BS597&gt;=730.5,"Yes","No"))</f>
        <v/>
      </c>
      <c r="BV597" s="27"/>
      <c r="BW597" s="29"/>
      <c r="BX597" s="27"/>
      <c r="BY597" s="27"/>
      <c r="BZ597" s="28" t="str">
        <f aca="false">IF(N(E597)=0,"",IF(E597&lt;65,"Under 65","≥65"))</f>
        <v/>
      </c>
      <c r="CA597" s="28" t="str">
        <f aca="false">IF(OR(AC597="Yes",AC597="No"),AC597,"")</f>
        <v/>
      </c>
      <c r="CB597" s="28" t="str">
        <f aca="false">IF(OR(AD597="Yes",AD597="No"),AD597,"")</f>
        <v/>
      </c>
      <c r="CC597" s="28" t="str">
        <f aca="false">IF(F597="","",F597)</f>
        <v/>
      </c>
      <c r="CD597" s="27"/>
      <c r="CE597" s="27"/>
    </row>
    <row r="598" customFormat="false" ht="15" hidden="false" customHeight="false" outlineLevel="0" collapsed="false">
      <c r="A598" s="27"/>
      <c r="B598" s="27"/>
      <c r="C598" s="27"/>
      <c r="D598" s="27"/>
      <c r="E598" s="27"/>
      <c r="F598" s="27"/>
      <c r="G598" s="27"/>
      <c r="H598" s="27"/>
      <c r="I598" s="27"/>
      <c r="J598" s="28" t="str">
        <f aca="false">IF(AND(N(H598)&gt;0,N(I598)&gt;0),ROUND(I598/(H598/100)^2,1),"")</f>
        <v/>
      </c>
      <c r="K598" s="27"/>
      <c r="L598" s="27"/>
      <c r="M598" s="27"/>
      <c r="N598" s="27"/>
      <c r="O598" s="27"/>
      <c r="P598" s="27"/>
      <c r="Q598" s="27"/>
      <c r="R598" s="29"/>
      <c r="S598" s="29"/>
      <c r="T598" s="27"/>
      <c r="U598" s="28" t="str">
        <f aca="false">IF(N(T598)=0,"",IF(T598&lt;12,"Under 12 months",IF(T598&lt;36,"12-35 months",IF(T598&lt;60,"36-59 months","≥60 months"))))</f>
        <v/>
      </c>
      <c r="V598" s="27"/>
      <c r="W598" s="30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9"/>
      <c r="AT598" s="30"/>
      <c r="AU598" s="30"/>
      <c r="AV598" s="30"/>
      <c r="AW598" s="27"/>
      <c r="AX598" s="27"/>
      <c r="AY598" s="29"/>
      <c r="AZ598" s="27"/>
      <c r="BA598" s="27"/>
      <c r="BB598" s="29"/>
      <c r="BC598" s="30"/>
      <c r="BD598" s="30"/>
      <c r="BE598" s="30"/>
      <c r="BF598" s="27"/>
      <c r="BG598" s="27"/>
      <c r="BH598" s="28" t="str">
        <f aca="false">IF(COUNT(BC598:BE598)=0,"",IF(MIN(BC598:BE598)&lt;=-2.5,"Yes","No"))</f>
        <v/>
      </c>
      <c r="BI598" s="27"/>
      <c r="BJ598" s="29"/>
      <c r="BK598" s="27"/>
      <c r="BL598" s="27"/>
      <c r="BM598" s="27"/>
      <c r="BN598" s="28" t="str">
        <f aca="false">IF(OR(AX598="Yes",BI598="Yes"),"Yes",IF(AND(AX598="No",BI598="No"),"No",IF(AND(AX598="",BI598=""),"","Unknown")))</f>
        <v/>
      </c>
      <c r="BO598" s="31" t="str">
        <f aca="false">IF(COUNT(AY598,BJ598)=0,"",MIN(AY598,BJ598))</f>
        <v/>
      </c>
      <c r="BP598" s="29"/>
      <c r="BQ598" s="29"/>
      <c r="BR598" s="29"/>
      <c r="BS598" s="28" t="str">
        <f aca="false">IF(AND(N(BP598)&gt;0,N(BR598)&gt;0),BR598-BP598,"")</f>
        <v/>
      </c>
      <c r="BT598" s="28" t="str">
        <f aca="false">IF(BS598="","",ROUND(BS598/365.25,2))</f>
        <v/>
      </c>
      <c r="BU598" s="28" t="str">
        <f aca="false">IF(BS598="","",IF(BS598&gt;=730.5,"Yes","No"))</f>
        <v/>
      </c>
      <c r="BV598" s="27"/>
      <c r="BW598" s="29"/>
      <c r="BX598" s="27"/>
      <c r="BY598" s="27"/>
      <c r="BZ598" s="28" t="str">
        <f aca="false">IF(N(E598)=0,"",IF(E598&lt;65,"Under 65","≥65"))</f>
        <v/>
      </c>
      <c r="CA598" s="28" t="str">
        <f aca="false">IF(OR(AC598="Yes",AC598="No"),AC598,"")</f>
        <v/>
      </c>
      <c r="CB598" s="28" t="str">
        <f aca="false">IF(OR(AD598="Yes",AD598="No"),AD598,"")</f>
        <v/>
      </c>
      <c r="CC598" s="28" t="str">
        <f aca="false">IF(F598="","",F598)</f>
        <v/>
      </c>
      <c r="CD598" s="27"/>
      <c r="CE598" s="27"/>
    </row>
    <row r="599" customFormat="false" ht="15" hidden="false" customHeight="false" outlineLevel="0" collapsed="false">
      <c r="A599" s="27"/>
      <c r="B599" s="27"/>
      <c r="C599" s="27"/>
      <c r="D599" s="27"/>
      <c r="E599" s="27"/>
      <c r="F599" s="27"/>
      <c r="G599" s="27"/>
      <c r="H599" s="27"/>
      <c r="I599" s="27"/>
      <c r="J599" s="28" t="str">
        <f aca="false">IF(AND(N(H599)&gt;0,N(I599)&gt;0),ROUND(I599/(H599/100)^2,1),"")</f>
        <v/>
      </c>
      <c r="K599" s="27"/>
      <c r="L599" s="27"/>
      <c r="M599" s="27"/>
      <c r="N599" s="27"/>
      <c r="O599" s="27"/>
      <c r="P599" s="27"/>
      <c r="Q599" s="27"/>
      <c r="R599" s="29"/>
      <c r="S599" s="29"/>
      <c r="T599" s="27"/>
      <c r="U599" s="28" t="str">
        <f aca="false">IF(N(T599)=0,"",IF(T599&lt;12,"Under 12 months",IF(T599&lt;36,"12-35 months",IF(T599&lt;60,"36-59 months","≥60 months"))))</f>
        <v/>
      </c>
      <c r="V599" s="27"/>
      <c r="W599" s="30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9"/>
      <c r="AT599" s="30"/>
      <c r="AU599" s="30"/>
      <c r="AV599" s="30"/>
      <c r="AW599" s="27"/>
      <c r="AX599" s="27"/>
      <c r="AY599" s="29"/>
      <c r="AZ599" s="27"/>
      <c r="BA599" s="27"/>
      <c r="BB599" s="29"/>
      <c r="BC599" s="30"/>
      <c r="BD599" s="30"/>
      <c r="BE599" s="30"/>
      <c r="BF599" s="27"/>
      <c r="BG599" s="27"/>
      <c r="BH599" s="28" t="str">
        <f aca="false">IF(COUNT(BC599:BE599)=0,"",IF(MIN(BC599:BE599)&lt;=-2.5,"Yes","No"))</f>
        <v/>
      </c>
      <c r="BI599" s="27"/>
      <c r="BJ599" s="29"/>
      <c r="BK599" s="27"/>
      <c r="BL599" s="27"/>
      <c r="BM599" s="27"/>
      <c r="BN599" s="28" t="str">
        <f aca="false">IF(OR(AX599="Yes",BI599="Yes"),"Yes",IF(AND(AX599="No",BI599="No"),"No",IF(AND(AX599="",BI599=""),"","Unknown")))</f>
        <v/>
      </c>
      <c r="BO599" s="31" t="str">
        <f aca="false">IF(COUNT(AY599,BJ599)=0,"",MIN(AY599,BJ599))</f>
        <v/>
      </c>
      <c r="BP599" s="29"/>
      <c r="BQ599" s="29"/>
      <c r="BR599" s="29"/>
      <c r="BS599" s="28" t="str">
        <f aca="false">IF(AND(N(BP599)&gt;0,N(BR599)&gt;0),BR599-BP599,"")</f>
        <v/>
      </c>
      <c r="BT599" s="28" t="str">
        <f aca="false">IF(BS599="","",ROUND(BS599/365.25,2))</f>
        <v/>
      </c>
      <c r="BU599" s="28" t="str">
        <f aca="false">IF(BS599="","",IF(BS599&gt;=730.5,"Yes","No"))</f>
        <v/>
      </c>
      <c r="BV599" s="27"/>
      <c r="BW599" s="29"/>
      <c r="BX599" s="27"/>
      <c r="BY599" s="27"/>
      <c r="BZ599" s="28" t="str">
        <f aca="false">IF(N(E599)=0,"",IF(E599&lt;65,"Under 65","≥65"))</f>
        <v/>
      </c>
      <c r="CA599" s="28" t="str">
        <f aca="false">IF(OR(AC599="Yes",AC599="No"),AC599,"")</f>
        <v/>
      </c>
      <c r="CB599" s="28" t="str">
        <f aca="false">IF(OR(AD599="Yes",AD599="No"),AD599,"")</f>
        <v/>
      </c>
      <c r="CC599" s="28" t="str">
        <f aca="false">IF(F599="","",F599)</f>
        <v/>
      </c>
      <c r="CD599" s="27"/>
      <c r="CE599" s="27"/>
    </row>
    <row r="600" customFormat="false" ht="15" hidden="false" customHeight="false" outlineLevel="0" collapsed="false">
      <c r="A600" s="27"/>
      <c r="B600" s="27"/>
      <c r="C600" s="27"/>
      <c r="D600" s="27"/>
      <c r="E600" s="27"/>
      <c r="F600" s="27"/>
      <c r="G600" s="27"/>
      <c r="H600" s="27"/>
      <c r="I600" s="27"/>
      <c r="J600" s="28" t="str">
        <f aca="false">IF(AND(N(H600)&gt;0,N(I600)&gt;0),ROUND(I600/(H600/100)^2,1),"")</f>
        <v/>
      </c>
      <c r="K600" s="27"/>
      <c r="L600" s="27"/>
      <c r="M600" s="27"/>
      <c r="N600" s="27"/>
      <c r="O600" s="27"/>
      <c r="P600" s="27"/>
      <c r="Q600" s="27"/>
      <c r="R600" s="29"/>
      <c r="S600" s="29"/>
      <c r="T600" s="27"/>
      <c r="U600" s="28" t="str">
        <f aca="false">IF(N(T600)=0,"",IF(T600&lt;12,"Under 12 months",IF(T600&lt;36,"12-35 months",IF(T600&lt;60,"36-59 months","≥60 months"))))</f>
        <v/>
      </c>
      <c r="V600" s="27"/>
      <c r="W600" s="30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9"/>
      <c r="AT600" s="30"/>
      <c r="AU600" s="30"/>
      <c r="AV600" s="30"/>
      <c r="AW600" s="27"/>
      <c r="AX600" s="27"/>
      <c r="AY600" s="29"/>
      <c r="AZ600" s="27"/>
      <c r="BA600" s="27"/>
      <c r="BB600" s="29"/>
      <c r="BC600" s="30"/>
      <c r="BD600" s="30"/>
      <c r="BE600" s="30"/>
      <c r="BF600" s="27"/>
      <c r="BG600" s="27"/>
      <c r="BH600" s="28" t="str">
        <f aca="false">IF(COUNT(BC600:BE600)=0,"",IF(MIN(BC600:BE600)&lt;=-2.5,"Yes","No"))</f>
        <v/>
      </c>
      <c r="BI600" s="27"/>
      <c r="BJ600" s="29"/>
      <c r="BK600" s="27"/>
      <c r="BL600" s="27"/>
      <c r="BM600" s="27"/>
      <c r="BN600" s="28" t="str">
        <f aca="false">IF(OR(AX600="Yes",BI600="Yes"),"Yes",IF(AND(AX600="No",BI600="No"),"No",IF(AND(AX600="",BI600=""),"","Unknown")))</f>
        <v/>
      </c>
      <c r="BO600" s="31" t="str">
        <f aca="false">IF(COUNT(AY600,BJ600)=0,"",MIN(AY600,BJ600))</f>
        <v/>
      </c>
      <c r="BP600" s="29"/>
      <c r="BQ600" s="29"/>
      <c r="BR600" s="29"/>
      <c r="BS600" s="28" t="str">
        <f aca="false">IF(AND(N(BP600)&gt;0,N(BR600)&gt;0),BR600-BP600,"")</f>
        <v/>
      </c>
      <c r="BT600" s="28" t="str">
        <f aca="false">IF(BS600="","",ROUND(BS600/365.25,2))</f>
        <v/>
      </c>
      <c r="BU600" s="28" t="str">
        <f aca="false">IF(BS600="","",IF(BS600&gt;=730.5,"Yes","No"))</f>
        <v/>
      </c>
      <c r="BV600" s="27"/>
      <c r="BW600" s="29"/>
      <c r="BX600" s="27"/>
      <c r="BY600" s="27"/>
      <c r="BZ600" s="28" t="str">
        <f aca="false">IF(N(E600)=0,"",IF(E600&lt;65,"Under 65","≥65"))</f>
        <v/>
      </c>
      <c r="CA600" s="28" t="str">
        <f aca="false">IF(OR(AC600="Yes",AC600="No"),AC600,"")</f>
        <v/>
      </c>
      <c r="CB600" s="28" t="str">
        <f aca="false">IF(OR(AD600="Yes",AD600="No"),AD600,"")</f>
        <v/>
      </c>
      <c r="CC600" s="28" t="str">
        <f aca="false">IF(F600="","",F600)</f>
        <v/>
      </c>
      <c r="CD600" s="27"/>
      <c r="CE600" s="27"/>
    </row>
    <row r="601" customFormat="false" ht="15" hidden="false" customHeight="false" outlineLevel="0" collapsed="false">
      <c r="A601" s="27"/>
      <c r="B601" s="27"/>
      <c r="C601" s="27"/>
      <c r="D601" s="27"/>
      <c r="E601" s="27"/>
      <c r="F601" s="27"/>
      <c r="G601" s="27"/>
      <c r="H601" s="27"/>
      <c r="I601" s="27"/>
      <c r="J601" s="28" t="str">
        <f aca="false">IF(AND(N(H601)&gt;0,N(I601)&gt;0),ROUND(I601/(H601/100)^2,1),"")</f>
        <v/>
      </c>
      <c r="K601" s="27"/>
      <c r="L601" s="27"/>
      <c r="M601" s="27"/>
      <c r="N601" s="27"/>
      <c r="O601" s="27"/>
      <c r="P601" s="27"/>
      <c r="Q601" s="27"/>
      <c r="R601" s="29"/>
      <c r="S601" s="29"/>
      <c r="T601" s="27"/>
      <c r="U601" s="28" t="str">
        <f aca="false">IF(N(T601)=0,"",IF(T601&lt;12,"Under 12 months",IF(T601&lt;36,"12-35 months",IF(T601&lt;60,"36-59 months","≥60 months"))))</f>
        <v/>
      </c>
      <c r="V601" s="27"/>
      <c r="W601" s="30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9"/>
      <c r="AT601" s="30"/>
      <c r="AU601" s="30"/>
      <c r="AV601" s="30"/>
      <c r="AW601" s="27"/>
      <c r="AX601" s="27"/>
      <c r="AY601" s="29"/>
      <c r="AZ601" s="27"/>
      <c r="BA601" s="27"/>
      <c r="BB601" s="29"/>
      <c r="BC601" s="30"/>
      <c r="BD601" s="30"/>
      <c r="BE601" s="30"/>
      <c r="BF601" s="27"/>
      <c r="BG601" s="27"/>
      <c r="BH601" s="28" t="str">
        <f aca="false">IF(COUNT(BC601:BE601)=0,"",IF(MIN(BC601:BE601)&lt;=-2.5,"Yes","No"))</f>
        <v/>
      </c>
      <c r="BI601" s="27"/>
      <c r="BJ601" s="29"/>
      <c r="BK601" s="27"/>
      <c r="BL601" s="27"/>
      <c r="BM601" s="27"/>
      <c r="BN601" s="28" t="str">
        <f aca="false">IF(OR(AX601="Yes",BI601="Yes"),"Yes",IF(AND(AX601="No",BI601="No"),"No",IF(AND(AX601="",BI601=""),"","Unknown")))</f>
        <v/>
      </c>
      <c r="BO601" s="31" t="str">
        <f aca="false">IF(COUNT(AY601,BJ601)=0,"",MIN(AY601,BJ601))</f>
        <v/>
      </c>
      <c r="BP601" s="29"/>
      <c r="BQ601" s="29"/>
      <c r="BR601" s="29"/>
      <c r="BS601" s="28" t="str">
        <f aca="false">IF(AND(N(BP601)&gt;0,N(BR601)&gt;0),BR601-BP601,"")</f>
        <v/>
      </c>
      <c r="BT601" s="28" t="str">
        <f aca="false">IF(BS601="","",ROUND(BS601/365.25,2))</f>
        <v/>
      </c>
      <c r="BU601" s="28" t="str">
        <f aca="false">IF(BS601="","",IF(BS601&gt;=730.5,"Yes","No"))</f>
        <v/>
      </c>
      <c r="BV601" s="27"/>
      <c r="BW601" s="29"/>
      <c r="BX601" s="27"/>
      <c r="BY601" s="27"/>
      <c r="BZ601" s="28" t="str">
        <f aca="false">IF(N(E601)=0,"",IF(E601&lt;65,"Under 65","≥65"))</f>
        <v/>
      </c>
      <c r="CA601" s="28" t="str">
        <f aca="false">IF(OR(AC601="Yes",AC601="No"),AC601,"")</f>
        <v/>
      </c>
      <c r="CB601" s="28" t="str">
        <f aca="false">IF(OR(AD601="Yes",AD601="No"),AD601,"")</f>
        <v/>
      </c>
      <c r="CC601" s="28" t="str">
        <f aca="false">IF(F601="","",F601)</f>
        <v/>
      </c>
      <c r="CD601" s="27"/>
      <c r="CE601" s="27"/>
    </row>
    <row r="602" customFormat="false" ht="15" hidden="false" customHeight="false" outlineLevel="0" collapsed="false">
      <c r="A602" s="27"/>
      <c r="B602" s="27"/>
      <c r="C602" s="27"/>
      <c r="D602" s="27"/>
      <c r="E602" s="27"/>
      <c r="F602" s="27"/>
      <c r="G602" s="27"/>
      <c r="H602" s="27"/>
      <c r="I602" s="27"/>
      <c r="J602" s="28" t="str">
        <f aca="false">IF(AND(N(H602)&gt;0,N(I602)&gt;0),ROUND(I602/(H602/100)^2,1),"")</f>
        <v/>
      </c>
      <c r="K602" s="27"/>
      <c r="L602" s="27"/>
      <c r="M602" s="27"/>
      <c r="N602" s="27"/>
      <c r="O602" s="27"/>
      <c r="P602" s="27"/>
      <c r="Q602" s="27"/>
      <c r="R602" s="29"/>
      <c r="S602" s="29"/>
      <c r="T602" s="27"/>
      <c r="U602" s="28" t="str">
        <f aca="false">IF(N(T602)=0,"",IF(T602&lt;12,"Under 12 months",IF(T602&lt;36,"12-35 months",IF(T602&lt;60,"36-59 months","≥60 months"))))</f>
        <v/>
      </c>
      <c r="V602" s="27"/>
      <c r="W602" s="30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9"/>
      <c r="AT602" s="30"/>
      <c r="AU602" s="30"/>
      <c r="AV602" s="30"/>
      <c r="AW602" s="27"/>
      <c r="AX602" s="27"/>
      <c r="AY602" s="29"/>
      <c r="AZ602" s="27"/>
      <c r="BA602" s="27"/>
      <c r="BB602" s="29"/>
      <c r="BC602" s="30"/>
      <c r="BD602" s="30"/>
      <c r="BE602" s="30"/>
      <c r="BF602" s="27"/>
      <c r="BG602" s="27"/>
      <c r="BH602" s="28" t="str">
        <f aca="false">IF(COUNT(BC602:BE602)=0,"",IF(MIN(BC602:BE602)&lt;=-2.5,"Yes","No"))</f>
        <v/>
      </c>
      <c r="BI602" s="27"/>
      <c r="BJ602" s="29"/>
      <c r="BK602" s="27"/>
      <c r="BL602" s="27"/>
      <c r="BM602" s="27"/>
      <c r="BN602" s="28" t="str">
        <f aca="false">IF(OR(AX602="Yes",BI602="Yes"),"Yes",IF(AND(AX602="No",BI602="No"),"No",IF(AND(AX602="",BI602=""),"","Unknown")))</f>
        <v/>
      </c>
      <c r="BO602" s="31" t="str">
        <f aca="false">IF(COUNT(AY602,BJ602)=0,"",MIN(AY602,BJ602))</f>
        <v/>
      </c>
      <c r="BP602" s="29"/>
      <c r="BQ602" s="29"/>
      <c r="BR602" s="29"/>
      <c r="BS602" s="28" t="str">
        <f aca="false">IF(AND(N(BP602)&gt;0,N(BR602)&gt;0),BR602-BP602,"")</f>
        <v/>
      </c>
      <c r="BT602" s="28" t="str">
        <f aca="false">IF(BS602="","",ROUND(BS602/365.25,2))</f>
        <v/>
      </c>
      <c r="BU602" s="28" t="str">
        <f aca="false">IF(BS602="","",IF(BS602&gt;=730.5,"Yes","No"))</f>
        <v/>
      </c>
      <c r="BV602" s="27"/>
      <c r="BW602" s="29"/>
      <c r="BX602" s="27"/>
      <c r="BY602" s="27"/>
      <c r="BZ602" s="28" t="str">
        <f aca="false">IF(N(E602)=0,"",IF(E602&lt;65,"Under 65","≥65"))</f>
        <v/>
      </c>
      <c r="CA602" s="28" t="str">
        <f aca="false">IF(OR(AC602="Yes",AC602="No"),AC602,"")</f>
        <v/>
      </c>
      <c r="CB602" s="28" t="str">
        <f aca="false">IF(OR(AD602="Yes",AD602="No"),AD602,"")</f>
        <v/>
      </c>
      <c r="CC602" s="28" t="str">
        <f aca="false">IF(F602="","",F602)</f>
        <v/>
      </c>
      <c r="CD602" s="27"/>
      <c r="CE602" s="27"/>
    </row>
    <row r="603" customFormat="false" ht="15" hidden="false" customHeight="false" outlineLevel="0" collapsed="false">
      <c r="A603" s="27"/>
      <c r="B603" s="27"/>
      <c r="C603" s="27"/>
      <c r="D603" s="27"/>
      <c r="E603" s="27"/>
      <c r="F603" s="27"/>
      <c r="G603" s="27"/>
      <c r="H603" s="27"/>
      <c r="I603" s="27"/>
      <c r="J603" s="28" t="str">
        <f aca="false">IF(AND(N(H603)&gt;0,N(I603)&gt;0),ROUND(I603/(H603/100)^2,1),"")</f>
        <v/>
      </c>
      <c r="K603" s="27"/>
      <c r="L603" s="27"/>
      <c r="M603" s="27"/>
      <c r="N603" s="27"/>
      <c r="O603" s="27"/>
      <c r="P603" s="27"/>
      <c r="Q603" s="27"/>
      <c r="R603" s="29"/>
      <c r="S603" s="29"/>
      <c r="T603" s="27"/>
      <c r="U603" s="28" t="str">
        <f aca="false">IF(N(T603)=0,"",IF(T603&lt;12,"Under 12 months",IF(T603&lt;36,"12-35 months",IF(T603&lt;60,"36-59 months","≥60 months"))))</f>
        <v/>
      </c>
      <c r="V603" s="27"/>
      <c r="W603" s="30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9"/>
      <c r="AT603" s="30"/>
      <c r="AU603" s="30"/>
      <c r="AV603" s="30"/>
      <c r="AW603" s="27"/>
      <c r="AX603" s="27"/>
      <c r="AY603" s="29"/>
      <c r="AZ603" s="27"/>
      <c r="BA603" s="27"/>
      <c r="BB603" s="29"/>
      <c r="BC603" s="30"/>
      <c r="BD603" s="30"/>
      <c r="BE603" s="30"/>
      <c r="BF603" s="27"/>
      <c r="BG603" s="27"/>
      <c r="BH603" s="28" t="str">
        <f aca="false">IF(COUNT(BC603:BE603)=0,"",IF(MIN(BC603:BE603)&lt;=-2.5,"Yes","No"))</f>
        <v/>
      </c>
      <c r="BI603" s="27"/>
      <c r="BJ603" s="29"/>
      <c r="BK603" s="27"/>
      <c r="BL603" s="27"/>
      <c r="BM603" s="27"/>
      <c r="BN603" s="28" t="str">
        <f aca="false">IF(OR(AX603="Yes",BI603="Yes"),"Yes",IF(AND(AX603="No",BI603="No"),"No",IF(AND(AX603="",BI603=""),"","Unknown")))</f>
        <v/>
      </c>
      <c r="BO603" s="31" t="str">
        <f aca="false">IF(COUNT(AY603,BJ603)=0,"",MIN(AY603,BJ603))</f>
        <v/>
      </c>
      <c r="BP603" s="29"/>
      <c r="BQ603" s="29"/>
      <c r="BR603" s="29"/>
      <c r="BS603" s="28" t="str">
        <f aca="false">IF(AND(N(BP603)&gt;0,N(BR603)&gt;0),BR603-BP603,"")</f>
        <v/>
      </c>
      <c r="BT603" s="28" t="str">
        <f aca="false">IF(BS603="","",ROUND(BS603/365.25,2))</f>
        <v/>
      </c>
      <c r="BU603" s="28" t="str">
        <f aca="false">IF(BS603="","",IF(BS603&gt;=730.5,"Yes","No"))</f>
        <v/>
      </c>
      <c r="BV603" s="27"/>
      <c r="BW603" s="29"/>
      <c r="BX603" s="27"/>
      <c r="BY603" s="27"/>
      <c r="BZ603" s="28" t="str">
        <f aca="false">IF(N(E603)=0,"",IF(E603&lt;65,"Under 65","≥65"))</f>
        <v/>
      </c>
      <c r="CA603" s="28" t="str">
        <f aca="false">IF(OR(AC603="Yes",AC603="No"),AC603,"")</f>
        <v/>
      </c>
      <c r="CB603" s="28" t="str">
        <f aca="false">IF(OR(AD603="Yes",AD603="No"),AD603,"")</f>
        <v/>
      </c>
      <c r="CC603" s="28" t="str">
        <f aca="false">IF(F603="","",F603)</f>
        <v/>
      </c>
      <c r="CD603" s="27"/>
      <c r="CE603" s="27"/>
    </row>
    <row r="604" customFormat="false" ht="15" hidden="false" customHeight="false" outlineLevel="0" collapsed="false">
      <c r="A604" s="27"/>
      <c r="B604" s="27"/>
      <c r="C604" s="27"/>
      <c r="D604" s="27"/>
      <c r="E604" s="27"/>
      <c r="F604" s="27"/>
      <c r="G604" s="27"/>
      <c r="H604" s="27"/>
      <c r="I604" s="27"/>
      <c r="J604" s="28" t="str">
        <f aca="false">IF(AND(N(H604)&gt;0,N(I604)&gt;0),ROUND(I604/(H604/100)^2,1),"")</f>
        <v/>
      </c>
      <c r="K604" s="27"/>
      <c r="L604" s="27"/>
      <c r="M604" s="27"/>
      <c r="N604" s="27"/>
      <c r="O604" s="27"/>
      <c r="P604" s="27"/>
      <c r="Q604" s="27"/>
      <c r="R604" s="29"/>
      <c r="S604" s="29"/>
      <c r="T604" s="27"/>
      <c r="U604" s="28" t="str">
        <f aca="false">IF(N(T604)=0,"",IF(T604&lt;12,"Under 12 months",IF(T604&lt;36,"12-35 months",IF(T604&lt;60,"36-59 months","≥60 months"))))</f>
        <v/>
      </c>
      <c r="V604" s="27"/>
      <c r="W604" s="30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9"/>
      <c r="AT604" s="30"/>
      <c r="AU604" s="30"/>
      <c r="AV604" s="30"/>
      <c r="AW604" s="27"/>
      <c r="AX604" s="27"/>
      <c r="AY604" s="29"/>
      <c r="AZ604" s="27"/>
      <c r="BA604" s="27"/>
      <c r="BB604" s="29"/>
      <c r="BC604" s="30"/>
      <c r="BD604" s="30"/>
      <c r="BE604" s="30"/>
      <c r="BF604" s="27"/>
      <c r="BG604" s="27"/>
      <c r="BH604" s="28" t="str">
        <f aca="false">IF(COUNT(BC604:BE604)=0,"",IF(MIN(BC604:BE604)&lt;=-2.5,"Yes","No"))</f>
        <v/>
      </c>
      <c r="BI604" s="27"/>
      <c r="BJ604" s="29"/>
      <c r="BK604" s="27"/>
      <c r="BL604" s="27"/>
      <c r="BM604" s="27"/>
      <c r="BN604" s="28" t="str">
        <f aca="false">IF(OR(AX604="Yes",BI604="Yes"),"Yes",IF(AND(AX604="No",BI604="No"),"No",IF(AND(AX604="",BI604=""),"","Unknown")))</f>
        <v/>
      </c>
      <c r="BO604" s="31" t="str">
        <f aca="false">IF(COUNT(AY604,BJ604)=0,"",MIN(AY604,BJ604))</f>
        <v/>
      </c>
      <c r="BP604" s="29"/>
      <c r="BQ604" s="29"/>
      <c r="BR604" s="29"/>
      <c r="BS604" s="28" t="str">
        <f aca="false">IF(AND(N(BP604)&gt;0,N(BR604)&gt;0),BR604-BP604,"")</f>
        <v/>
      </c>
      <c r="BT604" s="28" t="str">
        <f aca="false">IF(BS604="","",ROUND(BS604/365.25,2))</f>
        <v/>
      </c>
      <c r="BU604" s="28" t="str">
        <f aca="false">IF(BS604="","",IF(BS604&gt;=730.5,"Yes","No"))</f>
        <v/>
      </c>
      <c r="BV604" s="27"/>
      <c r="BW604" s="29"/>
      <c r="BX604" s="27"/>
      <c r="BY604" s="27"/>
      <c r="BZ604" s="28" t="str">
        <f aca="false">IF(N(E604)=0,"",IF(E604&lt;65,"Under 65","≥65"))</f>
        <v/>
      </c>
      <c r="CA604" s="28" t="str">
        <f aca="false">IF(OR(AC604="Yes",AC604="No"),AC604,"")</f>
        <v/>
      </c>
      <c r="CB604" s="28" t="str">
        <f aca="false">IF(OR(AD604="Yes",AD604="No"),AD604,"")</f>
        <v/>
      </c>
      <c r="CC604" s="28" t="str">
        <f aca="false">IF(F604="","",F604)</f>
        <v/>
      </c>
      <c r="CD604" s="27"/>
      <c r="CE604" s="27"/>
    </row>
    <row r="605" customFormat="false" ht="15" hidden="false" customHeight="false" outlineLevel="0" collapsed="false">
      <c r="A605" s="27"/>
      <c r="B605" s="27"/>
      <c r="C605" s="27"/>
      <c r="D605" s="27"/>
      <c r="E605" s="27"/>
      <c r="F605" s="27"/>
      <c r="G605" s="27"/>
      <c r="H605" s="27"/>
      <c r="I605" s="27"/>
      <c r="J605" s="28" t="str">
        <f aca="false">IF(AND(N(H605)&gt;0,N(I605)&gt;0),ROUND(I605/(H605/100)^2,1),"")</f>
        <v/>
      </c>
      <c r="K605" s="27"/>
      <c r="L605" s="27"/>
      <c r="M605" s="27"/>
      <c r="N605" s="27"/>
      <c r="O605" s="27"/>
      <c r="P605" s="27"/>
      <c r="Q605" s="27"/>
      <c r="R605" s="29"/>
      <c r="S605" s="29"/>
      <c r="T605" s="27"/>
      <c r="U605" s="28" t="str">
        <f aca="false">IF(N(T605)=0,"",IF(T605&lt;12,"Under 12 months",IF(T605&lt;36,"12-35 months",IF(T605&lt;60,"36-59 months","≥60 months"))))</f>
        <v/>
      </c>
      <c r="V605" s="27"/>
      <c r="W605" s="30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9"/>
      <c r="AT605" s="30"/>
      <c r="AU605" s="30"/>
      <c r="AV605" s="30"/>
      <c r="AW605" s="27"/>
      <c r="AX605" s="27"/>
      <c r="AY605" s="29"/>
      <c r="AZ605" s="27"/>
      <c r="BA605" s="27"/>
      <c r="BB605" s="29"/>
      <c r="BC605" s="30"/>
      <c r="BD605" s="30"/>
      <c r="BE605" s="30"/>
      <c r="BF605" s="27"/>
      <c r="BG605" s="27"/>
      <c r="BH605" s="28" t="str">
        <f aca="false">IF(COUNT(BC605:BE605)=0,"",IF(MIN(BC605:BE605)&lt;=-2.5,"Yes","No"))</f>
        <v/>
      </c>
      <c r="BI605" s="27"/>
      <c r="BJ605" s="29"/>
      <c r="BK605" s="27"/>
      <c r="BL605" s="27"/>
      <c r="BM605" s="27"/>
      <c r="BN605" s="28" t="str">
        <f aca="false">IF(OR(AX605="Yes",BI605="Yes"),"Yes",IF(AND(AX605="No",BI605="No"),"No",IF(AND(AX605="",BI605=""),"","Unknown")))</f>
        <v/>
      </c>
      <c r="BO605" s="31" t="str">
        <f aca="false">IF(COUNT(AY605,BJ605)=0,"",MIN(AY605,BJ605))</f>
        <v/>
      </c>
      <c r="BP605" s="29"/>
      <c r="BQ605" s="29"/>
      <c r="BR605" s="29"/>
      <c r="BS605" s="28" t="str">
        <f aca="false">IF(AND(N(BP605)&gt;0,N(BR605)&gt;0),BR605-BP605,"")</f>
        <v/>
      </c>
      <c r="BT605" s="28" t="str">
        <f aca="false">IF(BS605="","",ROUND(BS605/365.25,2))</f>
        <v/>
      </c>
      <c r="BU605" s="28" t="str">
        <f aca="false">IF(BS605="","",IF(BS605&gt;=730.5,"Yes","No"))</f>
        <v/>
      </c>
      <c r="BV605" s="27"/>
      <c r="BW605" s="29"/>
      <c r="BX605" s="27"/>
      <c r="BY605" s="27"/>
      <c r="BZ605" s="28" t="str">
        <f aca="false">IF(N(E605)=0,"",IF(E605&lt;65,"Under 65","≥65"))</f>
        <v/>
      </c>
      <c r="CA605" s="28" t="str">
        <f aca="false">IF(OR(AC605="Yes",AC605="No"),AC605,"")</f>
        <v/>
      </c>
      <c r="CB605" s="28" t="str">
        <f aca="false">IF(OR(AD605="Yes",AD605="No"),AD605,"")</f>
        <v/>
      </c>
      <c r="CC605" s="28" t="str">
        <f aca="false">IF(F605="","",F605)</f>
        <v/>
      </c>
      <c r="CD605" s="27"/>
      <c r="CE605" s="27"/>
    </row>
    <row r="606" customFormat="false" ht="15" hidden="false" customHeight="false" outlineLevel="0" collapsed="false">
      <c r="A606" s="27"/>
      <c r="B606" s="27"/>
      <c r="C606" s="27"/>
      <c r="D606" s="27"/>
      <c r="E606" s="27"/>
      <c r="F606" s="27"/>
      <c r="G606" s="27"/>
      <c r="H606" s="27"/>
      <c r="I606" s="27"/>
      <c r="J606" s="28" t="str">
        <f aca="false">IF(AND(N(H606)&gt;0,N(I606)&gt;0),ROUND(I606/(H606/100)^2,1),"")</f>
        <v/>
      </c>
      <c r="K606" s="27"/>
      <c r="L606" s="27"/>
      <c r="M606" s="27"/>
      <c r="N606" s="27"/>
      <c r="O606" s="27"/>
      <c r="P606" s="27"/>
      <c r="Q606" s="27"/>
      <c r="R606" s="29"/>
      <c r="S606" s="29"/>
      <c r="T606" s="27"/>
      <c r="U606" s="28" t="str">
        <f aca="false">IF(N(T606)=0,"",IF(T606&lt;12,"Under 12 months",IF(T606&lt;36,"12-35 months",IF(T606&lt;60,"36-59 months","≥60 months"))))</f>
        <v/>
      </c>
      <c r="V606" s="27"/>
      <c r="W606" s="30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9"/>
      <c r="AT606" s="30"/>
      <c r="AU606" s="30"/>
      <c r="AV606" s="30"/>
      <c r="AW606" s="27"/>
      <c r="AX606" s="27"/>
      <c r="AY606" s="29"/>
      <c r="AZ606" s="27"/>
      <c r="BA606" s="27"/>
      <c r="BB606" s="29"/>
      <c r="BC606" s="30"/>
      <c r="BD606" s="30"/>
      <c r="BE606" s="30"/>
      <c r="BF606" s="27"/>
      <c r="BG606" s="27"/>
      <c r="BH606" s="28" t="str">
        <f aca="false">IF(COUNT(BC606:BE606)=0,"",IF(MIN(BC606:BE606)&lt;=-2.5,"Yes","No"))</f>
        <v/>
      </c>
      <c r="BI606" s="27"/>
      <c r="BJ606" s="29"/>
      <c r="BK606" s="27"/>
      <c r="BL606" s="27"/>
      <c r="BM606" s="27"/>
      <c r="BN606" s="28" t="str">
        <f aca="false">IF(OR(AX606="Yes",BI606="Yes"),"Yes",IF(AND(AX606="No",BI606="No"),"No",IF(AND(AX606="",BI606=""),"","Unknown")))</f>
        <v/>
      </c>
      <c r="BO606" s="31" t="str">
        <f aca="false">IF(COUNT(AY606,BJ606)=0,"",MIN(AY606,BJ606))</f>
        <v/>
      </c>
      <c r="BP606" s="29"/>
      <c r="BQ606" s="29"/>
      <c r="BR606" s="29"/>
      <c r="BS606" s="28" t="str">
        <f aca="false">IF(AND(N(BP606)&gt;0,N(BR606)&gt;0),BR606-BP606,"")</f>
        <v/>
      </c>
      <c r="BT606" s="28" t="str">
        <f aca="false">IF(BS606="","",ROUND(BS606/365.25,2))</f>
        <v/>
      </c>
      <c r="BU606" s="28" t="str">
        <f aca="false">IF(BS606="","",IF(BS606&gt;=730.5,"Yes","No"))</f>
        <v/>
      </c>
      <c r="BV606" s="27"/>
      <c r="BW606" s="29"/>
      <c r="BX606" s="27"/>
      <c r="BY606" s="27"/>
      <c r="BZ606" s="28" t="str">
        <f aca="false">IF(N(E606)=0,"",IF(E606&lt;65,"Under 65","≥65"))</f>
        <v/>
      </c>
      <c r="CA606" s="28" t="str">
        <f aca="false">IF(OR(AC606="Yes",AC606="No"),AC606,"")</f>
        <v/>
      </c>
      <c r="CB606" s="28" t="str">
        <f aca="false">IF(OR(AD606="Yes",AD606="No"),AD606,"")</f>
        <v/>
      </c>
      <c r="CC606" s="28" t="str">
        <f aca="false">IF(F606="","",F606)</f>
        <v/>
      </c>
      <c r="CD606" s="27"/>
      <c r="CE606" s="27"/>
    </row>
    <row r="607" customFormat="false" ht="15" hidden="false" customHeight="false" outlineLevel="0" collapsed="false">
      <c r="A607" s="27"/>
      <c r="B607" s="27"/>
      <c r="C607" s="27"/>
      <c r="D607" s="27"/>
      <c r="E607" s="27"/>
      <c r="F607" s="27"/>
      <c r="G607" s="27"/>
      <c r="H607" s="27"/>
      <c r="I607" s="27"/>
      <c r="J607" s="28" t="str">
        <f aca="false">IF(AND(N(H607)&gt;0,N(I607)&gt;0),ROUND(I607/(H607/100)^2,1),"")</f>
        <v/>
      </c>
      <c r="K607" s="27"/>
      <c r="L607" s="27"/>
      <c r="M607" s="27"/>
      <c r="N607" s="27"/>
      <c r="O607" s="27"/>
      <c r="P607" s="27"/>
      <c r="Q607" s="27"/>
      <c r="R607" s="29"/>
      <c r="S607" s="29"/>
      <c r="T607" s="27"/>
      <c r="U607" s="28" t="str">
        <f aca="false">IF(N(T607)=0,"",IF(T607&lt;12,"Under 12 months",IF(T607&lt;36,"12-35 months",IF(T607&lt;60,"36-59 months","≥60 months"))))</f>
        <v/>
      </c>
      <c r="V607" s="27"/>
      <c r="W607" s="30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9"/>
      <c r="AT607" s="30"/>
      <c r="AU607" s="30"/>
      <c r="AV607" s="30"/>
      <c r="AW607" s="27"/>
      <c r="AX607" s="27"/>
      <c r="AY607" s="29"/>
      <c r="AZ607" s="27"/>
      <c r="BA607" s="27"/>
      <c r="BB607" s="29"/>
      <c r="BC607" s="30"/>
      <c r="BD607" s="30"/>
      <c r="BE607" s="30"/>
      <c r="BF607" s="27"/>
      <c r="BG607" s="27"/>
      <c r="BH607" s="28" t="str">
        <f aca="false">IF(COUNT(BC607:BE607)=0,"",IF(MIN(BC607:BE607)&lt;=-2.5,"Yes","No"))</f>
        <v/>
      </c>
      <c r="BI607" s="27"/>
      <c r="BJ607" s="29"/>
      <c r="BK607" s="27"/>
      <c r="BL607" s="27"/>
      <c r="BM607" s="27"/>
      <c r="BN607" s="28" t="str">
        <f aca="false">IF(OR(AX607="Yes",BI607="Yes"),"Yes",IF(AND(AX607="No",BI607="No"),"No",IF(AND(AX607="",BI607=""),"","Unknown")))</f>
        <v/>
      </c>
      <c r="BO607" s="31" t="str">
        <f aca="false">IF(COUNT(AY607,BJ607)=0,"",MIN(AY607,BJ607))</f>
        <v/>
      </c>
      <c r="BP607" s="29"/>
      <c r="BQ607" s="29"/>
      <c r="BR607" s="29"/>
      <c r="BS607" s="28" t="str">
        <f aca="false">IF(AND(N(BP607)&gt;0,N(BR607)&gt;0),BR607-BP607,"")</f>
        <v/>
      </c>
      <c r="BT607" s="28" t="str">
        <f aca="false">IF(BS607="","",ROUND(BS607/365.25,2))</f>
        <v/>
      </c>
      <c r="BU607" s="28" t="str">
        <f aca="false">IF(BS607="","",IF(BS607&gt;=730.5,"Yes","No"))</f>
        <v/>
      </c>
      <c r="BV607" s="27"/>
      <c r="BW607" s="29"/>
      <c r="BX607" s="27"/>
      <c r="BY607" s="27"/>
      <c r="BZ607" s="28" t="str">
        <f aca="false">IF(N(E607)=0,"",IF(E607&lt;65,"Under 65","≥65"))</f>
        <v/>
      </c>
      <c r="CA607" s="28" t="str">
        <f aca="false">IF(OR(AC607="Yes",AC607="No"),AC607,"")</f>
        <v/>
      </c>
      <c r="CB607" s="28" t="str">
        <f aca="false">IF(OR(AD607="Yes",AD607="No"),AD607,"")</f>
        <v/>
      </c>
      <c r="CC607" s="28" t="str">
        <f aca="false">IF(F607="","",F607)</f>
        <v/>
      </c>
      <c r="CD607" s="27"/>
      <c r="CE607" s="27"/>
    </row>
    <row r="608" customFormat="false" ht="15" hidden="false" customHeight="false" outlineLevel="0" collapsed="false">
      <c r="A608" s="27"/>
      <c r="B608" s="27"/>
      <c r="C608" s="27"/>
      <c r="D608" s="27"/>
      <c r="E608" s="27"/>
      <c r="F608" s="27"/>
      <c r="G608" s="27"/>
      <c r="H608" s="27"/>
      <c r="I608" s="27"/>
      <c r="J608" s="28" t="str">
        <f aca="false">IF(AND(N(H608)&gt;0,N(I608)&gt;0),ROUND(I608/(H608/100)^2,1),"")</f>
        <v/>
      </c>
      <c r="K608" s="27"/>
      <c r="L608" s="27"/>
      <c r="M608" s="27"/>
      <c r="N608" s="27"/>
      <c r="O608" s="27"/>
      <c r="P608" s="27"/>
      <c r="Q608" s="27"/>
      <c r="R608" s="29"/>
      <c r="S608" s="29"/>
      <c r="T608" s="27"/>
      <c r="U608" s="28" t="str">
        <f aca="false">IF(N(T608)=0,"",IF(T608&lt;12,"Under 12 months",IF(T608&lt;36,"12-35 months",IF(T608&lt;60,"36-59 months","≥60 months"))))</f>
        <v/>
      </c>
      <c r="V608" s="27"/>
      <c r="W608" s="30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9"/>
      <c r="AT608" s="30"/>
      <c r="AU608" s="30"/>
      <c r="AV608" s="30"/>
      <c r="AW608" s="27"/>
      <c r="AX608" s="27"/>
      <c r="AY608" s="29"/>
      <c r="AZ608" s="27"/>
      <c r="BA608" s="27"/>
      <c r="BB608" s="29"/>
      <c r="BC608" s="30"/>
      <c r="BD608" s="30"/>
      <c r="BE608" s="30"/>
      <c r="BF608" s="27"/>
      <c r="BG608" s="27"/>
      <c r="BH608" s="28" t="str">
        <f aca="false">IF(COUNT(BC608:BE608)=0,"",IF(MIN(BC608:BE608)&lt;=-2.5,"Yes","No"))</f>
        <v/>
      </c>
      <c r="BI608" s="27"/>
      <c r="BJ608" s="29"/>
      <c r="BK608" s="27"/>
      <c r="BL608" s="27"/>
      <c r="BM608" s="27"/>
      <c r="BN608" s="28" t="str">
        <f aca="false">IF(OR(AX608="Yes",BI608="Yes"),"Yes",IF(AND(AX608="No",BI608="No"),"No",IF(AND(AX608="",BI608=""),"","Unknown")))</f>
        <v/>
      </c>
      <c r="BO608" s="31" t="str">
        <f aca="false">IF(COUNT(AY608,BJ608)=0,"",MIN(AY608,BJ608))</f>
        <v/>
      </c>
      <c r="BP608" s="29"/>
      <c r="BQ608" s="29"/>
      <c r="BR608" s="29"/>
      <c r="BS608" s="28" t="str">
        <f aca="false">IF(AND(N(BP608)&gt;0,N(BR608)&gt;0),BR608-BP608,"")</f>
        <v/>
      </c>
      <c r="BT608" s="28" t="str">
        <f aca="false">IF(BS608="","",ROUND(BS608/365.25,2))</f>
        <v/>
      </c>
      <c r="BU608" s="28" t="str">
        <f aca="false">IF(BS608="","",IF(BS608&gt;=730.5,"Yes","No"))</f>
        <v/>
      </c>
      <c r="BV608" s="27"/>
      <c r="BW608" s="29"/>
      <c r="BX608" s="27"/>
      <c r="BY608" s="27"/>
      <c r="BZ608" s="28" t="str">
        <f aca="false">IF(N(E608)=0,"",IF(E608&lt;65,"Under 65","≥65"))</f>
        <v/>
      </c>
      <c r="CA608" s="28" t="str">
        <f aca="false">IF(OR(AC608="Yes",AC608="No"),AC608,"")</f>
        <v/>
      </c>
      <c r="CB608" s="28" t="str">
        <f aca="false">IF(OR(AD608="Yes",AD608="No"),AD608,"")</f>
        <v/>
      </c>
      <c r="CC608" s="28" t="str">
        <f aca="false">IF(F608="","",F608)</f>
        <v/>
      </c>
      <c r="CD608" s="27"/>
      <c r="CE608" s="27"/>
    </row>
    <row r="609" customFormat="false" ht="15" hidden="false" customHeight="false" outlineLevel="0" collapsed="false">
      <c r="A609" s="27"/>
      <c r="B609" s="27"/>
      <c r="C609" s="27"/>
      <c r="D609" s="27"/>
      <c r="E609" s="27"/>
      <c r="F609" s="27"/>
      <c r="G609" s="27"/>
      <c r="H609" s="27"/>
      <c r="I609" s="27"/>
      <c r="J609" s="28" t="str">
        <f aca="false">IF(AND(N(H609)&gt;0,N(I609)&gt;0),ROUND(I609/(H609/100)^2,1),"")</f>
        <v/>
      </c>
      <c r="K609" s="27"/>
      <c r="L609" s="27"/>
      <c r="M609" s="27"/>
      <c r="N609" s="27"/>
      <c r="O609" s="27"/>
      <c r="P609" s="27"/>
      <c r="Q609" s="27"/>
      <c r="R609" s="29"/>
      <c r="S609" s="29"/>
      <c r="T609" s="27"/>
      <c r="U609" s="28" t="str">
        <f aca="false">IF(N(T609)=0,"",IF(T609&lt;12,"Under 12 months",IF(T609&lt;36,"12-35 months",IF(T609&lt;60,"36-59 months","≥60 months"))))</f>
        <v/>
      </c>
      <c r="V609" s="27"/>
      <c r="W609" s="30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9"/>
      <c r="AT609" s="30"/>
      <c r="AU609" s="30"/>
      <c r="AV609" s="30"/>
      <c r="AW609" s="27"/>
      <c r="AX609" s="27"/>
      <c r="AY609" s="29"/>
      <c r="AZ609" s="27"/>
      <c r="BA609" s="27"/>
      <c r="BB609" s="29"/>
      <c r="BC609" s="30"/>
      <c r="BD609" s="30"/>
      <c r="BE609" s="30"/>
      <c r="BF609" s="27"/>
      <c r="BG609" s="27"/>
      <c r="BH609" s="28" t="str">
        <f aca="false">IF(COUNT(BC609:BE609)=0,"",IF(MIN(BC609:BE609)&lt;=-2.5,"Yes","No"))</f>
        <v/>
      </c>
      <c r="BI609" s="27"/>
      <c r="BJ609" s="29"/>
      <c r="BK609" s="27"/>
      <c r="BL609" s="27"/>
      <c r="BM609" s="27"/>
      <c r="BN609" s="28" t="str">
        <f aca="false">IF(OR(AX609="Yes",BI609="Yes"),"Yes",IF(AND(AX609="No",BI609="No"),"No",IF(AND(AX609="",BI609=""),"","Unknown")))</f>
        <v/>
      </c>
      <c r="BO609" s="31" t="str">
        <f aca="false">IF(COUNT(AY609,BJ609)=0,"",MIN(AY609,BJ609))</f>
        <v/>
      </c>
      <c r="BP609" s="29"/>
      <c r="BQ609" s="29"/>
      <c r="BR609" s="29"/>
      <c r="BS609" s="28" t="str">
        <f aca="false">IF(AND(N(BP609)&gt;0,N(BR609)&gt;0),BR609-BP609,"")</f>
        <v/>
      </c>
      <c r="BT609" s="28" t="str">
        <f aca="false">IF(BS609="","",ROUND(BS609/365.25,2))</f>
        <v/>
      </c>
      <c r="BU609" s="28" t="str">
        <f aca="false">IF(BS609="","",IF(BS609&gt;=730.5,"Yes","No"))</f>
        <v/>
      </c>
      <c r="BV609" s="27"/>
      <c r="BW609" s="29"/>
      <c r="BX609" s="27"/>
      <c r="BY609" s="27"/>
      <c r="BZ609" s="28" t="str">
        <f aca="false">IF(N(E609)=0,"",IF(E609&lt;65,"Under 65","≥65"))</f>
        <v/>
      </c>
      <c r="CA609" s="28" t="str">
        <f aca="false">IF(OR(AC609="Yes",AC609="No"),AC609,"")</f>
        <v/>
      </c>
      <c r="CB609" s="28" t="str">
        <f aca="false">IF(OR(AD609="Yes",AD609="No"),AD609,"")</f>
        <v/>
      </c>
      <c r="CC609" s="28" t="str">
        <f aca="false">IF(F609="","",F609)</f>
        <v/>
      </c>
      <c r="CD609" s="27"/>
      <c r="CE609" s="27"/>
    </row>
    <row r="610" customFormat="false" ht="15" hidden="false" customHeight="false" outlineLevel="0" collapsed="false">
      <c r="A610" s="27"/>
      <c r="B610" s="27"/>
      <c r="C610" s="27"/>
      <c r="D610" s="27"/>
      <c r="E610" s="27"/>
      <c r="F610" s="27"/>
      <c r="G610" s="27"/>
      <c r="H610" s="27"/>
      <c r="I610" s="27"/>
      <c r="J610" s="28" t="str">
        <f aca="false">IF(AND(N(H610)&gt;0,N(I610)&gt;0),ROUND(I610/(H610/100)^2,1),"")</f>
        <v/>
      </c>
      <c r="K610" s="27"/>
      <c r="L610" s="27"/>
      <c r="M610" s="27"/>
      <c r="N610" s="27"/>
      <c r="O610" s="27"/>
      <c r="P610" s="27"/>
      <c r="Q610" s="27"/>
      <c r="R610" s="29"/>
      <c r="S610" s="29"/>
      <c r="T610" s="27"/>
      <c r="U610" s="28" t="str">
        <f aca="false">IF(N(T610)=0,"",IF(T610&lt;12,"Under 12 months",IF(T610&lt;36,"12-35 months",IF(T610&lt;60,"36-59 months","≥60 months"))))</f>
        <v/>
      </c>
      <c r="V610" s="27"/>
      <c r="W610" s="30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9"/>
      <c r="AT610" s="30"/>
      <c r="AU610" s="30"/>
      <c r="AV610" s="30"/>
      <c r="AW610" s="27"/>
      <c r="AX610" s="27"/>
      <c r="AY610" s="29"/>
      <c r="AZ610" s="27"/>
      <c r="BA610" s="27"/>
      <c r="BB610" s="29"/>
      <c r="BC610" s="30"/>
      <c r="BD610" s="30"/>
      <c r="BE610" s="30"/>
      <c r="BF610" s="27"/>
      <c r="BG610" s="27"/>
      <c r="BH610" s="28" t="str">
        <f aca="false">IF(COUNT(BC610:BE610)=0,"",IF(MIN(BC610:BE610)&lt;=-2.5,"Yes","No"))</f>
        <v/>
      </c>
      <c r="BI610" s="27"/>
      <c r="BJ610" s="29"/>
      <c r="BK610" s="27"/>
      <c r="BL610" s="27"/>
      <c r="BM610" s="27"/>
      <c r="BN610" s="28" t="str">
        <f aca="false">IF(OR(AX610="Yes",BI610="Yes"),"Yes",IF(AND(AX610="No",BI610="No"),"No",IF(AND(AX610="",BI610=""),"","Unknown")))</f>
        <v/>
      </c>
      <c r="BO610" s="31" t="str">
        <f aca="false">IF(COUNT(AY610,BJ610)=0,"",MIN(AY610,BJ610))</f>
        <v/>
      </c>
      <c r="BP610" s="29"/>
      <c r="BQ610" s="29"/>
      <c r="BR610" s="29"/>
      <c r="BS610" s="28" t="str">
        <f aca="false">IF(AND(N(BP610)&gt;0,N(BR610)&gt;0),BR610-BP610,"")</f>
        <v/>
      </c>
      <c r="BT610" s="28" t="str">
        <f aca="false">IF(BS610="","",ROUND(BS610/365.25,2))</f>
        <v/>
      </c>
      <c r="BU610" s="28" t="str">
        <f aca="false">IF(BS610="","",IF(BS610&gt;=730.5,"Yes","No"))</f>
        <v/>
      </c>
      <c r="BV610" s="27"/>
      <c r="BW610" s="29"/>
      <c r="BX610" s="27"/>
      <c r="BY610" s="27"/>
      <c r="BZ610" s="28" t="str">
        <f aca="false">IF(N(E610)=0,"",IF(E610&lt;65,"Under 65","≥65"))</f>
        <v/>
      </c>
      <c r="CA610" s="28" t="str">
        <f aca="false">IF(OR(AC610="Yes",AC610="No"),AC610,"")</f>
        <v/>
      </c>
      <c r="CB610" s="28" t="str">
        <f aca="false">IF(OR(AD610="Yes",AD610="No"),AD610,"")</f>
        <v/>
      </c>
      <c r="CC610" s="28" t="str">
        <f aca="false">IF(F610="","",F610)</f>
        <v/>
      </c>
      <c r="CD610" s="27"/>
      <c r="CE610" s="27"/>
    </row>
    <row r="611" customFormat="false" ht="15" hidden="false" customHeight="false" outlineLevel="0" collapsed="false">
      <c r="A611" s="27"/>
      <c r="B611" s="27"/>
      <c r="C611" s="27"/>
      <c r="D611" s="27"/>
      <c r="E611" s="27"/>
      <c r="F611" s="27"/>
      <c r="G611" s="27"/>
      <c r="H611" s="27"/>
      <c r="I611" s="27"/>
      <c r="J611" s="28" t="str">
        <f aca="false">IF(AND(N(H611)&gt;0,N(I611)&gt;0),ROUND(I611/(H611/100)^2,1),"")</f>
        <v/>
      </c>
      <c r="K611" s="27"/>
      <c r="L611" s="27"/>
      <c r="M611" s="27"/>
      <c r="N611" s="27"/>
      <c r="O611" s="27"/>
      <c r="P611" s="27"/>
      <c r="Q611" s="27"/>
      <c r="R611" s="29"/>
      <c r="S611" s="29"/>
      <c r="T611" s="27"/>
      <c r="U611" s="28" t="str">
        <f aca="false">IF(N(T611)=0,"",IF(T611&lt;12,"Under 12 months",IF(T611&lt;36,"12-35 months",IF(T611&lt;60,"36-59 months","≥60 months"))))</f>
        <v/>
      </c>
      <c r="V611" s="27"/>
      <c r="W611" s="30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9"/>
      <c r="AT611" s="30"/>
      <c r="AU611" s="30"/>
      <c r="AV611" s="30"/>
      <c r="AW611" s="27"/>
      <c r="AX611" s="27"/>
      <c r="AY611" s="29"/>
      <c r="AZ611" s="27"/>
      <c r="BA611" s="27"/>
      <c r="BB611" s="29"/>
      <c r="BC611" s="30"/>
      <c r="BD611" s="30"/>
      <c r="BE611" s="30"/>
      <c r="BF611" s="27"/>
      <c r="BG611" s="27"/>
      <c r="BH611" s="28" t="str">
        <f aca="false">IF(COUNT(BC611:BE611)=0,"",IF(MIN(BC611:BE611)&lt;=-2.5,"Yes","No"))</f>
        <v/>
      </c>
      <c r="BI611" s="27"/>
      <c r="BJ611" s="29"/>
      <c r="BK611" s="27"/>
      <c r="BL611" s="27"/>
      <c r="BM611" s="27"/>
      <c r="BN611" s="28" t="str">
        <f aca="false">IF(OR(AX611="Yes",BI611="Yes"),"Yes",IF(AND(AX611="No",BI611="No"),"No",IF(AND(AX611="",BI611=""),"","Unknown")))</f>
        <v/>
      </c>
      <c r="BO611" s="31" t="str">
        <f aca="false">IF(COUNT(AY611,BJ611)=0,"",MIN(AY611,BJ611))</f>
        <v/>
      </c>
      <c r="BP611" s="29"/>
      <c r="BQ611" s="29"/>
      <c r="BR611" s="29"/>
      <c r="BS611" s="28" t="str">
        <f aca="false">IF(AND(N(BP611)&gt;0,N(BR611)&gt;0),BR611-BP611,"")</f>
        <v/>
      </c>
      <c r="BT611" s="28" t="str">
        <f aca="false">IF(BS611="","",ROUND(BS611/365.25,2))</f>
        <v/>
      </c>
      <c r="BU611" s="28" t="str">
        <f aca="false">IF(BS611="","",IF(BS611&gt;=730.5,"Yes","No"))</f>
        <v/>
      </c>
      <c r="BV611" s="27"/>
      <c r="BW611" s="29"/>
      <c r="BX611" s="27"/>
      <c r="BY611" s="27"/>
      <c r="BZ611" s="28" t="str">
        <f aca="false">IF(N(E611)=0,"",IF(E611&lt;65,"Under 65","≥65"))</f>
        <v/>
      </c>
      <c r="CA611" s="28" t="str">
        <f aca="false">IF(OR(AC611="Yes",AC611="No"),AC611,"")</f>
        <v/>
      </c>
      <c r="CB611" s="28" t="str">
        <f aca="false">IF(OR(AD611="Yes",AD611="No"),AD611,"")</f>
        <v/>
      </c>
      <c r="CC611" s="28" t="str">
        <f aca="false">IF(F611="","",F611)</f>
        <v/>
      </c>
      <c r="CD611" s="27"/>
      <c r="CE611" s="27"/>
    </row>
    <row r="612" customFormat="false" ht="15" hidden="false" customHeight="false" outlineLevel="0" collapsed="false">
      <c r="A612" s="27"/>
      <c r="B612" s="27"/>
      <c r="C612" s="27"/>
      <c r="D612" s="27"/>
      <c r="E612" s="27"/>
      <c r="F612" s="27"/>
      <c r="G612" s="27"/>
      <c r="H612" s="27"/>
      <c r="I612" s="27"/>
      <c r="J612" s="28" t="str">
        <f aca="false">IF(AND(N(H612)&gt;0,N(I612)&gt;0),ROUND(I612/(H612/100)^2,1),"")</f>
        <v/>
      </c>
      <c r="K612" s="27"/>
      <c r="L612" s="27"/>
      <c r="M612" s="27"/>
      <c r="N612" s="27"/>
      <c r="O612" s="27"/>
      <c r="P612" s="27"/>
      <c r="Q612" s="27"/>
      <c r="R612" s="29"/>
      <c r="S612" s="29"/>
      <c r="T612" s="27"/>
      <c r="U612" s="28" t="str">
        <f aca="false">IF(N(T612)=0,"",IF(T612&lt;12,"Under 12 months",IF(T612&lt;36,"12-35 months",IF(T612&lt;60,"36-59 months","≥60 months"))))</f>
        <v/>
      </c>
      <c r="V612" s="27"/>
      <c r="W612" s="30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9"/>
      <c r="AT612" s="30"/>
      <c r="AU612" s="30"/>
      <c r="AV612" s="30"/>
      <c r="AW612" s="27"/>
      <c r="AX612" s="27"/>
      <c r="AY612" s="29"/>
      <c r="AZ612" s="27"/>
      <c r="BA612" s="27"/>
      <c r="BB612" s="29"/>
      <c r="BC612" s="30"/>
      <c r="BD612" s="30"/>
      <c r="BE612" s="30"/>
      <c r="BF612" s="27"/>
      <c r="BG612" s="27"/>
      <c r="BH612" s="28" t="str">
        <f aca="false">IF(COUNT(BC612:BE612)=0,"",IF(MIN(BC612:BE612)&lt;=-2.5,"Yes","No"))</f>
        <v/>
      </c>
      <c r="BI612" s="27"/>
      <c r="BJ612" s="29"/>
      <c r="BK612" s="27"/>
      <c r="BL612" s="27"/>
      <c r="BM612" s="27"/>
      <c r="BN612" s="28" t="str">
        <f aca="false">IF(OR(AX612="Yes",BI612="Yes"),"Yes",IF(AND(AX612="No",BI612="No"),"No",IF(AND(AX612="",BI612=""),"","Unknown")))</f>
        <v/>
      </c>
      <c r="BO612" s="31" t="str">
        <f aca="false">IF(COUNT(AY612,BJ612)=0,"",MIN(AY612,BJ612))</f>
        <v/>
      </c>
      <c r="BP612" s="29"/>
      <c r="BQ612" s="29"/>
      <c r="BR612" s="29"/>
      <c r="BS612" s="28" t="str">
        <f aca="false">IF(AND(N(BP612)&gt;0,N(BR612)&gt;0),BR612-BP612,"")</f>
        <v/>
      </c>
      <c r="BT612" s="28" t="str">
        <f aca="false">IF(BS612="","",ROUND(BS612/365.25,2))</f>
        <v/>
      </c>
      <c r="BU612" s="28" t="str">
        <f aca="false">IF(BS612="","",IF(BS612&gt;=730.5,"Yes","No"))</f>
        <v/>
      </c>
      <c r="BV612" s="27"/>
      <c r="BW612" s="29"/>
      <c r="BX612" s="27"/>
      <c r="BY612" s="27"/>
      <c r="BZ612" s="28" t="str">
        <f aca="false">IF(N(E612)=0,"",IF(E612&lt;65,"Under 65","≥65"))</f>
        <v/>
      </c>
      <c r="CA612" s="28" t="str">
        <f aca="false">IF(OR(AC612="Yes",AC612="No"),AC612,"")</f>
        <v/>
      </c>
      <c r="CB612" s="28" t="str">
        <f aca="false">IF(OR(AD612="Yes",AD612="No"),AD612,"")</f>
        <v/>
      </c>
      <c r="CC612" s="28" t="str">
        <f aca="false">IF(F612="","",F612)</f>
        <v/>
      </c>
      <c r="CD612" s="27"/>
      <c r="CE612" s="27"/>
    </row>
    <row r="613" customFormat="false" ht="15" hidden="false" customHeight="false" outlineLevel="0" collapsed="false">
      <c r="A613" s="27"/>
      <c r="B613" s="27"/>
      <c r="C613" s="27"/>
      <c r="D613" s="27"/>
      <c r="E613" s="27"/>
      <c r="F613" s="27"/>
      <c r="G613" s="27"/>
      <c r="H613" s="27"/>
      <c r="I613" s="27"/>
      <c r="J613" s="28" t="str">
        <f aca="false">IF(AND(N(H613)&gt;0,N(I613)&gt;0),ROUND(I613/(H613/100)^2,1),"")</f>
        <v/>
      </c>
      <c r="K613" s="27"/>
      <c r="L613" s="27"/>
      <c r="M613" s="27"/>
      <c r="N613" s="27"/>
      <c r="O613" s="27"/>
      <c r="P613" s="27"/>
      <c r="Q613" s="27"/>
      <c r="R613" s="29"/>
      <c r="S613" s="29"/>
      <c r="T613" s="27"/>
      <c r="U613" s="28" t="str">
        <f aca="false">IF(N(T613)=0,"",IF(T613&lt;12,"Under 12 months",IF(T613&lt;36,"12-35 months",IF(T613&lt;60,"36-59 months","≥60 months"))))</f>
        <v/>
      </c>
      <c r="V613" s="27"/>
      <c r="W613" s="30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9"/>
      <c r="AT613" s="30"/>
      <c r="AU613" s="30"/>
      <c r="AV613" s="30"/>
      <c r="AW613" s="27"/>
      <c r="AX613" s="27"/>
      <c r="AY613" s="29"/>
      <c r="AZ613" s="27"/>
      <c r="BA613" s="27"/>
      <c r="BB613" s="29"/>
      <c r="BC613" s="30"/>
      <c r="BD613" s="30"/>
      <c r="BE613" s="30"/>
      <c r="BF613" s="27"/>
      <c r="BG613" s="27"/>
      <c r="BH613" s="28" t="str">
        <f aca="false">IF(COUNT(BC613:BE613)=0,"",IF(MIN(BC613:BE613)&lt;=-2.5,"Yes","No"))</f>
        <v/>
      </c>
      <c r="BI613" s="27"/>
      <c r="BJ613" s="29"/>
      <c r="BK613" s="27"/>
      <c r="BL613" s="27"/>
      <c r="BM613" s="27"/>
      <c r="BN613" s="28" t="str">
        <f aca="false">IF(OR(AX613="Yes",BI613="Yes"),"Yes",IF(AND(AX613="No",BI613="No"),"No",IF(AND(AX613="",BI613=""),"","Unknown")))</f>
        <v/>
      </c>
      <c r="BO613" s="31" t="str">
        <f aca="false">IF(COUNT(AY613,BJ613)=0,"",MIN(AY613,BJ613))</f>
        <v/>
      </c>
      <c r="BP613" s="29"/>
      <c r="BQ613" s="29"/>
      <c r="BR613" s="29"/>
      <c r="BS613" s="28" t="str">
        <f aca="false">IF(AND(N(BP613)&gt;0,N(BR613)&gt;0),BR613-BP613,"")</f>
        <v/>
      </c>
      <c r="BT613" s="28" t="str">
        <f aca="false">IF(BS613="","",ROUND(BS613/365.25,2))</f>
        <v/>
      </c>
      <c r="BU613" s="28" t="str">
        <f aca="false">IF(BS613="","",IF(BS613&gt;=730.5,"Yes","No"))</f>
        <v/>
      </c>
      <c r="BV613" s="27"/>
      <c r="BW613" s="29"/>
      <c r="BX613" s="27"/>
      <c r="BY613" s="27"/>
      <c r="BZ613" s="28" t="str">
        <f aca="false">IF(N(E613)=0,"",IF(E613&lt;65,"Under 65","≥65"))</f>
        <v/>
      </c>
      <c r="CA613" s="28" t="str">
        <f aca="false">IF(OR(AC613="Yes",AC613="No"),AC613,"")</f>
        <v/>
      </c>
      <c r="CB613" s="28" t="str">
        <f aca="false">IF(OR(AD613="Yes",AD613="No"),AD613,"")</f>
        <v/>
      </c>
      <c r="CC613" s="28" t="str">
        <f aca="false">IF(F613="","",F613)</f>
        <v/>
      </c>
      <c r="CD613" s="27"/>
      <c r="CE613" s="27"/>
    </row>
    <row r="614" customFormat="false" ht="15" hidden="false" customHeight="false" outlineLevel="0" collapsed="false">
      <c r="A614" s="27"/>
      <c r="B614" s="27"/>
      <c r="C614" s="27"/>
      <c r="D614" s="27"/>
      <c r="E614" s="27"/>
      <c r="F614" s="27"/>
      <c r="G614" s="27"/>
      <c r="H614" s="27"/>
      <c r="I614" s="27"/>
      <c r="J614" s="28" t="str">
        <f aca="false">IF(AND(N(H614)&gt;0,N(I614)&gt;0),ROUND(I614/(H614/100)^2,1),"")</f>
        <v/>
      </c>
      <c r="K614" s="27"/>
      <c r="L614" s="27"/>
      <c r="M614" s="27"/>
      <c r="N614" s="27"/>
      <c r="O614" s="27"/>
      <c r="P614" s="27"/>
      <c r="Q614" s="27"/>
      <c r="R614" s="29"/>
      <c r="S614" s="29"/>
      <c r="T614" s="27"/>
      <c r="U614" s="28" t="str">
        <f aca="false">IF(N(T614)=0,"",IF(T614&lt;12,"Under 12 months",IF(T614&lt;36,"12-35 months",IF(T614&lt;60,"36-59 months","≥60 months"))))</f>
        <v/>
      </c>
      <c r="V614" s="27"/>
      <c r="W614" s="30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9"/>
      <c r="AT614" s="30"/>
      <c r="AU614" s="30"/>
      <c r="AV614" s="30"/>
      <c r="AW614" s="27"/>
      <c r="AX614" s="27"/>
      <c r="AY614" s="29"/>
      <c r="AZ614" s="27"/>
      <c r="BA614" s="27"/>
      <c r="BB614" s="29"/>
      <c r="BC614" s="30"/>
      <c r="BD614" s="30"/>
      <c r="BE614" s="30"/>
      <c r="BF614" s="27"/>
      <c r="BG614" s="27"/>
      <c r="BH614" s="28" t="str">
        <f aca="false">IF(COUNT(BC614:BE614)=0,"",IF(MIN(BC614:BE614)&lt;=-2.5,"Yes","No"))</f>
        <v/>
      </c>
      <c r="BI614" s="27"/>
      <c r="BJ614" s="29"/>
      <c r="BK614" s="27"/>
      <c r="BL614" s="27"/>
      <c r="BM614" s="27"/>
      <c r="BN614" s="28" t="str">
        <f aca="false">IF(OR(AX614="Yes",BI614="Yes"),"Yes",IF(AND(AX614="No",BI614="No"),"No",IF(AND(AX614="",BI614=""),"","Unknown")))</f>
        <v/>
      </c>
      <c r="BO614" s="31" t="str">
        <f aca="false">IF(COUNT(AY614,BJ614)=0,"",MIN(AY614,BJ614))</f>
        <v/>
      </c>
      <c r="BP614" s="29"/>
      <c r="BQ614" s="29"/>
      <c r="BR614" s="29"/>
      <c r="BS614" s="28" t="str">
        <f aca="false">IF(AND(N(BP614)&gt;0,N(BR614)&gt;0),BR614-BP614,"")</f>
        <v/>
      </c>
      <c r="BT614" s="28" t="str">
        <f aca="false">IF(BS614="","",ROUND(BS614/365.25,2))</f>
        <v/>
      </c>
      <c r="BU614" s="28" t="str">
        <f aca="false">IF(BS614="","",IF(BS614&gt;=730.5,"Yes","No"))</f>
        <v/>
      </c>
      <c r="BV614" s="27"/>
      <c r="BW614" s="29"/>
      <c r="BX614" s="27"/>
      <c r="BY614" s="27"/>
      <c r="BZ614" s="28" t="str">
        <f aca="false">IF(N(E614)=0,"",IF(E614&lt;65,"Under 65","≥65"))</f>
        <v/>
      </c>
      <c r="CA614" s="28" t="str">
        <f aca="false">IF(OR(AC614="Yes",AC614="No"),AC614,"")</f>
        <v/>
      </c>
      <c r="CB614" s="28" t="str">
        <f aca="false">IF(OR(AD614="Yes",AD614="No"),AD614,"")</f>
        <v/>
      </c>
      <c r="CC614" s="28" t="str">
        <f aca="false">IF(F614="","",F614)</f>
        <v/>
      </c>
      <c r="CD614" s="27"/>
      <c r="CE614" s="27"/>
    </row>
    <row r="615" customFormat="false" ht="15" hidden="false" customHeight="false" outlineLevel="0" collapsed="false">
      <c r="A615" s="27"/>
      <c r="B615" s="27"/>
      <c r="C615" s="27"/>
      <c r="D615" s="27"/>
      <c r="E615" s="27"/>
      <c r="F615" s="27"/>
      <c r="G615" s="27"/>
      <c r="H615" s="27"/>
      <c r="I615" s="27"/>
      <c r="J615" s="28" t="str">
        <f aca="false">IF(AND(N(H615)&gt;0,N(I615)&gt;0),ROUND(I615/(H615/100)^2,1),"")</f>
        <v/>
      </c>
      <c r="K615" s="27"/>
      <c r="L615" s="27"/>
      <c r="M615" s="27"/>
      <c r="N615" s="27"/>
      <c r="O615" s="27"/>
      <c r="P615" s="27"/>
      <c r="Q615" s="27"/>
      <c r="R615" s="29"/>
      <c r="S615" s="29"/>
      <c r="T615" s="27"/>
      <c r="U615" s="28" t="str">
        <f aca="false">IF(N(T615)=0,"",IF(T615&lt;12,"Under 12 months",IF(T615&lt;36,"12-35 months",IF(T615&lt;60,"36-59 months","≥60 months"))))</f>
        <v/>
      </c>
      <c r="V615" s="27"/>
      <c r="W615" s="30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9"/>
      <c r="AT615" s="30"/>
      <c r="AU615" s="30"/>
      <c r="AV615" s="30"/>
      <c r="AW615" s="27"/>
      <c r="AX615" s="27"/>
      <c r="AY615" s="29"/>
      <c r="AZ615" s="27"/>
      <c r="BA615" s="27"/>
      <c r="BB615" s="29"/>
      <c r="BC615" s="30"/>
      <c r="BD615" s="30"/>
      <c r="BE615" s="30"/>
      <c r="BF615" s="27"/>
      <c r="BG615" s="27"/>
      <c r="BH615" s="28" t="str">
        <f aca="false">IF(COUNT(BC615:BE615)=0,"",IF(MIN(BC615:BE615)&lt;=-2.5,"Yes","No"))</f>
        <v/>
      </c>
      <c r="BI615" s="27"/>
      <c r="BJ615" s="29"/>
      <c r="BK615" s="27"/>
      <c r="BL615" s="27"/>
      <c r="BM615" s="27"/>
      <c r="BN615" s="28" t="str">
        <f aca="false">IF(OR(AX615="Yes",BI615="Yes"),"Yes",IF(AND(AX615="No",BI615="No"),"No",IF(AND(AX615="",BI615=""),"","Unknown")))</f>
        <v/>
      </c>
      <c r="BO615" s="31" t="str">
        <f aca="false">IF(COUNT(AY615,BJ615)=0,"",MIN(AY615,BJ615))</f>
        <v/>
      </c>
      <c r="BP615" s="29"/>
      <c r="BQ615" s="29"/>
      <c r="BR615" s="29"/>
      <c r="BS615" s="28" t="str">
        <f aca="false">IF(AND(N(BP615)&gt;0,N(BR615)&gt;0),BR615-BP615,"")</f>
        <v/>
      </c>
      <c r="BT615" s="28" t="str">
        <f aca="false">IF(BS615="","",ROUND(BS615/365.25,2))</f>
        <v/>
      </c>
      <c r="BU615" s="28" t="str">
        <f aca="false">IF(BS615="","",IF(BS615&gt;=730.5,"Yes","No"))</f>
        <v/>
      </c>
      <c r="BV615" s="27"/>
      <c r="BW615" s="29"/>
      <c r="BX615" s="27"/>
      <c r="BY615" s="27"/>
      <c r="BZ615" s="28" t="str">
        <f aca="false">IF(N(E615)=0,"",IF(E615&lt;65,"Under 65","≥65"))</f>
        <v/>
      </c>
      <c r="CA615" s="28" t="str">
        <f aca="false">IF(OR(AC615="Yes",AC615="No"),AC615,"")</f>
        <v/>
      </c>
      <c r="CB615" s="28" t="str">
        <f aca="false">IF(OR(AD615="Yes",AD615="No"),AD615,"")</f>
        <v/>
      </c>
      <c r="CC615" s="28" t="str">
        <f aca="false">IF(F615="","",F615)</f>
        <v/>
      </c>
      <c r="CD615" s="27"/>
      <c r="CE615" s="27"/>
    </row>
    <row r="616" customFormat="false" ht="15" hidden="false" customHeight="false" outlineLevel="0" collapsed="false">
      <c r="A616" s="27"/>
      <c r="B616" s="27"/>
      <c r="C616" s="27"/>
      <c r="D616" s="27"/>
      <c r="E616" s="27"/>
      <c r="F616" s="27"/>
      <c r="G616" s="27"/>
      <c r="H616" s="27"/>
      <c r="I616" s="27"/>
      <c r="J616" s="28" t="str">
        <f aca="false">IF(AND(N(H616)&gt;0,N(I616)&gt;0),ROUND(I616/(H616/100)^2,1),"")</f>
        <v/>
      </c>
      <c r="K616" s="27"/>
      <c r="L616" s="27"/>
      <c r="M616" s="27"/>
      <c r="N616" s="27"/>
      <c r="O616" s="27"/>
      <c r="P616" s="27"/>
      <c r="Q616" s="27"/>
      <c r="R616" s="29"/>
      <c r="S616" s="29"/>
      <c r="T616" s="27"/>
      <c r="U616" s="28" t="str">
        <f aca="false">IF(N(T616)=0,"",IF(T616&lt;12,"Under 12 months",IF(T616&lt;36,"12-35 months",IF(T616&lt;60,"36-59 months","≥60 months"))))</f>
        <v/>
      </c>
      <c r="V616" s="27"/>
      <c r="W616" s="30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9"/>
      <c r="AT616" s="30"/>
      <c r="AU616" s="30"/>
      <c r="AV616" s="30"/>
      <c r="AW616" s="27"/>
      <c r="AX616" s="27"/>
      <c r="AY616" s="29"/>
      <c r="AZ616" s="27"/>
      <c r="BA616" s="27"/>
      <c r="BB616" s="29"/>
      <c r="BC616" s="30"/>
      <c r="BD616" s="30"/>
      <c r="BE616" s="30"/>
      <c r="BF616" s="27"/>
      <c r="BG616" s="27"/>
      <c r="BH616" s="28" t="str">
        <f aca="false">IF(COUNT(BC616:BE616)=0,"",IF(MIN(BC616:BE616)&lt;=-2.5,"Yes","No"))</f>
        <v/>
      </c>
      <c r="BI616" s="27"/>
      <c r="BJ616" s="29"/>
      <c r="BK616" s="27"/>
      <c r="BL616" s="27"/>
      <c r="BM616" s="27"/>
      <c r="BN616" s="28" t="str">
        <f aca="false">IF(OR(AX616="Yes",BI616="Yes"),"Yes",IF(AND(AX616="No",BI616="No"),"No",IF(AND(AX616="",BI616=""),"","Unknown")))</f>
        <v/>
      </c>
      <c r="BO616" s="31" t="str">
        <f aca="false">IF(COUNT(AY616,BJ616)=0,"",MIN(AY616,BJ616))</f>
        <v/>
      </c>
      <c r="BP616" s="29"/>
      <c r="BQ616" s="29"/>
      <c r="BR616" s="29"/>
      <c r="BS616" s="28" t="str">
        <f aca="false">IF(AND(N(BP616)&gt;0,N(BR616)&gt;0),BR616-BP616,"")</f>
        <v/>
      </c>
      <c r="BT616" s="28" t="str">
        <f aca="false">IF(BS616="","",ROUND(BS616/365.25,2))</f>
        <v/>
      </c>
      <c r="BU616" s="28" t="str">
        <f aca="false">IF(BS616="","",IF(BS616&gt;=730.5,"Yes","No"))</f>
        <v/>
      </c>
      <c r="BV616" s="27"/>
      <c r="BW616" s="29"/>
      <c r="BX616" s="27"/>
      <c r="BY616" s="27"/>
      <c r="BZ616" s="28" t="str">
        <f aca="false">IF(N(E616)=0,"",IF(E616&lt;65,"Under 65","≥65"))</f>
        <v/>
      </c>
      <c r="CA616" s="28" t="str">
        <f aca="false">IF(OR(AC616="Yes",AC616="No"),AC616,"")</f>
        <v/>
      </c>
      <c r="CB616" s="28" t="str">
        <f aca="false">IF(OR(AD616="Yes",AD616="No"),AD616,"")</f>
        <v/>
      </c>
      <c r="CC616" s="28" t="str">
        <f aca="false">IF(F616="","",F616)</f>
        <v/>
      </c>
      <c r="CD616" s="27"/>
      <c r="CE616" s="27"/>
    </row>
    <row r="617" customFormat="false" ht="15" hidden="false" customHeight="false" outlineLevel="0" collapsed="false">
      <c r="A617" s="27"/>
      <c r="B617" s="27"/>
      <c r="C617" s="27"/>
      <c r="D617" s="27"/>
      <c r="E617" s="27"/>
      <c r="F617" s="27"/>
      <c r="G617" s="27"/>
      <c r="H617" s="27"/>
      <c r="I617" s="27"/>
      <c r="J617" s="28" t="str">
        <f aca="false">IF(AND(N(H617)&gt;0,N(I617)&gt;0),ROUND(I617/(H617/100)^2,1),"")</f>
        <v/>
      </c>
      <c r="K617" s="27"/>
      <c r="L617" s="27"/>
      <c r="M617" s="27"/>
      <c r="N617" s="27"/>
      <c r="O617" s="27"/>
      <c r="P617" s="27"/>
      <c r="Q617" s="27"/>
      <c r="R617" s="29"/>
      <c r="S617" s="29"/>
      <c r="T617" s="27"/>
      <c r="U617" s="28" t="str">
        <f aca="false">IF(N(T617)=0,"",IF(T617&lt;12,"Under 12 months",IF(T617&lt;36,"12-35 months",IF(T617&lt;60,"36-59 months","≥60 months"))))</f>
        <v/>
      </c>
      <c r="V617" s="27"/>
      <c r="W617" s="30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9"/>
      <c r="AT617" s="30"/>
      <c r="AU617" s="30"/>
      <c r="AV617" s="30"/>
      <c r="AW617" s="27"/>
      <c r="AX617" s="27"/>
      <c r="AY617" s="29"/>
      <c r="AZ617" s="27"/>
      <c r="BA617" s="27"/>
      <c r="BB617" s="29"/>
      <c r="BC617" s="30"/>
      <c r="BD617" s="30"/>
      <c r="BE617" s="30"/>
      <c r="BF617" s="27"/>
      <c r="BG617" s="27"/>
      <c r="BH617" s="28" t="str">
        <f aca="false">IF(COUNT(BC617:BE617)=0,"",IF(MIN(BC617:BE617)&lt;=-2.5,"Yes","No"))</f>
        <v/>
      </c>
      <c r="BI617" s="27"/>
      <c r="BJ617" s="29"/>
      <c r="BK617" s="27"/>
      <c r="BL617" s="27"/>
      <c r="BM617" s="27"/>
      <c r="BN617" s="28" t="str">
        <f aca="false">IF(OR(AX617="Yes",BI617="Yes"),"Yes",IF(AND(AX617="No",BI617="No"),"No",IF(AND(AX617="",BI617=""),"","Unknown")))</f>
        <v/>
      </c>
      <c r="BO617" s="31" t="str">
        <f aca="false">IF(COUNT(AY617,BJ617)=0,"",MIN(AY617,BJ617))</f>
        <v/>
      </c>
      <c r="BP617" s="29"/>
      <c r="BQ617" s="29"/>
      <c r="BR617" s="29"/>
      <c r="BS617" s="28" t="str">
        <f aca="false">IF(AND(N(BP617)&gt;0,N(BR617)&gt;0),BR617-BP617,"")</f>
        <v/>
      </c>
      <c r="BT617" s="28" t="str">
        <f aca="false">IF(BS617="","",ROUND(BS617/365.25,2))</f>
        <v/>
      </c>
      <c r="BU617" s="28" t="str">
        <f aca="false">IF(BS617="","",IF(BS617&gt;=730.5,"Yes","No"))</f>
        <v/>
      </c>
      <c r="BV617" s="27"/>
      <c r="BW617" s="29"/>
      <c r="BX617" s="27"/>
      <c r="BY617" s="27"/>
      <c r="BZ617" s="28" t="str">
        <f aca="false">IF(N(E617)=0,"",IF(E617&lt;65,"Under 65","≥65"))</f>
        <v/>
      </c>
      <c r="CA617" s="28" t="str">
        <f aca="false">IF(OR(AC617="Yes",AC617="No"),AC617,"")</f>
        <v/>
      </c>
      <c r="CB617" s="28" t="str">
        <f aca="false">IF(OR(AD617="Yes",AD617="No"),AD617,"")</f>
        <v/>
      </c>
      <c r="CC617" s="28" t="str">
        <f aca="false">IF(F617="","",F617)</f>
        <v/>
      </c>
      <c r="CD617" s="27"/>
      <c r="CE617" s="27"/>
    </row>
    <row r="618" customFormat="false" ht="15" hidden="false" customHeight="false" outlineLevel="0" collapsed="false">
      <c r="A618" s="27"/>
      <c r="B618" s="27"/>
      <c r="C618" s="27"/>
      <c r="D618" s="27"/>
      <c r="E618" s="27"/>
      <c r="F618" s="27"/>
      <c r="G618" s="27"/>
      <c r="H618" s="27"/>
      <c r="I618" s="27"/>
      <c r="J618" s="28" t="str">
        <f aca="false">IF(AND(N(H618)&gt;0,N(I618)&gt;0),ROUND(I618/(H618/100)^2,1),"")</f>
        <v/>
      </c>
      <c r="K618" s="27"/>
      <c r="L618" s="27"/>
      <c r="M618" s="27"/>
      <c r="N618" s="27"/>
      <c r="O618" s="27"/>
      <c r="P618" s="27"/>
      <c r="Q618" s="27"/>
      <c r="R618" s="29"/>
      <c r="S618" s="29"/>
      <c r="T618" s="27"/>
      <c r="U618" s="28" t="str">
        <f aca="false">IF(N(T618)=0,"",IF(T618&lt;12,"Under 12 months",IF(T618&lt;36,"12-35 months",IF(T618&lt;60,"36-59 months","≥60 months"))))</f>
        <v/>
      </c>
      <c r="V618" s="27"/>
      <c r="W618" s="30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9"/>
      <c r="AT618" s="30"/>
      <c r="AU618" s="30"/>
      <c r="AV618" s="30"/>
      <c r="AW618" s="27"/>
      <c r="AX618" s="27"/>
      <c r="AY618" s="29"/>
      <c r="AZ618" s="27"/>
      <c r="BA618" s="27"/>
      <c r="BB618" s="29"/>
      <c r="BC618" s="30"/>
      <c r="BD618" s="30"/>
      <c r="BE618" s="30"/>
      <c r="BF618" s="27"/>
      <c r="BG618" s="27"/>
      <c r="BH618" s="28" t="str">
        <f aca="false">IF(COUNT(BC618:BE618)=0,"",IF(MIN(BC618:BE618)&lt;=-2.5,"Yes","No"))</f>
        <v/>
      </c>
      <c r="BI618" s="27"/>
      <c r="BJ618" s="29"/>
      <c r="BK618" s="27"/>
      <c r="BL618" s="27"/>
      <c r="BM618" s="27"/>
      <c r="BN618" s="28" t="str">
        <f aca="false">IF(OR(AX618="Yes",BI618="Yes"),"Yes",IF(AND(AX618="No",BI618="No"),"No",IF(AND(AX618="",BI618=""),"","Unknown")))</f>
        <v/>
      </c>
      <c r="BO618" s="31" t="str">
        <f aca="false">IF(COUNT(AY618,BJ618)=0,"",MIN(AY618,BJ618))</f>
        <v/>
      </c>
      <c r="BP618" s="29"/>
      <c r="BQ618" s="29"/>
      <c r="BR618" s="29"/>
      <c r="BS618" s="28" t="str">
        <f aca="false">IF(AND(N(BP618)&gt;0,N(BR618)&gt;0),BR618-BP618,"")</f>
        <v/>
      </c>
      <c r="BT618" s="28" t="str">
        <f aca="false">IF(BS618="","",ROUND(BS618/365.25,2))</f>
        <v/>
      </c>
      <c r="BU618" s="28" t="str">
        <f aca="false">IF(BS618="","",IF(BS618&gt;=730.5,"Yes","No"))</f>
        <v/>
      </c>
      <c r="BV618" s="27"/>
      <c r="BW618" s="29"/>
      <c r="BX618" s="27"/>
      <c r="BY618" s="27"/>
      <c r="BZ618" s="28" t="str">
        <f aca="false">IF(N(E618)=0,"",IF(E618&lt;65,"Under 65","≥65"))</f>
        <v/>
      </c>
      <c r="CA618" s="28" t="str">
        <f aca="false">IF(OR(AC618="Yes",AC618="No"),AC618,"")</f>
        <v/>
      </c>
      <c r="CB618" s="28" t="str">
        <f aca="false">IF(OR(AD618="Yes",AD618="No"),AD618,"")</f>
        <v/>
      </c>
      <c r="CC618" s="28" t="str">
        <f aca="false">IF(F618="","",F618)</f>
        <v/>
      </c>
      <c r="CD618" s="27"/>
      <c r="CE618" s="27"/>
    </row>
    <row r="619" customFormat="false" ht="15" hidden="false" customHeight="false" outlineLevel="0" collapsed="false">
      <c r="A619" s="27"/>
      <c r="B619" s="27"/>
      <c r="C619" s="27"/>
      <c r="D619" s="27"/>
      <c r="E619" s="27"/>
      <c r="F619" s="27"/>
      <c r="G619" s="27"/>
      <c r="H619" s="27"/>
      <c r="I619" s="27"/>
      <c r="J619" s="28" t="str">
        <f aca="false">IF(AND(N(H619)&gt;0,N(I619)&gt;0),ROUND(I619/(H619/100)^2,1),"")</f>
        <v/>
      </c>
      <c r="K619" s="27"/>
      <c r="L619" s="27"/>
      <c r="M619" s="27"/>
      <c r="N619" s="27"/>
      <c r="O619" s="27"/>
      <c r="P619" s="27"/>
      <c r="Q619" s="27"/>
      <c r="R619" s="29"/>
      <c r="S619" s="29"/>
      <c r="T619" s="27"/>
      <c r="U619" s="28" t="str">
        <f aca="false">IF(N(T619)=0,"",IF(T619&lt;12,"Under 12 months",IF(T619&lt;36,"12-35 months",IF(T619&lt;60,"36-59 months","≥60 months"))))</f>
        <v/>
      </c>
      <c r="V619" s="27"/>
      <c r="W619" s="30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9"/>
      <c r="AT619" s="30"/>
      <c r="AU619" s="30"/>
      <c r="AV619" s="30"/>
      <c r="AW619" s="27"/>
      <c r="AX619" s="27"/>
      <c r="AY619" s="29"/>
      <c r="AZ619" s="27"/>
      <c r="BA619" s="27"/>
      <c r="BB619" s="29"/>
      <c r="BC619" s="30"/>
      <c r="BD619" s="30"/>
      <c r="BE619" s="30"/>
      <c r="BF619" s="27"/>
      <c r="BG619" s="27"/>
      <c r="BH619" s="28" t="str">
        <f aca="false">IF(COUNT(BC619:BE619)=0,"",IF(MIN(BC619:BE619)&lt;=-2.5,"Yes","No"))</f>
        <v/>
      </c>
      <c r="BI619" s="27"/>
      <c r="BJ619" s="29"/>
      <c r="BK619" s="27"/>
      <c r="BL619" s="27"/>
      <c r="BM619" s="27"/>
      <c r="BN619" s="28" t="str">
        <f aca="false">IF(OR(AX619="Yes",BI619="Yes"),"Yes",IF(AND(AX619="No",BI619="No"),"No",IF(AND(AX619="",BI619=""),"","Unknown")))</f>
        <v/>
      </c>
      <c r="BO619" s="31" t="str">
        <f aca="false">IF(COUNT(AY619,BJ619)=0,"",MIN(AY619,BJ619))</f>
        <v/>
      </c>
      <c r="BP619" s="29"/>
      <c r="BQ619" s="29"/>
      <c r="BR619" s="29"/>
      <c r="BS619" s="28" t="str">
        <f aca="false">IF(AND(N(BP619)&gt;0,N(BR619)&gt;0),BR619-BP619,"")</f>
        <v/>
      </c>
      <c r="BT619" s="28" t="str">
        <f aca="false">IF(BS619="","",ROUND(BS619/365.25,2))</f>
        <v/>
      </c>
      <c r="BU619" s="28" t="str">
        <f aca="false">IF(BS619="","",IF(BS619&gt;=730.5,"Yes","No"))</f>
        <v/>
      </c>
      <c r="BV619" s="27"/>
      <c r="BW619" s="29"/>
      <c r="BX619" s="27"/>
      <c r="BY619" s="27"/>
      <c r="BZ619" s="28" t="str">
        <f aca="false">IF(N(E619)=0,"",IF(E619&lt;65,"Under 65","≥65"))</f>
        <v/>
      </c>
      <c r="CA619" s="28" t="str">
        <f aca="false">IF(OR(AC619="Yes",AC619="No"),AC619,"")</f>
        <v/>
      </c>
      <c r="CB619" s="28" t="str">
        <f aca="false">IF(OR(AD619="Yes",AD619="No"),AD619,"")</f>
        <v/>
      </c>
      <c r="CC619" s="28" t="str">
        <f aca="false">IF(F619="","",F619)</f>
        <v/>
      </c>
      <c r="CD619" s="27"/>
      <c r="CE619" s="27"/>
    </row>
    <row r="620" customFormat="false" ht="15" hidden="false" customHeight="false" outlineLevel="0" collapsed="false">
      <c r="A620" s="27"/>
      <c r="B620" s="27"/>
      <c r="C620" s="27"/>
      <c r="D620" s="27"/>
      <c r="E620" s="27"/>
      <c r="F620" s="27"/>
      <c r="G620" s="27"/>
      <c r="H620" s="27"/>
      <c r="I620" s="27"/>
      <c r="J620" s="28" t="str">
        <f aca="false">IF(AND(N(H620)&gt;0,N(I620)&gt;0),ROUND(I620/(H620/100)^2,1),"")</f>
        <v/>
      </c>
      <c r="K620" s="27"/>
      <c r="L620" s="27"/>
      <c r="M620" s="27"/>
      <c r="N620" s="27"/>
      <c r="O620" s="27"/>
      <c r="P620" s="27"/>
      <c r="Q620" s="27"/>
      <c r="R620" s="29"/>
      <c r="S620" s="29"/>
      <c r="T620" s="27"/>
      <c r="U620" s="28" t="str">
        <f aca="false">IF(N(T620)=0,"",IF(T620&lt;12,"Under 12 months",IF(T620&lt;36,"12-35 months",IF(T620&lt;60,"36-59 months","≥60 months"))))</f>
        <v/>
      </c>
      <c r="V620" s="27"/>
      <c r="W620" s="30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9"/>
      <c r="AT620" s="30"/>
      <c r="AU620" s="30"/>
      <c r="AV620" s="30"/>
      <c r="AW620" s="27"/>
      <c r="AX620" s="27"/>
      <c r="AY620" s="29"/>
      <c r="AZ620" s="27"/>
      <c r="BA620" s="27"/>
      <c r="BB620" s="29"/>
      <c r="BC620" s="30"/>
      <c r="BD620" s="30"/>
      <c r="BE620" s="30"/>
      <c r="BF620" s="27"/>
      <c r="BG620" s="27"/>
      <c r="BH620" s="28" t="str">
        <f aca="false">IF(COUNT(BC620:BE620)=0,"",IF(MIN(BC620:BE620)&lt;=-2.5,"Yes","No"))</f>
        <v/>
      </c>
      <c r="BI620" s="27"/>
      <c r="BJ620" s="29"/>
      <c r="BK620" s="27"/>
      <c r="BL620" s="27"/>
      <c r="BM620" s="27"/>
      <c r="BN620" s="28" t="str">
        <f aca="false">IF(OR(AX620="Yes",BI620="Yes"),"Yes",IF(AND(AX620="No",BI620="No"),"No",IF(AND(AX620="",BI620=""),"","Unknown")))</f>
        <v/>
      </c>
      <c r="BO620" s="31" t="str">
        <f aca="false">IF(COUNT(AY620,BJ620)=0,"",MIN(AY620,BJ620))</f>
        <v/>
      </c>
      <c r="BP620" s="29"/>
      <c r="BQ620" s="29"/>
      <c r="BR620" s="29"/>
      <c r="BS620" s="28" t="str">
        <f aca="false">IF(AND(N(BP620)&gt;0,N(BR620)&gt;0),BR620-BP620,"")</f>
        <v/>
      </c>
      <c r="BT620" s="28" t="str">
        <f aca="false">IF(BS620="","",ROUND(BS620/365.25,2))</f>
        <v/>
      </c>
      <c r="BU620" s="28" t="str">
        <f aca="false">IF(BS620="","",IF(BS620&gt;=730.5,"Yes","No"))</f>
        <v/>
      </c>
      <c r="BV620" s="27"/>
      <c r="BW620" s="29"/>
      <c r="BX620" s="27"/>
      <c r="BY620" s="27"/>
      <c r="BZ620" s="28" t="str">
        <f aca="false">IF(N(E620)=0,"",IF(E620&lt;65,"Under 65","≥65"))</f>
        <v/>
      </c>
      <c r="CA620" s="28" t="str">
        <f aca="false">IF(OR(AC620="Yes",AC620="No"),AC620,"")</f>
        <v/>
      </c>
      <c r="CB620" s="28" t="str">
        <f aca="false">IF(OR(AD620="Yes",AD620="No"),AD620,"")</f>
        <v/>
      </c>
      <c r="CC620" s="28" t="str">
        <f aca="false">IF(F620="","",F620)</f>
        <v/>
      </c>
      <c r="CD620" s="27"/>
      <c r="CE620" s="27"/>
    </row>
    <row r="621" customFormat="false" ht="15" hidden="false" customHeight="false" outlineLevel="0" collapsed="false">
      <c r="A621" s="27"/>
      <c r="B621" s="27"/>
      <c r="C621" s="27"/>
      <c r="D621" s="27"/>
      <c r="E621" s="27"/>
      <c r="F621" s="27"/>
      <c r="G621" s="27"/>
      <c r="H621" s="27"/>
      <c r="I621" s="27"/>
      <c r="J621" s="28" t="str">
        <f aca="false">IF(AND(N(H621)&gt;0,N(I621)&gt;0),ROUND(I621/(H621/100)^2,1),"")</f>
        <v/>
      </c>
      <c r="K621" s="27"/>
      <c r="L621" s="27"/>
      <c r="M621" s="27"/>
      <c r="N621" s="27"/>
      <c r="O621" s="27"/>
      <c r="P621" s="27"/>
      <c r="Q621" s="27"/>
      <c r="R621" s="29"/>
      <c r="S621" s="29"/>
      <c r="T621" s="27"/>
      <c r="U621" s="28" t="str">
        <f aca="false">IF(N(T621)=0,"",IF(T621&lt;12,"Under 12 months",IF(T621&lt;36,"12-35 months",IF(T621&lt;60,"36-59 months","≥60 months"))))</f>
        <v/>
      </c>
      <c r="V621" s="27"/>
      <c r="W621" s="30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9"/>
      <c r="AT621" s="30"/>
      <c r="AU621" s="30"/>
      <c r="AV621" s="30"/>
      <c r="AW621" s="27"/>
      <c r="AX621" s="27"/>
      <c r="AY621" s="29"/>
      <c r="AZ621" s="27"/>
      <c r="BA621" s="27"/>
      <c r="BB621" s="29"/>
      <c r="BC621" s="30"/>
      <c r="BD621" s="30"/>
      <c r="BE621" s="30"/>
      <c r="BF621" s="27"/>
      <c r="BG621" s="27"/>
      <c r="BH621" s="28" t="str">
        <f aca="false">IF(COUNT(BC621:BE621)=0,"",IF(MIN(BC621:BE621)&lt;=-2.5,"Yes","No"))</f>
        <v/>
      </c>
      <c r="BI621" s="27"/>
      <c r="BJ621" s="29"/>
      <c r="BK621" s="27"/>
      <c r="BL621" s="27"/>
      <c r="BM621" s="27"/>
      <c r="BN621" s="28" t="str">
        <f aca="false">IF(OR(AX621="Yes",BI621="Yes"),"Yes",IF(AND(AX621="No",BI621="No"),"No",IF(AND(AX621="",BI621=""),"","Unknown")))</f>
        <v/>
      </c>
      <c r="BO621" s="31" t="str">
        <f aca="false">IF(COUNT(AY621,BJ621)=0,"",MIN(AY621,BJ621))</f>
        <v/>
      </c>
      <c r="BP621" s="29"/>
      <c r="BQ621" s="29"/>
      <c r="BR621" s="29"/>
      <c r="BS621" s="28" t="str">
        <f aca="false">IF(AND(N(BP621)&gt;0,N(BR621)&gt;0),BR621-BP621,"")</f>
        <v/>
      </c>
      <c r="BT621" s="28" t="str">
        <f aca="false">IF(BS621="","",ROUND(BS621/365.25,2))</f>
        <v/>
      </c>
      <c r="BU621" s="28" t="str">
        <f aca="false">IF(BS621="","",IF(BS621&gt;=730.5,"Yes","No"))</f>
        <v/>
      </c>
      <c r="BV621" s="27"/>
      <c r="BW621" s="29"/>
      <c r="BX621" s="27"/>
      <c r="BY621" s="27"/>
      <c r="BZ621" s="28" t="str">
        <f aca="false">IF(N(E621)=0,"",IF(E621&lt;65,"Under 65","≥65"))</f>
        <v/>
      </c>
      <c r="CA621" s="28" t="str">
        <f aca="false">IF(OR(AC621="Yes",AC621="No"),AC621,"")</f>
        <v/>
      </c>
      <c r="CB621" s="28" t="str">
        <f aca="false">IF(OR(AD621="Yes",AD621="No"),AD621,"")</f>
        <v/>
      </c>
      <c r="CC621" s="28" t="str">
        <f aca="false">IF(F621="","",F621)</f>
        <v/>
      </c>
      <c r="CD621" s="27"/>
      <c r="CE621" s="27"/>
    </row>
    <row r="622" customFormat="false" ht="15" hidden="false" customHeight="false" outlineLevel="0" collapsed="false">
      <c r="A622" s="27"/>
      <c r="B622" s="27"/>
      <c r="C622" s="27"/>
      <c r="D622" s="27"/>
      <c r="E622" s="27"/>
      <c r="F622" s="27"/>
      <c r="G622" s="27"/>
      <c r="H622" s="27"/>
      <c r="I622" s="27"/>
      <c r="J622" s="28" t="str">
        <f aca="false">IF(AND(N(H622)&gt;0,N(I622)&gt;0),ROUND(I622/(H622/100)^2,1),"")</f>
        <v/>
      </c>
      <c r="K622" s="27"/>
      <c r="L622" s="27"/>
      <c r="M622" s="27"/>
      <c r="N622" s="27"/>
      <c r="O622" s="27"/>
      <c r="P622" s="27"/>
      <c r="Q622" s="27"/>
      <c r="R622" s="29"/>
      <c r="S622" s="29"/>
      <c r="T622" s="27"/>
      <c r="U622" s="28" t="str">
        <f aca="false">IF(N(T622)=0,"",IF(T622&lt;12,"Under 12 months",IF(T622&lt;36,"12-35 months",IF(T622&lt;60,"36-59 months","≥60 months"))))</f>
        <v/>
      </c>
      <c r="V622" s="27"/>
      <c r="W622" s="30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9"/>
      <c r="AT622" s="30"/>
      <c r="AU622" s="30"/>
      <c r="AV622" s="30"/>
      <c r="AW622" s="27"/>
      <c r="AX622" s="27"/>
      <c r="AY622" s="29"/>
      <c r="AZ622" s="27"/>
      <c r="BA622" s="27"/>
      <c r="BB622" s="29"/>
      <c r="BC622" s="30"/>
      <c r="BD622" s="30"/>
      <c r="BE622" s="30"/>
      <c r="BF622" s="27"/>
      <c r="BG622" s="27"/>
      <c r="BH622" s="28" t="str">
        <f aca="false">IF(COUNT(BC622:BE622)=0,"",IF(MIN(BC622:BE622)&lt;=-2.5,"Yes","No"))</f>
        <v/>
      </c>
      <c r="BI622" s="27"/>
      <c r="BJ622" s="29"/>
      <c r="BK622" s="27"/>
      <c r="BL622" s="27"/>
      <c r="BM622" s="27"/>
      <c r="BN622" s="28" t="str">
        <f aca="false">IF(OR(AX622="Yes",BI622="Yes"),"Yes",IF(AND(AX622="No",BI622="No"),"No",IF(AND(AX622="",BI622=""),"","Unknown")))</f>
        <v/>
      </c>
      <c r="BO622" s="31" t="str">
        <f aca="false">IF(COUNT(AY622,BJ622)=0,"",MIN(AY622,BJ622))</f>
        <v/>
      </c>
      <c r="BP622" s="29"/>
      <c r="BQ622" s="29"/>
      <c r="BR622" s="29"/>
      <c r="BS622" s="28" t="str">
        <f aca="false">IF(AND(N(BP622)&gt;0,N(BR622)&gt;0),BR622-BP622,"")</f>
        <v/>
      </c>
      <c r="BT622" s="28" t="str">
        <f aca="false">IF(BS622="","",ROUND(BS622/365.25,2))</f>
        <v/>
      </c>
      <c r="BU622" s="28" t="str">
        <f aca="false">IF(BS622="","",IF(BS622&gt;=730.5,"Yes","No"))</f>
        <v/>
      </c>
      <c r="BV622" s="27"/>
      <c r="BW622" s="29"/>
      <c r="BX622" s="27"/>
      <c r="BY622" s="27"/>
      <c r="BZ622" s="28" t="str">
        <f aca="false">IF(N(E622)=0,"",IF(E622&lt;65,"Under 65","≥65"))</f>
        <v/>
      </c>
      <c r="CA622" s="28" t="str">
        <f aca="false">IF(OR(AC622="Yes",AC622="No"),AC622,"")</f>
        <v/>
      </c>
      <c r="CB622" s="28" t="str">
        <f aca="false">IF(OR(AD622="Yes",AD622="No"),AD622,"")</f>
        <v/>
      </c>
      <c r="CC622" s="28" t="str">
        <f aca="false">IF(F622="","",F622)</f>
        <v/>
      </c>
      <c r="CD622" s="27"/>
      <c r="CE622" s="27"/>
    </row>
    <row r="623" customFormat="false" ht="15" hidden="false" customHeight="false" outlineLevel="0" collapsed="false">
      <c r="A623" s="27"/>
      <c r="B623" s="27"/>
      <c r="C623" s="27"/>
      <c r="D623" s="27"/>
      <c r="E623" s="27"/>
      <c r="F623" s="27"/>
      <c r="G623" s="27"/>
      <c r="H623" s="27"/>
      <c r="I623" s="27"/>
      <c r="J623" s="28" t="str">
        <f aca="false">IF(AND(N(H623)&gt;0,N(I623)&gt;0),ROUND(I623/(H623/100)^2,1),"")</f>
        <v/>
      </c>
      <c r="K623" s="27"/>
      <c r="L623" s="27"/>
      <c r="M623" s="27"/>
      <c r="N623" s="27"/>
      <c r="O623" s="27"/>
      <c r="P623" s="27"/>
      <c r="Q623" s="27"/>
      <c r="R623" s="29"/>
      <c r="S623" s="29"/>
      <c r="T623" s="27"/>
      <c r="U623" s="28" t="str">
        <f aca="false">IF(N(T623)=0,"",IF(T623&lt;12,"Under 12 months",IF(T623&lt;36,"12-35 months",IF(T623&lt;60,"36-59 months","≥60 months"))))</f>
        <v/>
      </c>
      <c r="V623" s="27"/>
      <c r="W623" s="30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9"/>
      <c r="AT623" s="30"/>
      <c r="AU623" s="30"/>
      <c r="AV623" s="30"/>
      <c r="AW623" s="27"/>
      <c r="AX623" s="27"/>
      <c r="AY623" s="29"/>
      <c r="AZ623" s="27"/>
      <c r="BA623" s="27"/>
      <c r="BB623" s="29"/>
      <c r="BC623" s="30"/>
      <c r="BD623" s="30"/>
      <c r="BE623" s="30"/>
      <c r="BF623" s="27"/>
      <c r="BG623" s="27"/>
      <c r="BH623" s="28" t="str">
        <f aca="false">IF(COUNT(BC623:BE623)=0,"",IF(MIN(BC623:BE623)&lt;=-2.5,"Yes","No"))</f>
        <v/>
      </c>
      <c r="BI623" s="27"/>
      <c r="BJ623" s="29"/>
      <c r="BK623" s="27"/>
      <c r="BL623" s="27"/>
      <c r="BM623" s="27"/>
      <c r="BN623" s="28" t="str">
        <f aca="false">IF(OR(AX623="Yes",BI623="Yes"),"Yes",IF(AND(AX623="No",BI623="No"),"No",IF(AND(AX623="",BI623=""),"","Unknown")))</f>
        <v/>
      </c>
      <c r="BO623" s="31" t="str">
        <f aca="false">IF(COUNT(AY623,BJ623)=0,"",MIN(AY623,BJ623))</f>
        <v/>
      </c>
      <c r="BP623" s="29"/>
      <c r="BQ623" s="29"/>
      <c r="BR623" s="29"/>
      <c r="BS623" s="28" t="str">
        <f aca="false">IF(AND(N(BP623)&gt;0,N(BR623)&gt;0),BR623-BP623,"")</f>
        <v/>
      </c>
      <c r="BT623" s="28" t="str">
        <f aca="false">IF(BS623="","",ROUND(BS623/365.25,2))</f>
        <v/>
      </c>
      <c r="BU623" s="28" t="str">
        <f aca="false">IF(BS623="","",IF(BS623&gt;=730.5,"Yes","No"))</f>
        <v/>
      </c>
      <c r="BV623" s="27"/>
      <c r="BW623" s="29"/>
      <c r="BX623" s="27"/>
      <c r="BY623" s="27"/>
      <c r="BZ623" s="28" t="str">
        <f aca="false">IF(N(E623)=0,"",IF(E623&lt;65,"Under 65","≥65"))</f>
        <v/>
      </c>
      <c r="CA623" s="28" t="str">
        <f aca="false">IF(OR(AC623="Yes",AC623="No"),AC623,"")</f>
        <v/>
      </c>
      <c r="CB623" s="28" t="str">
        <f aca="false">IF(OR(AD623="Yes",AD623="No"),AD623,"")</f>
        <v/>
      </c>
      <c r="CC623" s="28" t="str">
        <f aca="false">IF(F623="","",F623)</f>
        <v/>
      </c>
      <c r="CD623" s="27"/>
      <c r="CE623" s="27"/>
    </row>
    <row r="624" customFormat="false" ht="15" hidden="false" customHeight="false" outlineLevel="0" collapsed="false">
      <c r="A624" s="27"/>
      <c r="B624" s="27"/>
      <c r="C624" s="27"/>
      <c r="D624" s="27"/>
      <c r="E624" s="27"/>
      <c r="F624" s="27"/>
      <c r="G624" s="27"/>
      <c r="H624" s="27"/>
      <c r="I624" s="27"/>
      <c r="J624" s="28" t="str">
        <f aca="false">IF(AND(N(H624)&gt;0,N(I624)&gt;0),ROUND(I624/(H624/100)^2,1),"")</f>
        <v/>
      </c>
      <c r="K624" s="27"/>
      <c r="L624" s="27"/>
      <c r="M624" s="27"/>
      <c r="N624" s="27"/>
      <c r="O624" s="27"/>
      <c r="P624" s="27"/>
      <c r="Q624" s="27"/>
      <c r="R624" s="29"/>
      <c r="S624" s="29"/>
      <c r="T624" s="27"/>
      <c r="U624" s="28" t="str">
        <f aca="false">IF(N(T624)=0,"",IF(T624&lt;12,"Under 12 months",IF(T624&lt;36,"12-35 months",IF(T624&lt;60,"36-59 months","≥60 months"))))</f>
        <v/>
      </c>
      <c r="V624" s="27"/>
      <c r="W624" s="30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9"/>
      <c r="AT624" s="30"/>
      <c r="AU624" s="30"/>
      <c r="AV624" s="30"/>
      <c r="AW624" s="27"/>
      <c r="AX624" s="27"/>
      <c r="AY624" s="29"/>
      <c r="AZ624" s="27"/>
      <c r="BA624" s="27"/>
      <c r="BB624" s="29"/>
      <c r="BC624" s="30"/>
      <c r="BD624" s="30"/>
      <c r="BE624" s="30"/>
      <c r="BF624" s="27"/>
      <c r="BG624" s="27"/>
      <c r="BH624" s="28" t="str">
        <f aca="false">IF(COUNT(BC624:BE624)=0,"",IF(MIN(BC624:BE624)&lt;=-2.5,"Yes","No"))</f>
        <v/>
      </c>
      <c r="BI624" s="27"/>
      <c r="BJ624" s="29"/>
      <c r="BK624" s="27"/>
      <c r="BL624" s="27"/>
      <c r="BM624" s="27"/>
      <c r="BN624" s="28" t="str">
        <f aca="false">IF(OR(AX624="Yes",BI624="Yes"),"Yes",IF(AND(AX624="No",BI624="No"),"No",IF(AND(AX624="",BI624=""),"","Unknown")))</f>
        <v/>
      </c>
      <c r="BO624" s="31" t="str">
        <f aca="false">IF(COUNT(AY624,BJ624)=0,"",MIN(AY624,BJ624))</f>
        <v/>
      </c>
      <c r="BP624" s="29"/>
      <c r="BQ624" s="29"/>
      <c r="BR624" s="29"/>
      <c r="BS624" s="28" t="str">
        <f aca="false">IF(AND(N(BP624)&gt;0,N(BR624)&gt;0),BR624-BP624,"")</f>
        <v/>
      </c>
      <c r="BT624" s="28" t="str">
        <f aca="false">IF(BS624="","",ROUND(BS624/365.25,2))</f>
        <v/>
      </c>
      <c r="BU624" s="28" t="str">
        <f aca="false">IF(BS624="","",IF(BS624&gt;=730.5,"Yes","No"))</f>
        <v/>
      </c>
      <c r="BV624" s="27"/>
      <c r="BW624" s="29"/>
      <c r="BX624" s="27"/>
      <c r="BY624" s="27"/>
      <c r="BZ624" s="28" t="str">
        <f aca="false">IF(N(E624)=0,"",IF(E624&lt;65,"Under 65","≥65"))</f>
        <v/>
      </c>
      <c r="CA624" s="28" t="str">
        <f aca="false">IF(OR(AC624="Yes",AC624="No"),AC624,"")</f>
        <v/>
      </c>
      <c r="CB624" s="28" t="str">
        <f aca="false">IF(OR(AD624="Yes",AD624="No"),AD624,"")</f>
        <v/>
      </c>
      <c r="CC624" s="28" t="str">
        <f aca="false">IF(F624="","",F624)</f>
        <v/>
      </c>
      <c r="CD624" s="27"/>
      <c r="CE624" s="27"/>
    </row>
    <row r="625" customFormat="false" ht="15" hidden="false" customHeight="false" outlineLevel="0" collapsed="false">
      <c r="A625" s="27"/>
      <c r="B625" s="27"/>
      <c r="C625" s="27"/>
      <c r="D625" s="27"/>
      <c r="E625" s="27"/>
      <c r="F625" s="27"/>
      <c r="G625" s="27"/>
      <c r="H625" s="27"/>
      <c r="I625" s="27"/>
      <c r="J625" s="28" t="str">
        <f aca="false">IF(AND(N(H625)&gt;0,N(I625)&gt;0),ROUND(I625/(H625/100)^2,1),"")</f>
        <v/>
      </c>
      <c r="K625" s="27"/>
      <c r="L625" s="27"/>
      <c r="M625" s="27"/>
      <c r="N625" s="27"/>
      <c r="O625" s="27"/>
      <c r="P625" s="27"/>
      <c r="Q625" s="27"/>
      <c r="R625" s="29"/>
      <c r="S625" s="29"/>
      <c r="T625" s="27"/>
      <c r="U625" s="28" t="str">
        <f aca="false">IF(N(T625)=0,"",IF(T625&lt;12,"Under 12 months",IF(T625&lt;36,"12-35 months",IF(T625&lt;60,"36-59 months","≥60 months"))))</f>
        <v/>
      </c>
      <c r="V625" s="27"/>
      <c r="W625" s="30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9"/>
      <c r="AT625" s="30"/>
      <c r="AU625" s="30"/>
      <c r="AV625" s="30"/>
      <c r="AW625" s="27"/>
      <c r="AX625" s="27"/>
      <c r="AY625" s="29"/>
      <c r="AZ625" s="27"/>
      <c r="BA625" s="27"/>
      <c r="BB625" s="29"/>
      <c r="BC625" s="30"/>
      <c r="BD625" s="30"/>
      <c r="BE625" s="30"/>
      <c r="BF625" s="27"/>
      <c r="BG625" s="27"/>
      <c r="BH625" s="28" t="str">
        <f aca="false">IF(COUNT(BC625:BE625)=0,"",IF(MIN(BC625:BE625)&lt;=-2.5,"Yes","No"))</f>
        <v/>
      </c>
      <c r="BI625" s="27"/>
      <c r="BJ625" s="29"/>
      <c r="BK625" s="27"/>
      <c r="BL625" s="27"/>
      <c r="BM625" s="27"/>
      <c r="BN625" s="28" t="str">
        <f aca="false">IF(OR(AX625="Yes",BI625="Yes"),"Yes",IF(AND(AX625="No",BI625="No"),"No",IF(AND(AX625="",BI625=""),"","Unknown")))</f>
        <v/>
      </c>
      <c r="BO625" s="31" t="str">
        <f aca="false">IF(COUNT(AY625,BJ625)=0,"",MIN(AY625,BJ625))</f>
        <v/>
      </c>
      <c r="BP625" s="29"/>
      <c r="BQ625" s="29"/>
      <c r="BR625" s="29"/>
      <c r="BS625" s="28" t="str">
        <f aca="false">IF(AND(N(BP625)&gt;0,N(BR625)&gt;0),BR625-BP625,"")</f>
        <v/>
      </c>
      <c r="BT625" s="28" t="str">
        <f aca="false">IF(BS625="","",ROUND(BS625/365.25,2))</f>
        <v/>
      </c>
      <c r="BU625" s="28" t="str">
        <f aca="false">IF(BS625="","",IF(BS625&gt;=730.5,"Yes","No"))</f>
        <v/>
      </c>
      <c r="BV625" s="27"/>
      <c r="BW625" s="29"/>
      <c r="BX625" s="27"/>
      <c r="BY625" s="27"/>
      <c r="BZ625" s="28" t="str">
        <f aca="false">IF(N(E625)=0,"",IF(E625&lt;65,"Under 65","≥65"))</f>
        <v/>
      </c>
      <c r="CA625" s="28" t="str">
        <f aca="false">IF(OR(AC625="Yes",AC625="No"),AC625,"")</f>
        <v/>
      </c>
      <c r="CB625" s="28" t="str">
        <f aca="false">IF(OR(AD625="Yes",AD625="No"),AD625,"")</f>
        <v/>
      </c>
      <c r="CC625" s="28" t="str">
        <f aca="false">IF(F625="","",F625)</f>
        <v/>
      </c>
      <c r="CD625" s="27"/>
      <c r="CE625" s="27"/>
    </row>
    <row r="626" customFormat="false" ht="15" hidden="false" customHeight="false" outlineLevel="0" collapsed="false">
      <c r="A626" s="27"/>
      <c r="B626" s="27"/>
      <c r="C626" s="27"/>
      <c r="D626" s="27"/>
      <c r="E626" s="27"/>
      <c r="F626" s="27"/>
      <c r="G626" s="27"/>
      <c r="H626" s="27"/>
      <c r="I626" s="27"/>
      <c r="J626" s="28" t="str">
        <f aca="false">IF(AND(N(H626)&gt;0,N(I626)&gt;0),ROUND(I626/(H626/100)^2,1),"")</f>
        <v/>
      </c>
      <c r="K626" s="27"/>
      <c r="L626" s="27"/>
      <c r="M626" s="27"/>
      <c r="N626" s="27"/>
      <c r="O626" s="27"/>
      <c r="P626" s="27"/>
      <c r="Q626" s="27"/>
      <c r="R626" s="29"/>
      <c r="S626" s="29"/>
      <c r="T626" s="27"/>
      <c r="U626" s="28" t="str">
        <f aca="false">IF(N(T626)=0,"",IF(T626&lt;12,"Under 12 months",IF(T626&lt;36,"12-35 months",IF(T626&lt;60,"36-59 months","≥60 months"))))</f>
        <v/>
      </c>
      <c r="V626" s="27"/>
      <c r="W626" s="30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9"/>
      <c r="AT626" s="30"/>
      <c r="AU626" s="30"/>
      <c r="AV626" s="30"/>
      <c r="AW626" s="27"/>
      <c r="AX626" s="27"/>
      <c r="AY626" s="29"/>
      <c r="AZ626" s="27"/>
      <c r="BA626" s="27"/>
      <c r="BB626" s="29"/>
      <c r="BC626" s="30"/>
      <c r="BD626" s="30"/>
      <c r="BE626" s="30"/>
      <c r="BF626" s="27"/>
      <c r="BG626" s="27"/>
      <c r="BH626" s="28" t="str">
        <f aca="false">IF(COUNT(BC626:BE626)=0,"",IF(MIN(BC626:BE626)&lt;=-2.5,"Yes","No"))</f>
        <v/>
      </c>
      <c r="BI626" s="27"/>
      <c r="BJ626" s="29"/>
      <c r="BK626" s="27"/>
      <c r="BL626" s="27"/>
      <c r="BM626" s="27"/>
      <c r="BN626" s="28" t="str">
        <f aca="false">IF(OR(AX626="Yes",BI626="Yes"),"Yes",IF(AND(AX626="No",BI626="No"),"No",IF(AND(AX626="",BI626=""),"","Unknown")))</f>
        <v/>
      </c>
      <c r="BO626" s="31" t="str">
        <f aca="false">IF(COUNT(AY626,BJ626)=0,"",MIN(AY626,BJ626))</f>
        <v/>
      </c>
      <c r="BP626" s="29"/>
      <c r="BQ626" s="29"/>
      <c r="BR626" s="29"/>
      <c r="BS626" s="28" t="str">
        <f aca="false">IF(AND(N(BP626)&gt;0,N(BR626)&gt;0),BR626-BP626,"")</f>
        <v/>
      </c>
      <c r="BT626" s="28" t="str">
        <f aca="false">IF(BS626="","",ROUND(BS626/365.25,2))</f>
        <v/>
      </c>
      <c r="BU626" s="28" t="str">
        <f aca="false">IF(BS626="","",IF(BS626&gt;=730.5,"Yes","No"))</f>
        <v/>
      </c>
      <c r="BV626" s="27"/>
      <c r="BW626" s="29"/>
      <c r="BX626" s="27"/>
      <c r="BY626" s="27"/>
      <c r="BZ626" s="28" t="str">
        <f aca="false">IF(N(E626)=0,"",IF(E626&lt;65,"Under 65","≥65"))</f>
        <v/>
      </c>
      <c r="CA626" s="28" t="str">
        <f aca="false">IF(OR(AC626="Yes",AC626="No"),AC626,"")</f>
        <v/>
      </c>
      <c r="CB626" s="28" t="str">
        <f aca="false">IF(OR(AD626="Yes",AD626="No"),AD626,"")</f>
        <v/>
      </c>
      <c r="CC626" s="28" t="str">
        <f aca="false">IF(F626="","",F626)</f>
        <v/>
      </c>
      <c r="CD626" s="27"/>
      <c r="CE626" s="27"/>
    </row>
    <row r="627" customFormat="false" ht="15" hidden="false" customHeight="false" outlineLevel="0" collapsed="false">
      <c r="A627" s="27"/>
      <c r="B627" s="27"/>
      <c r="C627" s="27"/>
      <c r="D627" s="27"/>
      <c r="E627" s="27"/>
      <c r="F627" s="27"/>
      <c r="G627" s="27"/>
      <c r="H627" s="27"/>
      <c r="I627" s="27"/>
      <c r="J627" s="28" t="str">
        <f aca="false">IF(AND(N(H627)&gt;0,N(I627)&gt;0),ROUND(I627/(H627/100)^2,1),"")</f>
        <v/>
      </c>
      <c r="K627" s="27"/>
      <c r="L627" s="27"/>
      <c r="M627" s="27"/>
      <c r="N627" s="27"/>
      <c r="O627" s="27"/>
      <c r="P627" s="27"/>
      <c r="Q627" s="27"/>
      <c r="R627" s="29"/>
      <c r="S627" s="29"/>
      <c r="T627" s="27"/>
      <c r="U627" s="28" t="str">
        <f aca="false">IF(N(T627)=0,"",IF(T627&lt;12,"Under 12 months",IF(T627&lt;36,"12-35 months",IF(T627&lt;60,"36-59 months","≥60 months"))))</f>
        <v/>
      </c>
      <c r="V627" s="27"/>
      <c r="W627" s="30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9"/>
      <c r="AT627" s="30"/>
      <c r="AU627" s="30"/>
      <c r="AV627" s="30"/>
      <c r="AW627" s="27"/>
      <c r="AX627" s="27"/>
      <c r="AY627" s="29"/>
      <c r="AZ627" s="27"/>
      <c r="BA627" s="27"/>
      <c r="BB627" s="29"/>
      <c r="BC627" s="30"/>
      <c r="BD627" s="30"/>
      <c r="BE627" s="30"/>
      <c r="BF627" s="27"/>
      <c r="BG627" s="27"/>
      <c r="BH627" s="28" t="str">
        <f aca="false">IF(COUNT(BC627:BE627)=0,"",IF(MIN(BC627:BE627)&lt;=-2.5,"Yes","No"))</f>
        <v/>
      </c>
      <c r="BI627" s="27"/>
      <c r="BJ627" s="29"/>
      <c r="BK627" s="27"/>
      <c r="BL627" s="27"/>
      <c r="BM627" s="27"/>
      <c r="BN627" s="28" t="str">
        <f aca="false">IF(OR(AX627="Yes",BI627="Yes"),"Yes",IF(AND(AX627="No",BI627="No"),"No",IF(AND(AX627="",BI627=""),"","Unknown")))</f>
        <v/>
      </c>
      <c r="BO627" s="31" t="str">
        <f aca="false">IF(COUNT(AY627,BJ627)=0,"",MIN(AY627,BJ627))</f>
        <v/>
      </c>
      <c r="BP627" s="29"/>
      <c r="BQ627" s="29"/>
      <c r="BR627" s="29"/>
      <c r="BS627" s="28" t="str">
        <f aca="false">IF(AND(N(BP627)&gt;0,N(BR627)&gt;0),BR627-BP627,"")</f>
        <v/>
      </c>
      <c r="BT627" s="28" t="str">
        <f aca="false">IF(BS627="","",ROUND(BS627/365.25,2))</f>
        <v/>
      </c>
      <c r="BU627" s="28" t="str">
        <f aca="false">IF(BS627="","",IF(BS627&gt;=730.5,"Yes","No"))</f>
        <v/>
      </c>
      <c r="BV627" s="27"/>
      <c r="BW627" s="29"/>
      <c r="BX627" s="27"/>
      <c r="BY627" s="27"/>
      <c r="BZ627" s="28" t="str">
        <f aca="false">IF(N(E627)=0,"",IF(E627&lt;65,"Under 65","≥65"))</f>
        <v/>
      </c>
      <c r="CA627" s="28" t="str">
        <f aca="false">IF(OR(AC627="Yes",AC627="No"),AC627,"")</f>
        <v/>
      </c>
      <c r="CB627" s="28" t="str">
        <f aca="false">IF(OR(AD627="Yes",AD627="No"),AD627,"")</f>
        <v/>
      </c>
      <c r="CC627" s="28" t="str">
        <f aca="false">IF(F627="","",F627)</f>
        <v/>
      </c>
      <c r="CD627" s="27"/>
      <c r="CE627" s="27"/>
    </row>
    <row r="628" customFormat="false" ht="15" hidden="false" customHeight="false" outlineLevel="0" collapsed="false">
      <c r="A628" s="27"/>
      <c r="B628" s="27"/>
      <c r="C628" s="27"/>
      <c r="D628" s="27"/>
      <c r="E628" s="27"/>
      <c r="F628" s="27"/>
      <c r="G628" s="27"/>
      <c r="H628" s="27"/>
      <c r="I628" s="27"/>
      <c r="J628" s="28" t="str">
        <f aca="false">IF(AND(N(H628)&gt;0,N(I628)&gt;0),ROUND(I628/(H628/100)^2,1),"")</f>
        <v/>
      </c>
      <c r="K628" s="27"/>
      <c r="L628" s="27"/>
      <c r="M628" s="27"/>
      <c r="N628" s="27"/>
      <c r="O628" s="27"/>
      <c r="P628" s="27"/>
      <c r="Q628" s="27"/>
      <c r="R628" s="29"/>
      <c r="S628" s="29"/>
      <c r="T628" s="27"/>
      <c r="U628" s="28" t="str">
        <f aca="false">IF(N(T628)=0,"",IF(T628&lt;12,"Under 12 months",IF(T628&lt;36,"12-35 months",IF(T628&lt;60,"36-59 months","≥60 months"))))</f>
        <v/>
      </c>
      <c r="V628" s="27"/>
      <c r="W628" s="30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9"/>
      <c r="AT628" s="30"/>
      <c r="AU628" s="30"/>
      <c r="AV628" s="30"/>
      <c r="AW628" s="27"/>
      <c r="AX628" s="27"/>
      <c r="AY628" s="29"/>
      <c r="AZ628" s="27"/>
      <c r="BA628" s="27"/>
      <c r="BB628" s="29"/>
      <c r="BC628" s="30"/>
      <c r="BD628" s="30"/>
      <c r="BE628" s="30"/>
      <c r="BF628" s="27"/>
      <c r="BG628" s="27"/>
      <c r="BH628" s="28" t="str">
        <f aca="false">IF(COUNT(BC628:BE628)=0,"",IF(MIN(BC628:BE628)&lt;=-2.5,"Yes","No"))</f>
        <v/>
      </c>
      <c r="BI628" s="27"/>
      <c r="BJ628" s="29"/>
      <c r="BK628" s="27"/>
      <c r="BL628" s="27"/>
      <c r="BM628" s="27"/>
      <c r="BN628" s="28" t="str">
        <f aca="false">IF(OR(AX628="Yes",BI628="Yes"),"Yes",IF(AND(AX628="No",BI628="No"),"No",IF(AND(AX628="",BI628=""),"","Unknown")))</f>
        <v/>
      </c>
      <c r="BO628" s="31" t="str">
        <f aca="false">IF(COUNT(AY628,BJ628)=0,"",MIN(AY628,BJ628))</f>
        <v/>
      </c>
      <c r="BP628" s="29"/>
      <c r="BQ628" s="29"/>
      <c r="BR628" s="29"/>
      <c r="BS628" s="28" t="str">
        <f aca="false">IF(AND(N(BP628)&gt;0,N(BR628)&gt;0),BR628-BP628,"")</f>
        <v/>
      </c>
      <c r="BT628" s="28" t="str">
        <f aca="false">IF(BS628="","",ROUND(BS628/365.25,2))</f>
        <v/>
      </c>
      <c r="BU628" s="28" t="str">
        <f aca="false">IF(BS628="","",IF(BS628&gt;=730.5,"Yes","No"))</f>
        <v/>
      </c>
      <c r="BV628" s="27"/>
      <c r="BW628" s="29"/>
      <c r="BX628" s="27"/>
      <c r="BY628" s="27"/>
      <c r="BZ628" s="28" t="str">
        <f aca="false">IF(N(E628)=0,"",IF(E628&lt;65,"Under 65","≥65"))</f>
        <v/>
      </c>
      <c r="CA628" s="28" t="str">
        <f aca="false">IF(OR(AC628="Yes",AC628="No"),AC628,"")</f>
        <v/>
      </c>
      <c r="CB628" s="28" t="str">
        <f aca="false">IF(OR(AD628="Yes",AD628="No"),AD628,"")</f>
        <v/>
      </c>
      <c r="CC628" s="28" t="str">
        <f aca="false">IF(F628="","",F628)</f>
        <v/>
      </c>
      <c r="CD628" s="27"/>
      <c r="CE628" s="27"/>
    </row>
    <row r="629" customFormat="false" ht="15" hidden="false" customHeight="false" outlineLevel="0" collapsed="false">
      <c r="A629" s="27"/>
      <c r="B629" s="27"/>
      <c r="C629" s="27"/>
      <c r="D629" s="27"/>
      <c r="E629" s="27"/>
      <c r="F629" s="27"/>
      <c r="G629" s="27"/>
      <c r="H629" s="27"/>
      <c r="I629" s="27"/>
      <c r="J629" s="28" t="str">
        <f aca="false">IF(AND(N(H629)&gt;0,N(I629)&gt;0),ROUND(I629/(H629/100)^2,1),"")</f>
        <v/>
      </c>
      <c r="K629" s="27"/>
      <c r="L629" s="27"/>
      <c r="M629" s="27"/>
      <c r="N629" s="27"/>
      <c r="O629" s="27"/>
      <c r="P629" s="27"/>
      <c r="Q629" s="27"/>
      <c r="R629" s="29"/>
      <c r="S629" s="29"/>
      <c r="T629" s="27"/>
      <c r="U629" s="28" t="str">
        <f aca="false">IF(N(T629)=0,"",IF(T629&lt;12,"Under 12 months",IF(T629&lt;36,"12-35 months",IF(T629&lt;60,"36-59 months","≥60 months"))))</f>
        <v/>
      </c>
      <c r="V629" s="27"/>
      <c r="W629" s="30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9"/>
      <c r="AT629" s="30"/>
      <c r="AU629" s="30"/>
      <c r="AV629" s="30"/>
      <c r="AW629" s="27"/>
      <c r="AX629" s="27"/>
      <c r="AY629" s="29"/>
      <c r="AZ629" s="27"/>
      <c r="BA629" s="27"/>
      <c r="BB629" s="29"/>
      <c r="BC629" s="30"/>
      <c r="BD629" s="30"/>
      <c r="BE629" s="30"/>
      <c r="BF629" s="27"/>
      <c r="BG629" s="27"/>
      <c r="BH629" s="28" t="str">
        <f aca="false">IF(COUNT(BC629:BE629)=0,"",IF(MIN(BC629:BE629)&lt;=-2.5,"Yes","No"))</f>
        <v/>
      </c>
      <c r="BI629" s="27"/>
      <c r="BJ629" s="29"/>
      <c r="BK629" s="27"/>
      <c r="BL629" s="27"/>
      <c r="BM629" s="27"/>
      <c r="BN629" s="28" t="str">
        <f aca="false">IF(OR(AX629="Yes",BI629="Yes"),"Yes",IF(AND(AX629="No",BI629="No"),"No",IF(AND(AX629="",BI629=""),"","Unknown")))</f>
        <v/>
      </c>
      <c r="BO629" s="31" t="str">
        <f aca="false">IF(COUNT(AY629,BJ629)=0,"",MIN(AY629,BJ629))</f>
        <v/>
      </c>
      <c r="BP629" s="29"/>
      <c r="BQ629" s="29"/>
      <c r="BR629" s="29"/>
      <c r="BS629" s="28" t="str">
        <f aca="false">IF(AND(N(BP629)&gt;0,N(BR629)&gt;0),BR629-BP629,"")</f>
        <v/>
      </c>
      <c r="BT629" s="28" t="str">
        <f aca="false">IF(BS629="","",ROUND(BS629/365.25,2))</f>
        <v/>
      </c>
      <c r="BU629" s="28" t="str">
        <f aca="false">IF(BS629="","",IF(BS629&gt;=730.5,"Yes","No"))</f>
        <v/>
      </c>
      <c r="BV629" s="27"/>
      <c r="BW629" s="29"/>
      <c r="BX629" s="27"/>
      <c r="BY629" s="27"/>
      <c r="BZ629" s="28" t="str">
        <f aca="false">IF(N(E629)=0,"",IF(E629&lt;65,"Under 65","≥65"))</f>
        <v/>
      </c>
      <c r="CA629" s="28" t="str">
        <f aca="false">IF(OR(AC629="Yes",AC629="No"),AC629,"")</f>
        <v/>
      </c>
      <c r="CB629" s="28" t="str">
        <f aca="false">IF(OR(AD629="Yes",AD629="No"),AD629,"")</f>
        <v/>
      </c>
      <c r="CC629" s="28" t="str">
        <f aca="false">IF(F629="","",F629)</f>
        <v/>
      </c>
      <c r="CD629" s="27"/>
      <c r="CE629" s="27"/>
    </row>
    <row r="630" customFormat="false" ht="15" hidden="false" customHeight="false" outlineLevel="0" collapsed="false">
      <c r="A630" s="27"/>
      <c r="B630" s="27"/>
      <c r="C630" s="27"/>
      <c r="D630" s="27"/>
      <c r="E630" s="27"/>
      <c r="F630" s="27"/>
      <c r="G630" s="27"/>
      <c r="H630" s="27"/>
      <c r="I630" s="27"/>
      <c r="J630" s="28" t="str">
        <f aca="false">IF(AND(N(H630)&gt;0,N(I630)&gt;0),ROUND(I630/(H630/100)^2,1),"")</f>
        <v/>
      </c>
      <c r="K630" s="27"/>
      <c r="L630" s="27"/>
      <c r="M630" s="27"/>
      <c r="N630" s="27"/>
      <c r="O630" s="27"/>
      <c r="P630" s="27"/>
      <c r="Q630" s="27"/>
      <c r="R630" s="29"/>
      <c r="S630" s="29"/>
      <c r="T630" s="27"/>
      <c r="U630" s="28" t="str">
        <f aca="false">IF(N(T630)=0,"",IF(T630&lt;12,"Under 12 months",IF(T630&lt;36,"12-35 months",IF(T630&lt;60,"36-59 months","≥60 months"))))</f>
        <v/>
      </c>
      <c r="V630" s="27"/>
      <c r="W630" s="30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9"/>
      <c r="AT630" s="30"/>
      <c r="AU630" s="30"/>
      <c r="AV630" s="30"/>
      <c r="AW630" s="27"/>
      <c r="AX630" s="27"/>
      <c r="AY630" s="29"/>
      <c r="AZ630" s="27"/>
      <c r="BA630" s="27"/>
      <c r="BB630" s="29"/>
      <c r="BC630" s="30"/>
      <c r="BD630" s="30"/>
      <c r="BE630" s="30"/>
      <c r="BF630" s="27"/>
      <c r="BG630" s="27"/>
      <c r="BH630" s="28" t="str">
        <f aca="false">IF(COUNT(BC630:BE630)=0,"",IF(MIN(BC630:BE630)&lt;=-2.5,"Yes","No"))</f>
        <v/>
      </c>
      <c r="BI630" s="27"/>
      <c r="BJ630" s="29"/>
      <c r="BK630" s="27"/>
      <c r="BL630" s="27"/>
      <c r="BM630" s="27"/>
      <c r="BN630" s="28" t="str">
        <f aca="false">IF(OR(AX630="Yes",BI630="Yes"),"Yes",IF(AND(AX630="No",BI630="No"),"No",IF(AND(AX630="",BI630=""),"","Unknown")))</f>
        <v/>
      </c>
      <c r="BO630" s="31" t="str">
        <f aca="false">IF(COUNT(AY630,BJ630)=0,"",MIN(AY630,BJ630))</f>
        <v/>
      </c>
      <c r="BP630" s="29"/>
      <c r="BQ630" s="29"/>
      <c r="BR630" s="29"/>
      <c r="BS630" s="28" t="str">
        <f aca="false">IF(AND(N(BP630)&gt;0,N(BR630)&gt;0),BR630-BP630,"")</f>
        <v/>
      </c>
      <c r="BT630" s="28" t="str">
        <f aca="false">IF(BS630="","",ROUND(BS630/365.25,2))</f>
        <v/>
      </c>
      <c r="BU630" s="28" t="str">
        <f aca="false">IF(BS630="","",IF(BS630&gt;=730.5,"Yes","No"))</f>
        <v/>
      </c>
      <c r="BV630" s="27"/>
      <c r="BW630" s="29"/>
      <c r="BX630" s="27"/>
      <c r="BY630" s="27"/>
      <c r="BZ630" s="28" t="str">
        <f aca="false">IF(N(E630)=0,"",IF(E630&lt;65,"Under 65","≥65"))</f>
        <v/>
      </c>
      <c r="CA630" s="28" t="str">
        <f aca="false">IF(OR(AC630="Yes",AC630="No"),AC630,"")</f>
        <v/>
      </c>
      <c r="CB630" s="28" t="str">
        <f aca="false">IF(OR(AD630="Yes",AD630="No"),AD630,"")</f>
        <v/>
      </c>
      <c r="CC630" s="28" t="str">
        <f aca="false">IF(F630="","",F630)</f>
        <v/>
      </c>
      <c r="CD630" s="27"/>
      <c r="CE630" s="27"/>
    </row>
    <row r="631" customFormat="false" ht="15" hidden="false" customHeight="false" outlineLevel="0" collapsed="false">
      <c r="A631" s="27"/>
      <c r="B631" s="27"/>
      <c r="C631" s="27"/>
      <c r="D631" s="27"/>
      <c r="E631" s="27"/>
      <c r="F631" s="27"/>
      <c r="G631" s="27"/>
      <c r="H631" s="27"/>
      <c r="I631" s="27"/>
      <c r="J631" s="28" t="str">
        <f aca="false">IF(AND(N(H631)&gt;0,N(I631)&gt;0),ROUND(I631/(H631/100)^2,1),"")</f>
        <v/>
      </c>
      <c r="K631" s="27"/>
      <c r="L631" s="27"/>
      <c r="M631" s="27"/>
      <c r="N631" s="27"/>
      <c r="O631" s="27"/>
      <c r="P631" s="27"/>
      <c r="Q631" s="27"/>
      <c r="R631" s="29"/>
      <c r="S631" s="29"/>
      <c r="T631" s="27"/>
      <c r="U631" s="28" t="str">
        <f aca="false">IF(N(T631)=0,"",IF(T631&lt;12,"Under 12 months",IF(T631&lt;36,"12-35 months",IF(T631&lt;60,"36-59 months","≥60 months"))))</f>
        <v/>
      </c>
      <c r="V631" s="27"/>
      <c r="W631" s="30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9"/>
      <c r="AT631" s="30"/>
      <c r="AU631" s="30"/>
      <c r="AV631" s="30"/>
      <c r="AW631" s="27"/>
      <c r="AX631" s="27"/>
      <c r="AY631" s="29"/>
      <c r="AZ631" s="27"/>
      <c r="BA631" s="27"/>
      <c r="BB631" s="29"/>
      <c r="BC631" s="30"/>
      <c r="BD631" s="30"/>
      <c r="BE631" s="30"/>
      <c r="BF631" s="27"/>
      <c r="BG631" s="27"/>
      <c r="BH631" s="28" t="str">
        <f aca="false">IF(COUNT(BC631:BE631)=0,"",IF(MIN(BC631:BE631)&lt;=-2.5,"Yes","No"))</f>
        <v/>
      </c>
      <c r="BI631" s="27"/>
      <c r="BJ631" s="29"/>
      <c r="BK631" s="27"/>
      <c r="BL631" s="27"/>
      <c r="BM631" s="27"/>
      <c r="BN631" s="28" t="str">
        <f aca="false">IF(OR(AX631="Yes",BI631="Yes"),"Yes",IF(AND(AX631="No",BI631="No"),"No",IF(AND(AX631="",BI631=""),"","Unknown")))</f>
        <v/>
      </c>
      <c r="BO631" s="31" t="str">
        <f aca="false">IF(COUNT(AY631,BJ631)=0,"",MIN(AY631,BJ631))</f>
        <v/>
      </c>
      <c r="BP631" s="29"/>
      <c r="BQ631" s="29"/>
      <c r="BR631" s="29"/>
      <c r="BS631" s="28" t="str">
        <f aca="false">IF(AND(N(BP631)&gt;0,N(BR631)&gt;0),BR631-BP631,"")</f>
        <v/>
      </c>
      <c r="BT631" s="28" t="str">
        <f aca="false">IF(BS631="","",ROUND(BS631/365.25,2))</f>
        <v/>
      </c>
      <c r="BU631" s="28" t="str">
        <f aca="false">IF(BS631="","",IF(BS631&gt;=730.5,"Yes","No"))</f>
        <v/>
      </c>
      <c r="BV631" s="27"/>
      <c r="BW631" s="29"/>
      <c r="BX631" s="27"/>
      <c r="BY631" s="27"/>
      <c r="BZ631" s="28" t="str">
        <f aca="false">IF(N(E631)=0,"",IF(E631&lt;65,"Under 65","≥65"))</f>
        <v/>
      </c>
      <c r="CA631" s="28" t="str">
        <f aca="false">IF(OR(AC631="Yes",AC631="No"),AC631,"")</f>
        <v/>
      </c>
      <c r="CB631" s="28" t="str">
        <f aca="false">IF(OR(AD631="Yes",AD631="No"),AD631,"")</f>
        <v/>
      </c>
      <c r="CC631" s="28" t="str">
        <f aca="false">IF(F631="","",F631)</f>
        <v/>
      </c>
      <c r="CD631" s="27"/>
      <c r="CE631" s="27"/>
    </row>
    <row r="632" customFormat="false" ht="15" hidden="false" customHeight="false" outlineLevel="0" collapsed="false">
      <c r="A632" s="27"/>
      <c r="B632" s="27"/>
      <c r="C632" s="27"/>
      <c r="D632" s="27"/>
      <c r="E632" s="27"/>
      <c r="F632" s="27"/>
      <c r="G632" s="27"/>
      <c r="H632" s="27"/>
      <c r="I632" s="27"/>
      <c r="J632" s="28" t="str">
        <f aca="false">IF(AND(N(H632)&gt;0,N(I632)&gt;0),ROUND(I632/(H632/100)^2,1),"")</f>
        <v/>
      </c>
      <c r="K632" s="27"/>
      <c r="L632" s="27"/>
      <c r="M632" s="27"/>
      <c r="N632" s="27"/>
      <c r="O632" s="27"/>
      <c r="P632" s="27"/>
      <c r="Q632" s="27"/>
      <c r="R632" s="29"/>
      <c r="S632" s="29"/>
      <c r="T632" s="27"/>
      <c r="U632" s="28" t="str">
        <f aca="false">IF(N(T632)=0,"",IF(T632&lt;12,"Under 12 months",IF(T632&lt;36,"12-35 months",IF(T632&lt;60,"36-59 months","≥60 months"))))</f>
        <v/>
      </c>
      <c r="V632" s="27"/>
      <c r="W632" s="30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9"/>
      <c r="AT632" s="30"/>
      <c r="AU632" s="30"/>
      <c r="AV632" s="30"/>
      <c r="AW632" s="27"/>
      <c r="AX632" s="27"/>
      <c r="AY632" s="29"/>
      <c r="AZ632" s="27"/>
      <c r="BA632" s="27"/>
      <c r="BB632" s="29"/>
      <c r="BC632" s="30"/>
      <c r="BD632" s="30"/>
      <c r="BE632" s="30"/>
      <c r="BF632" s="27"/>
      <c r="BG632" s="27"/>
      <c r="BH632" s="28" t="str">
        <f aca="false">IF(COUNT(BC632:BE632)=0,"",IF(MIN(BC632:BE632)&lt;=-2.5,"Yes","No"))</f>
        <v/>
      </c>
      <c r="BI632" s="27"/>
      <c r="BJ632" s="29"/>
      <c r="BK632" s="27"/>
      <c r="BL632" s="27"/>
      <c r="BM632" s="27"/>
      <c r="BN632" s="28" t="str">
        <f aca="false">IF(OR(AX632="Yes",BI632="Yes"),"Yes",IF(AND(AX632="No",BI632="No"),"No",IF(AND(AX632="",BI632=""),"","Unknown")))</f>
        <v/>
      </c>
      <c r="BO632" s="31" t="str">
        <f aca="false">IF(COUNT(AY632,BJ632)=0,"",MIN(AY632,BJ632))</f>
        <v/>
      </c>
      <c r="BP632" s="29"/>
      <c r="BQ632" s="29"/>
      <c r="BR632" s="29"/>
      <c r="BS632" s="28" t="str">
        <f aca="false">IF(AND(N(BP632)&gt;0,N(BR632)&gt;0),BR632-BP632,"")</f>
        <v/>
      </c>
      <c r="BT632" s="28" t="str">
        <f aca="false">IF(BS632="","",ROUND(BS632/365.25,2))</f>
        <v/>
      </c>
      <c r="BU632" s="28" t="str">
        <f aca="false">IF(BS632="","",IF(BS632&gt;=730.5,"Yes","No"))</f>
        <v/>
      </c>
      <c r="BV632" s="27"/>
      <c r="BW632" s="29"/>
      <c r="BX632" s="27"/>
      <c r="BY632" s="27"/>
      <c r="BZ632" s="28" t="str">
        <f aca="false">IF(N(E632)=0,"",IF(E632&lt;65,"Under 65","≥65"))</f>
        <v/>
      </c>
      <c r="CA632" s="28" t="str">
        <f aca="false">IF(OR(AC632="Yes",AC632="No"),AC632,"")</f>
        <v/>
      </c>
      <c r="CB632" s="28" t="str">
        <f aca="false">IF(OR(AD632="Yes",AD632="No"),AD632,"")</f>
        <v/>
      </c>
      <c r="CC632" s="28" t="str">
        <f aca="false">IF(F632="","",F632)</f>
        <v/>
      </c>
      <c r="CD632" s="27"/>
      <c r="CE632" s="27"/>
    </row>
    <row r="633" customFormat="false" ht="15" hidden="false" customHeight="false" outlineLevel="0" collapsed="false">
      <c r="A633" s="27"/>
      <c r="B633" s="27"/>
      <c r="C633" s="27"/>
      <c r="D633" s="27"/>
      <c r="E633" s="27"/>
      <c r="F633" s="27"/>
      <c r="G633" s="27"/>
      <c r="H633" s="27"/>
      <c r="I633" s="27"/>
      <c r="J633" s="28" t="str">
        <f aca="false">IF(AND(N(H633)&gt;0,N(I633)&gt;0),ROUND(I633/(H633/100)^2,1),"")</f>
        <v/>
      </c>
      <c r="K633" s="27"/>
      <c r="L633" s="27"/>
      <c r="M633" s="27"/>
      <c r="N633" s="27"/>
      <c r="O633" s="27"/>
      <c r="P633" s="27"/>
      <c r="Q633" s="27"/>
      <c r="R633" s="29"/>
      <c r="S633" s="29"/>
      <c r="T633" s="27"/>
      <c r="U633" s="28" t="str">
        <f aca="false">IF(N(T633)=0,"",IF(T633&lt;12,"Under 12 months",IF(T633&lt;36,"12-35 months",IF(T633&lt;60,"36-59 months","≥60 months"))))</f>
        <v/>
      </c>
      <c r="V633" s="27"/>
      <c r="W633" s="30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9"/>
      <c r="AT633" s="30"/>
      <c r="AU633" s="30"/>
      <c r="AV633" s="30"/>
      <c r="AW633" s="27"/>
      <c r="AX633" s="27"/>
      <c r="AY633" s="29"/>
      <c r="AZ633" s="27"/>
      <c r="BA633" s="27"/>
      <c r="BB633" s="29"/>
      <c r="BC633" s="30"/>
      <c r="BD633" s="30"/>
      <c r="BE633" s="30"/>
      <c r="BF633" s="27"/>
      <c r="BG633" s="27"/>
      <c r="BH633" s="28" t="str">
        <f aca="false">IF(COUNT(BC633:BE633)=0,"",IF(MIN(BC633:BE633)&lt;=-2.5,"Yes","No"))</f>
        <v/>
      </c>
      <c r="BI633" s="27"/>
      <c r="BJ633" s="29"/>
      <c r="BK633" s="27"/>
      <c r="BL633" s="27"/>
      <c r="BM633" s="27"/>
      <c r="BN633" s="28" t="str">
        <f aca="false">IF(OR(AX633="Yes",BI633="Yes"),"Yes",IF(AND(AX633="No",BI633="No"),"No",IF(AND(AX633="",BI633=""),"","Unknown")))</f>
        <v/>
      </c>
      <c r="BO633" s="31" t="str">
        <f aca="false">IF(COUNT(AY633,BJ633)=0,"",MIN(AY633,BJ633))</f>
        <v/>
      </c>
      <c r="BP633" s="29"/>
      <c r="BQ633" s="29"/>
      <c r="BR633" s="29"/>
      <c r="BS633" s="28" t="str">
        <f aca="false">IF(AND(N(BP633)&gt;0,N(BR633)&gt;0),BR633-BP633,"")</f>
        <v/>
      </c>
      <c r="BT633" s="28" t="str">
        <f aca="false">IF(BS633="","",ROUND(BS633/365.25,2))</f>
        <v/>
      </c>
      <c r="BU633" s="28" t="str">
        <f aca="false">IF(BS633="","",IF(BS633&gt;=730.5,"Yes","No"))</f>
        <v/>
      </c>
      <c r="BV633" s="27"/>
      <c r="BW633" s="29"/>
      <c r="BX633" s="27"/>
      <c r="BY633" s="27"/>
      <c r="BZ633" s="28" t="str">
        <f aca="false">IF(N(E633)=0,"",IF(E633&lt;65,"Under 65","≥65"))</f>
        <v/>
      </c>
      <c r="CA633" s="28" t="str">
        <f aca="false">IF(OR(AC633="Yes",AC633="No"),AC633,"")</f>
        <v/>
      </c>
      <c r="CB633" s="28" t="str">
        <f aca="false">IF(OR(AD633="Yes",AD633="No"),AD633,"")</f>
        <v/>
      </c>
      <c r="CC633" s="28" t="str">
        <f aca="false">IF(F633="","",F633)</f>
        <v/>
      </c>
      <c r="CD633" s="27"/>
      <c r="CE633" s="27"/>
    </row>
    <row r="634" customFormat="false" ht="15" hidden="false" customHeight="false" outlineLevel="0" collapsed="false">
      <c r="A634" s="27"/>
      <c r="B634" s="27"/>
      <c r="C634" s="27"/>
      <c r="D634" s="27"/>
      <c r="E634" s="27"/>
      <c r="F634" s="27"/>
      <c r="G634" s="27"/>
      <c r="H634" s="27"/>
      <c r="I634" s="27"/>
      <c r="J634" s="28" t="str">
        <f aca="false">IF(AND(N(H634)&gt;0,N(I634)&gt;0),ROUND(I634/(H634/100)^2,1),"")</f>
        <v/>
      </c>
      <c r="K634" s="27"/>
      <c r="L634" s="27"/>
      <c r="M634" s="27"/>
      <c r="N634" s="27"/>
      <c r="O634" s="27"/>
      <c r="P634" s="27"/>
      <c r="Q634" s="27"/>
      <c r="R634" s="29"/>
      <c r="S634" s="29"/>
      <c r="T634" s="27"/>
      <c r="U634" s="28" t="str">
        <f aca="false">IF(N(T634)=0,"",IF(T634&lt;12,"Under 12 months",IF(T634&lt;36,"12-35 months",IF(T634&lt;60,"36-59 months","≥60 months"))))</f>
        <v/>
      </c>
      <c r="V634" s="27"/>
      <c r="W634" s="30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9"/>
      <c r="AT634" s="30"/>
      <c r="AU634" s="30"/>
      <c r="AV634" s="30"/>
      <c r="AW634" s="27"/>
      <c r="AX634" s="27"/>
      <c r="AY634" s="29"/>
      <c r="AZ634" s="27"/>
      <c r="BA634" s="27"/>
      <c r="BB634" s="29"/>
      <c r="BC634" s="30"/>
      <c r="BD634" s="30"/>
      <c r="BE634" s="30"/>
      <c r="BF634" s="27"/>
      <c r="BG634" s="27"/>
      <c r="BH634" s="28" t="str">
        <f aca="false">IF(COUNT(BC634:BE634)=0,"",IF(MIN(BC634:BE634)&lt;=-2.5,"Yes","No"))</f>
        <v/>
      </c>
      <c r="BI634" s="27"/>
      <c r="BJ634" s="29"/>
      <c r="BK634" s="27"/>
      <c r="BL634" s="27"/>
      <c r="BM634" s="27"/>
      <c r="BN634" s="28" t="str">
        <f aca="false">IF(OR(AX634="Yes",BI634="Yes"),"Yes",IF(AND(AX634="No",BI634="No"),"No",IF(AND(AX634="",BI634=""),"","Unknown")))</f>
        <v/>
      </c>
      <c r="BO634" s="31" t="str">
        <f aca="false">IF(COUNT(AY634,BJ634)=0,"",MIN(AY634,BJ634))</f>
        <v/>
      </c>
      <c r="BP634" s="29"/>
      <c r="BQ634" s="29"/>
      <c r="BR634" s="29"/>
      <c r="BS634" s="28" t="str">
        <f aca="false">IF(AND(N(BP634)&gt;0,N(BR634)&gt;0),BR634-BP634,"")</f>
        <v/>
      </c>
      <c r="BT634" s="28" t="str">
        <f aca="false">IF(BS634="","",ROUND(BS634/365.25,2))</f>
        <v/>
      </c>
      <c r="BU634" s="28" t="str">
        <f aca="false">IF(BS634="","",IF(BS634&gt;=730.5,"Yes","No"))</f>
        <v/>
      </c>
      <c r="BV634" s="27"/>
      <c r="BW634" s="29"/>
      <c r="BX634" s="27"/>
      <c r="BY634" s="27"/>
      <c r="BZ634" s="28" t="str">
        <f aca="false">IF(N(E634)=0,"",IF(E634&lt;65,"Under 65","≥65"))</f>
        <v/>
      </c>
      <c r="CA634" s="28" t="str">
        <f aca="false">IF(OR(AC634="Yes",AC634="No"),AC634,"")</f>
        <v/>
      </c>
      <c r="CB634" s="28" t="str">
        <f aca="false">IF(OR(AD634="Yes",AD634="No"),AD634,"")</f>
        <v/>
      </c>
      <c r="CC634" s="28" t="str">
        <f aca="false">IF(F634="","",F634)</f>
        <v/>
      </c>
      <c r="CD634" s="27"/>
      <c r="CE634" s="27"/>
    </row>
    <row r="635" customFormat="false" ht="15" hidden="false" customHeight="false" outlineLevel="0" collapsed="false">
      <c r="A635" s="27"/>
      <c r="B635" s="27"/>
      <c r="C635" s="27"/>
      <c r="D635" s="27"/>
      <c r="E635" s="27"/>
      <c r="F635" s="27"/>
      <c r="G635" s="27"/>
      <c r="H635" s="27"/>
      <c r="I635" s="27"/>
      <c r="J635" s="28" t="str">
        <f aca="false">IF(AND(N(H635)&gt;0,N(I635)&gt;0),ROUND(I635/(H635/100)^2,1),"")</f>
        <v/>
      </c>
      <c r="K635" s="27"/>
      <c r="L635" s="27"/>
      <c r="M635" s="27"/>
      <c r="N635" s="27"/>
      <c r="O635" s="27"/>
      <c r="P635" s="27"/>
      <c r="Q635" s="27"/>
      <c r="R635" s="29"/>
      <c r="S635" s="29"/>
      <c r="T635" s="27"/>
      <c r="U635" s="28" t="str">
        <f aca="false">IF(N(T635)=0,"",IF(T635&lt;12,"Under 12 months",IF(T635&lt;36,"12-35 months",IF(T635&lt;60,"36-59 months","≥60 months"))))</f>
        <v/>
      </c>
      <c r="V635" s="27"/>
      <c r="W635" s="30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9"/>
      <c r="AT635" s="30"/>
      <c r="AU635" s="30"/>
      <c r="AV635" s="30"/>
      <c r="AW635" s="27"/>
      <c r="AX635" s="27"/>
      <c r="AY635" s="29"/>
      <c r="AZ635" s="27"/>
      <c r="BA635" s="27"/>
      <c r="BB635" s="29"/>
      <c r="BC635" s="30"/>
      <c r="BD635" s="30"/>
      <c r="BE635" s="30"/>
      <c r="BF635" s="27"/>
      <c r="BG635" s="27"/>
      <c r="BH635" s="28" t="str">
        <f aca="false">IF(COUNT(BC635:BE635)=0,"",IF(MIN(BC635:BE635)&lt;=-2.5,"Yes","No"))</f>
        <v/>
      </c>
      <c r="BI635" s="27"/>
      <c r="BJ635" s="29"/>
      <c r="BK635" s="27"/>
      <c r="BL635" s="27"/>
      <c r="BM635" s="27"/>
      <c r="BN635" s="28" t="str">
        <f aca="false">IF(OR(AX635="Yes",BI635="Yes"),"Yes",IF(AND(AX635="No",BI635="No"),"No",IF(AND(AX635="",BI635=""),"","Unknown")))</f>
        <v/>
      </c>
      <c r="BO635" s="31" t="str">
        <f aca="false">IF(COUNT(AY635,BJ635)=0,"",MIN(AY635,BJ635))</f>
        <v/>
      </c>
      <c r="BP635" s="29"/>
      <c r="BQ635" s="29"/>
      <c r="BR635" s="29"/>
      <c r="BS635" s="28" t="str">
        <f aca="false">IF(AND(N(BP635)&gt;0,N(BR635)&gt;0),BR635-BP635,"")</f>
        <v/>
      </c>
      <c r="BT635" s="28" t="str">
        <f aca="false">IF(BS635="","",ROUND(BS635/365.25,2))</f>
        <v/>
      </c>
      <c r="BU635" s="28" t="str">
        <f aca="false">IF(BS635="","",IF(BS635&gt;=730.5,"Yes","No"))</f>
        <v/>
      </c>
      <c r="BV635" s="27"/>
      <c r="BW635" s="29"/>
      <c r="BX635" s="27"/>
      <c r="BY635" s="27"/>
      <c r="BZ635" s="28" t="str">
        <f aca="false">IF(N(E635)=0,"",IF(E635&lt;65,"Under 65","≥65"))</f>
        <v/>
      </c>
      <c r="CA635" s="28" t="str">
        <f aca="false">IF(OR(AC635="Yes",AC635="No"),AC635,"")</f>
        <v/>
      </c>
      <c r="CB635" s="28" t="str">
        <f aca="false">IF(OR(AD635="Yes",AD635="No"),AD635,"")</f>
        <v/>
      </c>
      <c r="CC635" s="28" t="str">
        <f aca="false">IF(F635="","",F635)</f>
        <v/>
      </c>
      <c r="CD635" s="27"/>
      <c r="CE635" s="27"/>
    </row>
    <row r="636" customFormat="false" ht="15" hidden="false" customHeight="false" outlineLevel="0" collapsed="false">
      <c r="A636" s="27"/>
      <c r="B636" s="27"/>
      <c r="C636" s="27"/>
      <c r="D636" s="27"/>
      <c r="E636" s="27"/>
      <c r="F636" s="27"/>
      <c r="G636" s="27"/>
      <c r="H636" s="27"/>
      <c r="I636" s="27"/>
      <c r="J636" s="28" t="str">
        <f aca="false">IF(AND(N(H636)&gt;0,N(I636)&gt;0),ROUND(I636/(H636/100)^2,1),"")</f>
        <v/>
      </c>
      <c r="K636" s="27"/>
      <c r="L636" s="27"/>
      <c r="M636" s="27"/>
      <c r="N636" s="27"/>
      <c r="O636" s="27"/>
      <c r="P636" s="27"/>
      <c r="Q636" s="27"/>
      <c r="R636" s="29"/>
      <c r="S636" s="29"/>
      <c r="T636" s="27"/>
      <c r="U636" s="28" t="str">
        <f aca="false">IF(N(T636)=0,"",IF(T636&lt;12,"Under 12 months",IF(T636&lt;36,"12-35 months",IF(T636&lt;60,"36-59 months","≥60 months"))))</f>
        <v/>
      </c>
      <c r="V636" s="27"/>
      <c r="W636" s="30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9"/>
      <c r="AT636" s="30"/>
      <c r="AU636" s="30"/>
      <c r="AV636" s="30"/>
      <c r="AW636" s="27"/>
      <c r="AX636" s="27"/>
      <c r="AY636" s="29"/>
      <c r="AZ636" s="27"/>
      <c r="BA636" s="27"/>
      <c r="BB636" s="29"/>
      <c r="BC636" s="30"/>
      <c r="BD636" s="30"/>
      <c r="BE636" s="30"/>
      <c r="BF636" s="27"/>
      <c r="BG636" s="27"/>
      <c r="BH636" s="28" t="str">
        <f aca="false">IF(COUNT(BC636:BE636)=0,"",IF(MIN(BC636:BE636)&lt;=-2.5,"Yes","No"))</f>
        <v/>
      </c>
      <c r="BI636" s="27"/>
      <c r="BJ636" s="29"/>
      <c r="BK636" s="27"/>
      <c r="BL636" s="27"/>
      <c r="BM636" s="27"/>
      <c r="BN636" s="28" t="str">
        <f aca="false">IF(OR(AX636="Yes",BI636="Yes"),"Yes",IF(AND(AX636="No",BI636="No"),"No",IF(AND(AX636="",BI636=""),"","Unknown")))</f>
        <v/>
      </c>
      <c r="BO636" s="31" t="str">
        <f aca="false">IF(COUNT(AY636,BJ636)=0,"",MIN(AY636,BJ636))</f>
        <v/>
      </c>
      <c r="BP636" s="29"/>
      <c r="BQ636" s="29"/>
      <c r="BR636" s="29"/>
      <c r="BS636" s="28" t="str">
        <f aca="false">IF(AND(N(BP636)&gt;0,N(BR636)&gt;0),BR636-BP636,"")</f>
        <v/>
      </c>
      <c r="BT636" s="28" t="str">
        <f aca="false">IF(BS636="","",ROUND(BS636/365.25,2))</f>
        <v/>
      </c>
      <c r="BU636" s="28" t="str">
        <f aca="false">IF(BS636="","",IF(BS636&gt;=730.5,"Yes","No"))</f>
        <v/>
      </c>
      <c r="BV636" s="27"/>
      <c r="BW636" s="29"/>
      <c r="BX636" s="27"/>
      <c r="BY636" s="27"/>
      <c r="BZ636" s="28" t="str">
        <f aca="false">IF(N(E636)=0,"",IF(E636&lt;65,"Under 65","≥65"))</f>
        <v/>
      </c>
      <c r="CA636" s="28" t="str">
        <f aca="false">IF(OR(AC636="Yes",AC636="No"),AC636,"")</f>
        <v/>
      </c>
      <c r="CB636" s="28" t="str">
        <f aca="false">IF(OR(AD636="Yes",AD636="No"),AD636,"")</f>
        <v/>
      </c>
      <c r="CC636" s="28" t="str">
        <f aca="false">IF(F636="","",F636)</f>
        <v/>
      </c>
      <c r="CD636" s="27"/>
      <c r="CE636" s="27"/>
    </row>
    <row r="637" customFormat="false" ht="15" hidden="false" customHeight="false" outlineLevel="0" collapsed="false">
      <c r="A637" s="27"/>
      <c r="B637" s="27"/>
      <c r="C637" s="27"/>
      <c r="D637" s="27"/>
      <c r="E637" s="27"/>
      <c r="F637" s="27"/>
      <c r="G637" s="27"/>
      <c r="H637" s="27"/>
      <c r="I637" s="27"/>
      <c r="J637" s="28" t="str">
        <f aca="false">IF(AND(N(H637)&gt;0,N(I637)&gt;0),ROUND(I637/(H637/100)^2,1),"")</f>
        <v/>
      </c>
      <c r="K637" s="27"/>
      <c r="L637" s="27"/>
      <c r="M637" s="27"/>
      <c r="N637" s="27"/>
      <c r="O637" s="27"/>
      <c r="P637" s="27"/>
      <c r="Q637" s="27"/>
      <c r="R637" s="29"/>
      <c r="S637" s="29"/>
      <c r="T637" s="27"/>
      <c r="U637" s="28" t="str">
        <f aca="false">IF(N(T637)=0,"",IF(T637&lt;12,"Under 12 months",IF(T637&lt;36,"12-35 months",IF(T637&lt;60,"36-59 months","≥60 months"))))</f>
        <v/>
      </c>
      <c r="V637" s="27"/>
      <c r="W637" s="30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9"/>
      <c r="AT637" s="30"/>
      <c r="AU637" s="30"/>
      <c r="AV637" s="30"/>
      <c r="AW637" s="27"/>
      <c r="AX637" s="27"/>
      <c r="AY637" s="29"/>
      <c r="AZ637" s="27"/>
      <c r="BA637" s="27"/>
      <c r="BB637" s="29"/>
      <c r="BC637" s="30"/>
      <c r="BD637" s="30"/>
      <c r="BE637" s="30"/>
      <c r="BF637" s="27"/>
      <c r="BG637" s="27"/>
      <c r="BH637" s="28" t="str">
        <f aca="false">IF(COUNT(BC637:BE637)=0,"",IF(MIN(BC637:BE637)&lt;=-2.5,"Yes","No"))</f>
        <v/>
      </c>
      <c r="BI637" s="27"/>
      <c r="BJ637" s="29"/>
      <c r="BK637" s="27"/>
      <c r="BL637" s="27"/>
      <c r="BM637" s="27"/>
      <c r="BN637" s="28" t="str">
        <f aca="false">IF(OR(AX637="Yes",BI637="Yes"),"Yes",IF(AND(AX637="No",BI637="No"),"No",IF(AND(AX637="",BI637=""),"","Unknown")))</f>
        <v/>
      </c>
      <c r="BO637" s="31" t="str">
        <f aca="false">IF(COUNT(AY637,BJ637)=0,"",MIN(AY637,BJ637))</f>
        <v/>
      </c>
      <c r="BP637" s="29"/>
      <c r="BQ637" s="29"/>
      <c r="BR637" s="29"/>
      <c r="BS637" s="28" t="str">
        <f aca="false">IF(AND(N(BP637)&gt;0,N(BR637)&gt;0),BR637-BP637,"")</f>
        <v/>
      </c>
      <c r="BT637" s="28" t="str">
        <f aca="false">IF(BS637="","",ROUND(BS637/365.25,2))</f>
        <v/>
      </c>
      <c r="BU637" s="28" t="str">
        <f aca="false">IF(BS637="","",IF(BS637&gt;=730.5,"Yes","No"))</f>
        <v/>
      </c>
      <c r="BV637" s="27"/>
      <c r="BW637" s="29"/>
      <c r="BX637" s="27"/>
      <c r="BY637" s="27"/>
      <c r="BZ637" s="28" t="str">
        <f aca="false">IF(N(E637)=0,"",IF(E637&lt;65,"Under 65","≥65"))</f>
        <v/>
      </c>
      <c r="CA637" s="28" t="str">
        <f aca="false">IF(OR(AC637="Yes",AC637="No"),AC637,"")</f>
        <v/>
      </c>
      <c r="CB637" s="28" t="str">
        <f aca="false">IF(OR(AD637="Yes",AD637="No"),AD637,"")</f>
        <v/>
      </c>
      <c r="CC637" s="28" t="str">
        <f aca="false">IF(F637="","",F637)</f>
        <v/>
      </c>
      <c r="CD637" s="27"/>
      <c r="CE637" s="27"/>
    </row>
    <row r="638" customFormat="false" ht="15" hidden="false" customHeight="false" outlineLevel="0" collapsed="false">
      <c r="A638" s="27"/>
      <c r="B638" s="27"/>
      <c r="C638" s="27"/>
      <c r="D638" s="27"/>
      <c r="E638" s="27"/>
      <c r="F638" s="27"/>
      <c r="G638" s="27"/>
      <c r="H638" s="27"/>
      <c r="I638" s="27"/>
      <c r="J638" s="28" t="str">
        <f aca="false">IF(AND(N(H638)&gt;0,N(I638)&gt;0),ROUND(I638/(H638/100)^2,1),"")</f>
        <v/>
      </c>
      <c r="K638" s="27"/>
      <c r="L638" s="27"/>
      <c r="M638" s="27"/>
      <c r="N638" s="27"/>
      <c r="O638" s="27"/>
      <c r="P638" s="27"/>
      <c r="Q638" s="27"/>
      <c r="R638" s="29"/>
      <c r="S638" s="29"/>
      <c r="T638" s="27"/>
      <c r="U638" s="28" t="str">
        <f aca="false">IF(N(T638)=0,"",IF(T638&lt;12,"Under 12 months",IF(T638&lt;36,"12-35 months",IF(T638&lt;60,"36-59 months","≥60 months"))))</f>
        <v/>
      </c>
      <c r="V638" s="27"/>
      <c r="W638" s="30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9"/>
      <c r="AT638" s="30"/>
      <c r="AU638" s="30"/>
      <c r="AV638" s="30"/>
      <c r="AW638" s="27"/>
      <c r="AX638" s="27"/>
      <c r="AY638" s="29"/>
      <c r="AZ638" s="27"/>
      <c r="BA638" s="27"/>
      <c r="BB638" s="29"/>
      <c r="BC638" s="30"/>
      <c r="BD638" s="30"/>
      <c r="BE638" s="30"/>
      <c r="BF638" s="27"/>
      <c r="BG638" s="27"/>
      <c r="BH638" s="28" t="str">
        <f aca="false">IF(COUNT(BC638:BE638)=0,"",IF(MIN(BC638:BE638)&lt;=-2.5,"Yes","No"))</f>
        <v/>
      </c>
      <c r="BI638" s="27"/>
      <c r="BJ638" s="29"/>
      <c r="BK638" s="27"/>
      <c r="BL638" s="27"/>
      <c r="BM638" s="27"/>
      <c r="BN638" s="28" t="str">
        <f aca="false">IF(OR(AX638="Yes",BI638="Yes"),"Yes",IF(AND(AX638="No",BI638="No"),"No",IF(AND(AX638="",BI638=""),"","Unknown")))</f>
        <v/>
      </c>
      <c r="BO638" s="31" t="str">
        <f aca="false">IF(COUNT(AY638,BJ638)=0,"",MIN(AY638,BJ638))</f>
        <v/>
      </c>
      <c r="BP638" s="29"/>
      <c r="BQ638" s="29"/>
      <c r="BR638" s="29"/>
      <c r="BS638" s="28" t="str">
        <f aca="false">IF(AND(N(BP638)&gt;0,N(BR638)&gt;0),BR638-BP638,"")</f>
        <v/>
      </c>
      <c r="BT638" s="28" t="str">
        <f aca="false">IF(BS638="","",ROUND(BS638/365.25,2))</f>
        <v/>
      </c>
      <c r="BU638" s="28" t="str">
        <f aca="false">IF(BS638="","",IF(BS638&gt;=730.5,"Yes","No"))</f>
        <v/>
      </c>
      <c r="BV638" s="27"/>
      <c r="BW638" s="29"/>
      <c r="BX638" s="27"/>
      <c r="BY638" s="27"/>
      <c r="BZ638" s="28" t="str">
        <f aca="false">IF(N(E638)=0,"",IF(E638&lt;65,"Under 65","≥65"))</f>
        <v/>
      </c>
      <c r="CA638" s="28" t="str">
        <f aca="false">IF(OR(AC638="Yes",AC638="No"),AC638,"")</f>
        <v/>
      </c>
      <c r="CB638" s="28" t="str">
        <f aca="false">IF(OR(AD638="Yes",AD638="No"),AD638,"")</f>
        <v/>
      </c>
      <c r="CC638" s="28" t="str">
        <f aca="false">IF(F638="","",F638)</f>
        <v/>
      </c>
      <c r="CD638" s="27"/>
      <c r="CE638" s="27"/>
    </row>
    <row r="639" customFormat="false" ht="15" hidden="false" customHeight="false" outlineLevel="0" collapsed="false">
      <c r="A639" s="27"/>
      <c r="B639" s="27"/>
      <c r="C639" s="27"/>
      <c r="D639" s="27"/>
      <c r="E639" s="27"/>
      <c r="F639" s="27"/>
      <c r="G639" s="27"/>
      <c r="H639" s="27"/>
      <c r="I639" s="27"/>
      <c r="J639" s="28" t="str">
        <f aca="false">IF(AND(N(H639)&gt;0,N(I639)&gt;0),ROUND(I639/(H639/100)^2,1),"")</f>
        <v/>
      </c>
      <c r="K639" s="27"/>
      <c r="L639" s="27"/>
      <c r="M639" s="27"/>
      <c r="N639" s="27"/>
      <c r="O639" s="27"/>
      <c r="P639" s="27"/>
      <c r="Q639" s="27"/>
      <c r="R639" s="29"/>
      <c r="S639" s="29"/>
      <c r="T639" s="27"/>
      <c r="U639" s="28" t="str">
        <f aca="false">IF(N(T639)=0,"",IF(T639&lt;12,"Under 12 months",IF(T639&lt;36,"12-35 months",IF(T639&lt;60,"36-59 months","≥60 months"))))</f>
        <v/>
      </c>
      <c r="V639" s="27"/>
      <c r="W639" s="30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9"/>
      <c r="AT639" s="30"/>
      <c r="AU639" s="30"/>
      <c r="AV639" s="30"/>
      <c r="AW639" s="27"/>
      <c r="AX639" s="27"/>
      <c r="AY639" s="29"/>
      <c r="AZ639" s="27"/>
      <c r="BA639" s="27"/>
      <c r="BB639" s="29"/>
      <c r="BC639" s="30"/>
      <c r="BD639" s="30"/>
      <c r="BE639" s="30"/>
      <c r="BF639" s="27"/>
      <c r="BG639" s="27"/>
      <c r="BH639" s="28" t="str">
        <f aca="false">IF(COUNT(BC639:BE639)=0,"",IF(MIN(BC639:BE639)&lt;=-2.5,"Yes","No"))</f>
        <v/>
      </c>
      <c r="BI639" s="27"/>
      <c r="BJ639" s="29"/>
      <c r="BK639" s="27"/>
      <c r="BL639" s="27"/>
      <c r="BM639" s="27"/>
      <c r="BN639" s="28" t="str">
        <f aca="false">IF(OR(AX639="Yes",BI639="Yes"),"Yes",IF(AND(AX639="No",BI639="No"),"No",IF(AND(AX639="",BI639=""),"","Unknown")))</f>
        <v/>
      </c>
      <c r="BO639" s="31" t="str">
        <f aca="false">IF(COUNT(AY639,BJ639)=0,"",MIN(AY639,BJ639))</f>
        <v/>
      </c>
      <c r="BP639" s="29"/>
      <c r="BQ639" s="29"/>
      <c r="BR639" s="29"/>
      <c r="BS639" s="28" t="str">
        <f aca="false">IF(AND(N(BP639)&gt;0,N(BR639)&gt;0),BR639-BP639,"")</f>
        <v/>
      </c>
      <c r="BT639" s="28" t="str">
        <f aca="false">IF(BS639="","",ROUND(BS639/365.25,2))</f>
        <v/>
      </c>
      <c r="BU639" s="28" t="str">
        <f aca="false">IF(BS639="","",IF(BS639&gt;=730.5,"Yes","No"))</f>
        <v/>
      </c>
      <c r="BV639" s="27"/>
      <c r="BW639" s="29"/>
      <c r="BX639" s="27"/>
      <c r="BY639" s="27"/>
      <c r="BZ639" s="28" t="str">
        <f aca="false">IF(N(E639)=0,"",IF(E639&lt;65,"Under 65","≥65"))</f>
        <v/>
      </c>
      <c r="CA639" s="28" t="str">
        <f aca="false">IF(OR(AC639="Yes",AC639="No"),AC639,"")</f>
        <v/>
      </c>
      <c r="CB639" s="28" t="str">
        <f aca="false">IF(OR(AD639="Yes",AD639="No"),AD639,"")</f>
        <v/>
      </c>
      <c r="CC639" s="28" t="str">
        <f aca="false">IF(F639="","",F639)</f>
        <v/>
      </c>
      <c r="CD639" s="27"/>
      <c r="CE639" s="27"/>
    </row>
    <row r="640" customFormat="false" ht="15" hidden="false" customHeight="false" outlineLevel="0" collapsed="false">
      <c r="A640" s="27"/>
      <c r="B640" s="27"/>
      <c r="C640" s="27"/>
      <c r="D640" s="27"/>
      <c r="E640" s="27"/>
      <c r="F640" s="27"/>
      <c r="G640" s="27"/>
      <c r="H640" s="27"/>
      <c r="I640" s="27"/>
      <c r="J640" s="28" t="str">
        <f aca="false">IF(AND(N(H640)&gt;0,N(I640)&gt;0),ROUND(I640/(H640/100)^2,1),"")</f>
        <v/>
      </c>
      <c r="K640" s="27"/>
      <c r="L640" s="27"/>
      <c r="M640" s="27"/>
      <c r="N640" s="27"/>
      <c r="O640" s="27"/>
      <c r="P640" s="27"/>
      <c r="Q640" s="27"/>
      <c r="R640" s="29"/>
      <c r="S640" s="29"/>
      <c r="T640" s="27"/>
      <c r="U640" s="28" t="str">
        <f aca="false">IF(N(T640)=0,"",IF(T640&lt;12,"Under 12 months",IF(T640&lt;36,"12-35 months",IF(T640&lt;60,"36-59 months","≥60 months"))))</f>
        <v/>
      </c>
      <c r="V640" s="27"/>
      <c r="W640" s="30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9"/>
      <c r="AT640" s="30"/>
      <c r="AU640" s="30"/>
      <c r="AV640" s="30"/>
      <c r="AW640" s="27"/>
      <c r="AX640" s="27"/>
      <c r="AY640" s="29"/>
      <c r="AZ640" s="27"/>
      <c r="BA640" s="27"/>
      <c r="BB640" s="29"/>
      <c r="BC640" s="30"/>
      <c r="BD640" s="30"/>
      <c r="BE640" s="30"/>
      <c r="BF640" s="27"/>
      <c r="BG640" s="27"/>
      <c r="BH640" s="28" t="str">
        <f aca="false">IF(COUNT(BC640:BE640)=0,"",IF(MIN(BC640:BE640)&lt;=-2.5,"Yes","No"))</f>
        <v/>
      </c>
      <c r="BI640" s="27"/>
      <c r="BJ640" s="29"/>
      <c r="BK640" s="27"/>
      <c r="BL640" s="27"/>
      <c r="BM640" s="27"/>
      <c r="BN640" s="28" t="str">
        <f aca="false">IF(OR(AX640="Yes",BI640="Yes"),"Yes",IF(AND(AX640="No",BI640="No"),"No",IF(AND(AX640="",BI640=""),"","Unknown")))</f>
        <v/>
      </c>
      <c r="BO640" s="31" t="str">
        <f aca="false">IF(COUNT(AY640,BJ640)=0,"",MIN(AY640,BJ640))</f>
        <v/>
      </c>
      <c r="BP640" s="29"/>
      <c r="BQ640" s="29"/>
      <c r="BR640" s="29"/>
      <c r="BS640" s="28" t="str">
        <f aca="false">IF(AND(N(BP640)&gt;0,N(BR640)&gt;0),BR640-BP640,"")</f>
        <v/>
      </c>
      <c r="BT640" s="28" t="str">
        <f aca="false">IF(BS640="","",ROUND(BS640/365.25,2))</f>
        <v/>
      </c>
      <c r="BU640" s="28" t="str">
        <f aca="false">IF(BS640="","",IF(BS640&gt;=730.5,"Yes","No"))</f>
        <v/>
      </c>
      <c r="BV640" s="27"/>
      <c r="BW640" s="29"/>
      <c r="BX640" s="27"/>
      <c r="BY640" s="27"/>
      <c r="BZ640" s="28" t="str">
        <f aca="false">IF(N(E640)=0,"",IF(E640&lt;65,"Under 65","≥65"))</f>
        <v/>
      </c>
      <c r="CA640" s="28" t="str">
        <f aca="false">IF(OR(AC640="Yes",AC640="No"),AC640,"")</f>
        <v/>
      </c>
      <c r="CB640" s="28" t="str">
        <f aca="false">IF(OR(AD640="Yes",AD640="No"),AD640,"")</f>
        <v/>
      </c>
      <c r="CC640" s="28" t="str">
        <f aca="false">IF(F640="","",F640)</f>
        <v/>
      </c>
      <c r="CD640" s="27"/>
      <c r="CE640" s="27"/>
    </row>
    <row r="641" customFormat="false" ht="15" hidden="false" customHeight="false" outlineLevel="0" collapsed="false">
      <c r="A641" s="27"/>
      <c r="B641" s="27"/>
      <c r="C641" s="27"/>
      <c r="D641" s="27"/>
      <c r="E641" s="27"/>
      <c r="F641" s="27"/>
      <c r="G641" s="27"/>
      <c r="H641" s="27"/>
      <c r="I641" s="27"/>
      <c r="J641" s="28" t="str">
        <f aca="false">IF(AND(N(H641)&gt;0,N(I641)&gt;0),ROUND(I641/(H641/100)^2,1),"")</f>
        <v/>
      </c>
      <c r="K641" s="27"/>
      <c r="L641" s="27"/>
      <c r="M641" s="27"/>
      <c r="N641" s="27"/>
      <c r="O641" s="27"/>
      <c r="P641" s="27"/>
      <c r="Q641" s="27"/>
      <c r="R641" s="29"/>
      <c r="S641" s="29"/>
      <c r="T641" s="27"/>
      <c r="U641" s="28" t="str">
        <f aca="false">IF(N(T641)=0,"",IF(T641&lt;12,"Under 12 months",IF(T641&lt;36,"12-35 months",IF(T641&lt;60,"36-59 months","≥60 months"))))</f>
        <v/>
      </c>
      <c r="V641" s="27"/>
      <c r="W641" s="30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9"/>
      <c r="AT641" s="30"/>
      <c r="AU641" s="30"/>
      <c r="AV641" s="30"/>
      <c r="AW641" s="27"/>
      <c r="AX641" s="27"/>
      <c r="AY641" s="29"/>
      <c r="AZ641" s="27"/>
      <c r="BA641" s="27"/>
      <c r="BB641" s="29"/>
      <c r="BC641" s="30"/>
      <c r="BD641" s="30"/>
      <c r="BE641" s="30"/>
      <c r="BF641" s="27"/>
      <c r="BG641" s="27"/>
      <c r="BH641" s="28" t="str">
        <f aca="false">IF(COUNT(BC641:BE641)=0,"",IF(MIN(BC641:BE641)&lt;=-2.5,"Yes","No"))</f>
        <v/>
      </c>
      <c r="BI641" s="27"/>
      <c r="BJ641" s="29"/>
      <c r="BK641" s="27"/>
      <c r="BL641" s="27"/>
      <c r="BM641" s="27"/>
      <c r="BN641" s="28" t="str">
        <f aca="false">IF(OR(AX641="Yes",BI641="Yes"),"Yes",IF(AND(AX641="No",BI641="No"),"No",IF(AND(AX641="",BI641=""),"","Unknown")))</f>
        <v/>
      </c>
      <c r="BO641" s="31" t="str">
        <f aca="false">IF(COUNT(AY641,BJ641)=0,"",MIN(AY641,BJ641))</f>
        <v/>
      </c>
      <c r="BP641" s="29"/>
      <c r="BQ641" s="29"/>
      <c r="BR641" s="29"/>
      <c r="BS641" s="28" t="str">
        <f aca="false">IF(AND(N(BP641)&gt;0,N(BR641)&gt;0),BR641-BP641,"")</f>
        <v/>
      </c>
      <c r="BT641" s="28" t="str">
        <f aca="false">IF(BS641="","",ROUND(BS641/365.25,2))</f>
        <v/>
      </c>
      <c r="BU641" s="28" t="str">
        <f aca="false">IF(BS641="","",IF(BS641&gt;=730.5,"Yes","No"))</f>
        <v/>
      </c>
      <c r="BV641" s="27"/>
      <c r="BW641" s="29"/>
      <c r="BX641" s="27"/>
      <c r="BY641" s="27"/>
      <c r="BZ641" s="28" t="str">
        <f aca="false">IF(N(E641)=0,"",IF(E641&lt;65,"Under 65","≥65"))</f>
        <v/>
      </c>
      <c r="CA641" s="28" t="str">
        <f aca="false">IF(OR(AC641="Yes",AC641="No"),AC641,"")</f>
        <v/>
      </c>
      <c r="CB641" s="28" t="str">
        <f aca="false">IF(OR(AD641="Yes",AD641="No"),AD641,"")</f>
        <v/>
      </c>
      <c r="CC641" s="28" t="str">
        <f aca="false">IF(F641="","",F641)</f>
        <v/>
      </c>
      <c r="CD641" s="27"/>
      <c r="CE641" s="27"/>
    </row>
    <row r="642" customFormat="false" ht="15" hidden="false" customHeight="false" outlineLevel="0" collapsed="false">
      <c r="A642" s="27"/>
      <c r="B642" s="27"/>
      <c r="C642" s="27"/>
      <c r="D642" s="27"/>
      <c r="E642" s="27"/>
      <c r="F642" s="27"/>
      <c r="G642" s="27"/>
      <c r="H642" s="27"/>
      <c r="I642" s="27"/>
      <c r="J642" s="28" t="str">
        <f aca="false">IF(AND(N(H642)&gt;0,N(I642)&gt;0),ROUND(I642/(H642/100)^2,1),"")</f>
        <v/>
      </c>
      <c r="K642" s="27"/>
      <c r="L642" s="27"/>
      <c r="M642" s="27"/>
      <c r="N642" s="27"/>
      <c r="O642" s="27"/>
      <c r="P642" s="27"/>
      <c r="Q642" s="27"/>
      <c r="R642" s="29"/>
      <c r="S642" s="29"/>
      <c r="T642" s="27"/>
      <c r="U642" s="28" t="str">
        <f aca="false">IF(N(T642)=0,"",IF(T642&lt;12,"Under 12 months",IF(T642&lt;36,"12-35 months",IF(T642&lt;60,"36-59 months","≥60 months"))))</f>
        <v/>
      </c>
      <c r="V642" s="27"/>
      <c r="W642" s="30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9"/>
      <c r="AT642" s="30"/>
      <c r="AU642" s="30"/>
      <c r="AV642" s="30"/>
      <c r="AW642" s="27"/>
      <c r="AX642" s="27"/>
      <c r="AY642" s="29"/>
      <c r="AZ642" s="27"/>
      <c r="BA642" s="27"/>
      <c r="BB642" s="29"/>
      <c r="BC642" s="30"/>
      <c r="BD642" s="30"/>
      <c r="BE642" s="30"/>
      <c r="BF642" s="27"/>
      <c r="BG642" s="27"/>
      <c r="BH642" s="28" t="str">
        <f aca="false">IF(COUNT(BC642:BE642)=0,"",IF(MIN(BC642:BE642)&lt;=-2.5,"Yes","No"))</f>
        <v/>
      </c>
      <c r="BI642" s="27"/>
      <c r="BJ642" s="29"/>
      <c r="BK642" s="27"/>
      <c r="BL642" s="27"/>
      <c r="BM642" s="27"/>
      <c r="BN642" s="28" t="str">
        <f aca="false">IF(OR(AX642="Yes",BI642="Yes"),"Yes",IF(AND(AX642="No",BI642="No"),"No",IF(AND(AX642="",BI642=""),"","Unknown")))</f>
        <v/>
      </c>
      <c r="BO642" s="31" t="str">
        <f aca="false">IF(COUNT(AY642,BJ642)=0,"",MIN(AY642,BJ642))</f>
        <v/>
      </c>
      <c r="BP642" s="29"/>
      <c r="BQ642" s="29"/>
      <c r="BR642" s="29"/>
      <c r="BS642" s="28" t="str">
        <f aca="false">IF(AND(N(BP642)&gt;0,N(BR642)&gt;0),BR642-BP642,"")</f>
        <v/>
      </c>
      <c r="BT642" s="28" t="str">
        <f aca="false">IF(BS642="","",ROUND(BS642/365.25,2))</f>
        <v/>
      </c>
      <c r="BU642" s="28" t="str">
        <f aca="false">IF(BS642="","",IF(BS642&gt;=730.5,"Yes","No"))</f>
        <v/>
      </c>
      <c r="BV642" s="27"/>
      <c r="BW642" s="29"/>
      <c r="BX642" s="27"/>
      <c r="BY642" s="27"/>
      <c r="BZ642" s="28" t="str">
        <f aca="false">IF(N(E642)=0,"",IF(E642&lt;65,"Under 65","≥65"))</f>
        <v/>
      </c>
      <c r="CA642" s="28" t="str">
        <f aca="false">IF(OR(AC642="Yes",AC642="No"),AC642,"")</f>
        <v/>
      </c>
      <c r="CB642" s="28" t="str">
        <f aca="false">IF(OR(AD642="Yes",AD642="No"),AD642,"")</f>
        <v/>
      </c>
      <c r="CC642" s="28" t="str">
        <f aca="false">IF(F642="","",F642)</f>
        <v/>
      </c>
      <c r="CD642" s="27"/>
      <c r="CE642" s="27"/>
    </row>
    <row r="643" customFormat="false" ht="15" hidden="false" customHeight="false" outlineLevel="0" collapsed="false">
      <c r="A643" s="27"/>
      <c r="B643" s="27"/>
      <c r="C643" s="27"/>
      <c r="D643" s="27"/>
      <c r="E643" s="27"/>
      <c r="F643" s="27"/>
      <c r="G643" s="27"/>
      <c r="H643" s="27"/>
      <c r="I643" s="27"/>
      <c r="J643" s="28" t="str">
        <f aca="false">IF(AND(N(H643)&gt;0,N(I643)&gt;0),ROUND(I643/(H643/100)^2,1),"")</f>
        <v/>
      </c>
      <c r="K643" s="27"/>
      <c r="L643" s="27"/>
      <c r="M643" s="27"/>
      <c r="N643" s="27"/>
      <c r="O643" s="27"/>
      <c r="P643" s="27"/>
      <c r="Q643" s="27"/>
      <c r="R643" s="29"/>
      <c r="S643" s="29"/>
      <c r="T643" s="27"/>
      <c r="U643" s="28" t="str">
        <f aca="false">IF(N(T643)=0,"",IF(T643&lt;12,"Under 12 months",IF(T643&lt;36,"12-35 months",IF(T643&lt;60,"36-59 months","≥60 months"))))</f>
        <v/>
      </c>
      <c r="V643" s="27"/>
      <c r="W643" s="30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9"/>
      <c r="AT643" s="30"/>
      <c r="AU643" s="30"/>
      <c r="AV643" s="30"/>
      <c r="AW643" s="27"/>
      <c r="AX643" s="27"/>
      <c r="AY643" s="29"/>
      <c r="AZ643" s="27"/>
      <c r="BA643" s="27"/>
      <c r="BB643" s="29"/>
      <c r="BC643" s="30"/>
      <c r="BD643" s="30"/>
      <c r="BE643" s="30"/>
      <c r="BF643" s="27"/>
      <c r="BG643" s="27"/>
      <c r="BH643" s="28" t="str">
        <f aca="false">IF(COUNT(BC643:BE643)=0,"",IF(MIN(BC643:BE643)&lt;=-2.5,"Yes","No"))</f>
        <v/>
      </c>
      <c r="BI643" s="27"/>
      <c r="BJ643" s="29"/>
      <c r="BK643" s="27"/>
      <c r="BL643" s="27"/>
      <c r="BM643" s="27"/>
      <c r="BN643" s="28" t="str">
        <f aca="false">IF(OR(AX643="Yes",BI643="Yes"),"Yes",IF(AND(AX643="No",BI643="No"),"No",IF(AND(AX643="",BI643=""),"","Unknown")))</f>
        <v/>
      </c>
      <c r="BO643" s="31" t="str">
        <f aca="false">IF(COUNT(AY643,BJ643)=0,"",MIN(AY643,BJ643))</f>
        <v/>
      </c>
      <c r="BP643" s="29"/>
      <c r="BQ643" s="29"/>
      <c r="BR643" s="29"/>
      <c r="BS643" s="28" t="str">
        <f aca="false">IF(AND(N(BP643)&gt;0,N(BR643)&gt;0),BR643-BP643,"")</f>
        <v/>
      </c>
      <c r="BT643" s="28" t="str">
        <f aca="false">IF(BS643="","",ROUND(BS643/365.25,2))</f>
        <v/>
      </c>
      <c r="BU643" s="28" t="str">
        <f aca="false">IF(BS643="","",IF(BS643&gt;=730.5,"Yes","No"))</f>
        <v/>
      </c>
      <c r="BV643" s="27"/>
      <c r="BW643" s="29"/>
      <c r="BX643" s="27"/>
      <c r="BY643" s="27"/>
      <c r="BZ643" s="28" t="str">
        <f aca="false">IF(N(E643)=0,"",IF(E643&lt;65,"Under 65","≥65"))</f>
        <v/>
      </c>
      <c r="CA643" s="28" t="str">
        <f aca="false">IF(OR(AC643="Yes",AC643="No"),AC643,"")</f>
        <v/>
      </c>
      <c r="CB643" s="28" t="str">
        <f aca="false">IF(OR(AD643="Yes",AD643="No"),AD643,"")</f>
        <v/>
      </c>
      <c r="CC643" s="28" t="str">
        <f aca="false">IF(F643="","",F643)</f>
        <v/>
      </c>
      <c r="CD643" s="27"/>
      <c r="CE643" s="27"/>
    </row>
    <row r="644" customFormat="false" ht="15" hidden="false" customHeight="false" outlineLevel="0" collapsed="false">
      <c r="A644" s="27"/>
      <c r="B644" s="27"/>
      <c r="C644" s="27"/>
      <c r="D644" s="27"/>
      <c r="E644" s="27"/>
      <c r="F644" s="27"/>
      <c r="G644" s="27"/>
      <c r="H644" s="27"/>
      <c r="I644" s="27"/>
      <c r="J644" s="28" t="str">
        <f aca="false">IF(AND(N(H644)&gt;0,N(I644)&gt;0),ROUND(I644/(H644/100)^2,1),"")</f>
        <v/>
      </c>
      <c r="K644" s="27"/>
      <c r="L644" s="27"/>
      <c r="M644" s="27"/>
      <c r="N644" s="27"/>
      <c r="O644" s="27"/>
      <c r="P644" s="27"/>
      <c r="Q644" s="27"/>
      <c r="R644" s="29"/>
      <c r="S644" s="29"/>
      <c r="T644" s="27"/>
      <c r="U644" s="28" t="str">
        <f aca="false">IF(N(T644)=0,"",IF(T644&lt;12,"Under 12 months",IF(T644&lt;36,"12-35 months",IF(T644&lt;60,"36-59 months","≥60 months"))))</f>
        <v/>
      </c>
      <c r="V644" s="27"/>
      <c r="W644" s="30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9"/>
      <c r="AT644" s="30"/>
      <c r="AU644" s="30"/>
      <c r="AV644" s="30"/>
      <c r="AW644" s="27"/>
      <c r="AX644" s="27"/>
      <c r="AY644" s="29"/>
      <c r="AZ644" s="27"/>
      <c r="BA644" s="27"/>
      <c r="BB644" s="29"/>
      <c r="BC644" s="30"/>
      <c r="BD644" s="30"/>
      <c r="BE644" s="30"/>
      <c r="BF644" s="27"/>
      <c r="BG644" s="27"/>
      <c r="BH644" s="28" t="str">
        <f aca="false">IF(COUNT(BC644:BE644)=0,"",IF(MIN(BC644:BE644)&lt;=-2.5,"Yes","No"))</f>
        <v/>
      </c>
      <c r="BI644" s="27"/>
      <c r="BJ644" s="29"/>
      <c r="BK644" s="27"/>
      <c r="BL644" s="27"/>
      <c r="BM644" s="27"/>
      <c r="BN644" s="28" t="str">
        <f aca="false">IF(OR(AX644="Yes",BI644="Yes"),"Yes",IF(AND(AX644="No",BI644="No"),"No",IF(AND(AX644="",BI644=""),"","Unknown")))</f>
        <v/>
      </c>
      <c r="BO644" s="31" t="str">
        <f aca="false">IF(COUNT(AY644,BJ644)=0,"",MIN(AY644,BJ644))</f>
        <v/>
      </c>
      <c r="BP644" s="29"/>
      <c r="BQ644" s="29"/>
      <c r="BR644" s="29"/>
      <c r="BS644" s="28" t="str">
        <f aca="false">IF(AND(N(BP644)&gt;0,N(BR644)&gt;0),BR644-BP644,"")</f>
        <v/>
      </c>
      <c r="BT644" s="28" t="str">
        <f aca="false">IF(BS644="","",ROUND(BS644/365.25,2))</f>
        <v/>
      </c>
      <c r="BU644" s="28" t="str">
        <f aca="false">IF(BS644="","",IF(BS644&gt;=730.5,"Yes","No"))</f>
        <v/>
      </c>
      <c r="BV644" s="27"/>
      <c r="BW644" s="29"/>
      <c r="BX644" s="27"/>
      <c r="BY644" s="27"/>
      <c r="BZ644" s="28" t="str">
        <f aca="false">IF(N(E644)=0,"",IF(E644&lt;65,"Under 65","≥65"))</f>
        <v/>
      </c>
      <c r="CA644" s="28" t="str">
        <f aca="false">IF(OR(AC644="Yes",AC644="No"),AC644,"")</f>
        <v/>
      </c>
      <c r="CB644" s="28" t="str">
        <f aca="false">IF(OR(AD644="Yes",AD644="No"),AD644,"")</f>
        <v/>
      </c>
      <c r="CC644" s="28" t="str">
        <f aca="false">IF(F644="","",F644)</f>
        <v/>
      </c>
      <c r="CD644" s="27"/>
      <c r="CE644" s="27"/>
    </row>
    <row r="645" customFormat="false" ht="15" hidden="false" customHeight="false" outlineLevel="0" collapsed="false">
      <c r="A645" s="27"/>
      <c r="B645" s="27"/>
      <c r="C645" s="27"/>
      <c r="D645" s="27"/>
      <c r="E645" s="27"/>
      <c r="F645" s="27"/>
      <c r="G645" s="27"/>
      <c r="H645" s="27"/>
      <c r="I645" s="27"/>
      <c r="J645" s="28" t="str">
        <f aca="false">IF(AND(N(H645)&gt;0,N(I645)&gt;0),ROUND(I645/(H645/100)^2,1),"")</f>
        <v/>
      </c>
      <c r="K645" s="27"/>
      <c r="L645" s="27"/>
      <c r="M645" s="27"/>
      <c r="N645" s="27"/>
      <c r="O645" s="27"/>
      <c r="P645" s="27"/>
      <c r="Q645" s="27"/>
      <c r="R645" s="29"/>
      <c r="S645" s="29"/>
      <c r="T645" s="27"/>
      <c r="U645" s="28" t="str">
        <f aca="false">IF(N(T645)=0,"",IF(T645&lt;12,"Under 12 months",IF(T645&lt;36,"12-35 months",IF(T645&lt;60,"36-59 months","≥60 months"))))</f>
        <v/>
      </c>
      <c r="V645" s="27"/>
      <c r="W645" s="30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9"/>
      <c r="AT645" s="30"/>
      <c r="AU645" s="30"/>
      <c r="AV645" s="30"/>
      <c r="AW645" s="27"/>
      <c r="AX645" s="27"/>
      <c r="AY645" s="29"/>
      <c r="AZ645" s="27"/>
      <c r="BA645" s="27"/>
      <c r="BB645" s="29"/>
      <c r="BC645" s="30"/>
      <c r="BD645" s="30"/>
      <c r="BE645" s="30"/>
      <c r="BF645" s="27"/>
      <c r="BG645" s="27"/>
      <c r="BH645" s="28" t="str">
        <f aca="false">IF(COUNT(BC645:BE645)=0,"",IF(MIN(BC645:BE645)&lt;=-2.5,"Yes","No"))</f>
        <v/>
      </c>
      <c r="BI645" s="27"/>
      <c r="BJ645" s="29"/>
      <c r="BK645" s="27"/>
      <c r="BL645" s="27"/>
      <c r="BM645" s="27"/>
      <c r="BN645" s="28" t="str">
        <f aca="false">IF(OR(AX645="Yes",BI645="Yes"),"Yes",IF(AND(AX645="No",BI645="No"),"No",IF(AND(AX645="",BI645=""),"","Unknown")))</f>
        <v/>
      </c>
      <c r="BO645" s="31" t="str">
        <f aca="false">IF(COUNT(AY645,BJ645)=0,"",MIN(AY645,BJ645))</f>
        <v/>
      </c>
      <c r="BP645" s="29"/>
      <c r="BQ645" s="29"/>
      <c r="BR645" s="29"/>
      <c r="BS645" s="28" t="str">
        <f aca="false">IF(AND(N(BP645)&gt;0,N(BR645)&gt;0),BR645-BP645,"")</f>
        <v/>
      </c>
      <c r="BT645" s="28" t="str">
        <f aca="false">IF(BS645="","",ROUND(BS645/365.25,2))</f>
        <v/>
      </c>
      <c r="BU645" s="28" t="str">
        <f aca="false">IF(BS645="","",IF(BS645&gt;=730.5,"Yes","No"))</f>
        <v/>
      </c>
      <c r="BV645" s="27"/>
      <c r="BW645" s="29"/>
      <c r="BX645" s="27"/>
      <c r="BY645" s="27"/>
      <c r="BZ645" s="28" t="str">
        <f aca="false">IF(N(E645)=0,"",IF(E645&lt;65,"Under 65","≥65"))</f>
        <v/>
      </c>
      <c r="CA645" s="28" t="str">
        <f aca="false">IF(OR(AC645="Yes",AC645="No"),AC645,"")</f>
        <v/>
      </c>
      <c r="CB645" s="28" t="str">
        <f aca="false">IF(OR(AD645="Yes",AD645="No"),AD645,"")</f>
        <v/>
      </c>
      <c r="CC645" s="28" t="str">
        <f aca="false">IF(F645="","",F645)</f>
        <v/>
      </c>
      <c r="CD645" s="27"/>
      <c r="CE645" s="27"/>
    </row>
    <row r="646" customFormat="false" ht="15" hidden="false" customHeight="false" outlineLevel="0" collapsed="false">
      <c r="A646" s="27"/>
      <c r="B646" s="27"/>
      <c r="C646" s="27"/>
      <c r="D646" s="27"/>
      <c r="E646" s="27"/>
      <c r="F646" s="27"/>
      <c r="G646" s="27"/>
      <c r="H646" s="27"/>
      <c r="I646" s="27"/>
      <c r="J646" s="28" t="str">
        <f aca="false">IF(AND(N(H646)&gt;0,N(I646)&gt;0),ROUND(I646/(H646/100)^2,1),"")</f>
        <v/>
      </c>
      <c r="K646" s="27"/>
      <c r="L646" s="27"/>
      <c r="M646" s="27"/>
      <c r="N646" s="27"/>
      <c r="O646" s="27"/>
      <c r="P646" s="27"/>
      <c r="Q646" s="27"/>
      <c r="R646" s="29"/>
      <c r="S646" s="29"/>
      <c r="T646" s="27"/>
      <c r="U646" s="28" t="str">
        <f aca="false">IF(N(T646)=0,"",IF(T646&lt;12,"Under 12 months",IF(T646&lt;36,"12-35 months",IF(T646&lt;60,"36-59 months","≥60 months"))))</f>
        <v/>
      </c>
      <c r="V646" s="27"/>
      <c r="W646" s="30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9"/>
      <c r="AT646" s="30"/>
      <c r="AU646" s="30"/>
      <c r="AV646" s="30"/>
      <c r="AW646" s="27"/>
      <c r="AX646" s="27"/>
      <c r="AY646" s="29"/>
      <c r="AZ646" s="27"/>
      <c r="BA646" s="27"/>
      <c r="BB646" s="29"/>
      <c r="BC646" s="30"/>
      <c r="BD646" s="30"/>
      <c r="BE646" s="30"/>
      <c r="BF646" s="27"/>
      <c r="BG646" s="27"/>
      <c r="BH646" s="28" t="str">
        <f aca="false">IF(COUNT(BC646:BE646)=0,"",IF(MIN(BC646:BE646)&lt;=-2.5,"Yes","No"))</f>
        <v/>
      </c>
      <c r="BI646" s="27"/>
      <c r="BJ646" s="29"/>
      <c r="BK646" s="27"/>
      <c r="BL646" s="27"/>
      <c r="BM646" s="27"/>
      <c r="BN646" s="28" t="str">
        <f aca="false">IF(OR(AX646="Yes",BI646="Yes"),"Yes",IF(AND(AX646="No",BI646="No"),"No",IF(AND(AX646="",BI646=""),"","Unknown")))</f>
        <v/>
      </c>
      <c r="BO646" s="31" t="str">
        <f aca="false">IF(COUNT(AY646,BJ646)=0,"",MIN(AY646,BJ646))</f>
        <v/>
      </c>
      <c r="BP646" s="29"/>
      <c r="BQ646" s="29"/>
      <c r="BR646" s="29"/>
      <c r="BS646" s="28" t="str">
        <f aca="false">IF(AND(N(BP646)&gt;0,N(BR646)&gt;0),BR646-BP646,"")</f>
        <v/>
      </c>
      <c r="BT646" s="28" t="str">
        <f aca="false">IF(BS646="","",ROUND(BS646/365.25,2))</f>
        <v/>
      </c>
      <c r="BU646" s="28" t="str">
        <f aca="false">IF(BS646="","",IF(BS646&gt;=730.5,"Yes","No"))</f>
        <v/>
      </c>
      <c r="BV646" s="27"/>
      <c r="BW646" s="29"/>
      <c r="BX646" s="27"/>
      <c r="BY646" s="27"/>
      <c r="BZ646" s="28" t="str">
        <f aca="false">IF(N(E646)=0,"",IF(E646&lt;65,"Under 65","≥65"))</f>
        <v/>
      </c>
      <c r="CA646" s="28" t="str">
        <f aca="false">IF(OR(AC646="Yes",AC646="No"),AC646,"")</f>
        <v/>
      </c>
      <c r="CB646" s="28" t="str">
        <f aca="false">IF(OR(AD646="Yes",AD646="No"),AD646,"")</f>
        <v/>
      </c>
      <c r="CC646" s="28" t="str">
        <f aca="false">IF(F646="","",F646)</f>
        <v/>
      </c>
      <c r="CD646" s="27"/>
      <c r="CE646" s="27"/>
    </row>
    <row r="647" customFormat="false" ht="15" hidden="false" customHeight="false" outlineLevel="0" collapsed="false">
      <c r="A647" s="27"/>
      <c r="B647" s="27"/>
      <c r="C647" s="27"/>
      <c r="D647" s="27"/>
      <c r="E647" s="27"/>
      <c r="F647" s="27"/>
      <c r="G647" s="27"/>
      <c r="H647" s="27"/>
      <c r="I647" s="27"/>
      <c r="J647" s="28" t="str">
        <f aca="false">IF(AND(N(H647)&gt;0,N(I647)&gt;0),ROUND(I647/(H647/100)^2,1),"")</f>
        <v/>
      </c>
      <c r="K647" s="27"/>
      <c r="L647" s="27"/>
      <c r="M647" s="27"/>
      <c r="N647" s="27"/>
      <c r="O647" s="27"/>
      <c r="P647" s="27"/>
      <c r="Q647" s="27"/>
      <c r="R647" s="29"/>
      <c r="S647" s="29"/>
      <c r="T647" s="27"/>
      <c r="U647" s="28" t="str">
        <f aca="false">IF(N(T647)=0,"",IF(T647&lt;12,"Under 12 months",IF(T647&lt;36,"12-35 months",IF(T647&lt;60,"36-59 months","≥60 months"))))</f>
        <v/>
      </c>
      <c r="V647" s="27"/>
      <c r="W647" s="30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9"/>
      <c r="AT647" s="30"/>
      <c r="AU647" s="30"/>
      <c r="AV647" s="30"/>
      <c r="AW647" s="27"/>
      <c r="AX647" s="27"/>
      <c r="AY647" s="29"/>
      <c r="AZ647" s="27"/>
      <c r="BA647" s="27"/>
      <c r="BB647" s="29"/>
      <c r="BC647" s="30"/>
      <c r="BD647" s="30"/>
      <c r="BE647" s="30"/>
      <c r="BF647" s="27"/>
      <c r="BG647" s="27"/>
      <c r="BH647" s="28" t="str">
        <f aca="false">IF(COUNT(BC647:BE647)=0,"",IF(MIN(BC647:BE647)&lt;=-2.5,"Yes","No"))</f>
        <v/>
      </c>
      <c r="BI647" s="27"/>
      <c r="BJ647" s="29"/>
      <c r="BK647" s="27"/>
      <c r="BL647" s="27"/>
      <c r="BM647" s="27"/>
      <c r="BN647" s="28" t="str">
        <f aca="false">IF(OR(AX647="Yes",BI647="Yes"),"Yes",IF(AND(AX647="No",BI647="No"),"No",IF(AND(AX647="",BI647=""),"","Unknown")))</f>
        <v/>
      </c>
      <c r="BO647" s="31" t="str">
        <f aca="false">IF(COUNT(AY647,BJ647)=0,"",MIN(AY647,BJ647))</f>
        <v/>
      </c>
      <c r="BP647" s="29"/>
      <c r="BQ647" s="29"/>
      <c r="BR647" s="29"/>
      <c r="BS647" s="28" t="str">
        <f aca="false">IF(AND(N(BP647)&gt;0,N(BR647)&gt;0),BR647-BP647,"")</f>
        <v/>
      </c>
      <c r="BT647" s="28" t="str">
        <f aca="false">IF(BS647="","",ROUND(BS647/365.25,2))</f>
        <v/>
      </c>
      <c r="BU647" s="28" t="str">
        <f aca="false">IF(BS647="","",IF(BS647&gt;=730.5,"Yes","No"))</f>
        <v/>
      </c>
      <c r="BV647" s="27"/>
      <c r="BW647" s="29"/>
      <c r="BX647" s="27"/>
      <c r="BY647" s="27"/>
      <c r="BZ647" s="28" t="str">
        <f aca="false">IF(N(E647)=0,"",IF(E647&lt;65,"Under 65","≥65"))</f>
        <v/>
      </c>
      <c r="CA647" s="28" t="str">
        <f aca="false">IF(OR(AC647="Yes",AC647="No"),AC647,"")</f>
        <v/>
      </c>
      <c r="CB647" s="28" t="str">
        <f aca="false">IF(OR(AD647="Yes",AD647="No"),AD647,"")</f>
        <v/>
      </c>
      <c r="CC647" s="28" t="str">
        <f aca="false">IF(F647="","",F647)</f>
        <v/>
      </c>
      <c r="CD647" s="27"/>
      <c r="CE647" s="27"/>
    </row>
    <row r="648" customFormat="false" ht="15" hidden="false" customHeight="false" outlineLevel="0" collapsed="false">
      <c r="A648" s="27"/>
      <c r="B648" s="27"/>
      <c r="C648" s="27"/>
      <c r="D648" s="27"/>
      <c r="E648" s="27"/>
      <c r="F648" s="27"/>
      <c r="G648" s="27"/>
      <c r="H648" s="27"/>
      <c r="I648" s="27"/>
      <c r="J648" s="28" t="str">
        <f aca="false">IF(AND(N(H648)&gt;0,N(I648)&gt;0),ROUND(I648/(H648/100)^2,1),"")</f>
        <v/>
      </c>
      <c r="K648" s="27"/>
      <c r="L648" s="27"/>
      <c r="M648" s="27"/>
      <c r="N648" s="27"/>
      <c r="O648" s="27"/>
      <c r="P648" s="27"/>
      <c r="Q648" s="27"/>
      <c r="R648" s="29"/>
      <c r="S648" s="29"/>
      <c r="T648" s="27"/>
      <c r="U648" s="28" t="str">
        <f aca="false">IF(N(T648)=0,"",IF(T648&lt;12,"Under 12 months",IF(T648&lt;36,"12-35 months",IF(T648&lt;60,"36-59 months","≥60 months"))))</f>
        <v/>
      </c>
      <c r="V648" s="27"/>
      <c r="W648" s="30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9"/>
      <c r="AT648" s="30"/>
      <c r="AU648" s="30"/>
      <c r="AV648" s="30"/>
      <c r="AW648" s="27"/>
      <c r="AX648" s="27"/>
      <c r="AY648" s="29"/>
      <c r="AZ648" s="27"/>
      <c r="BA648" s="27"/>
      <c r="BB648" s="29"/>
      <c r="BC648" s="30"/>
      <c r="BD648" s="30"/>
      <c r="BE648" s="30"/>
      <c r="BF648" s="27"/>
      <c r="BG648" s="27"/>
      <c r="BH648" s="28" t="str">
        <f aca="false">IF(COUNT(BC648:BE648)=0,"",IF(MIN(BC648:BE648)&lt;=-2.5,"Yes","No"))</f>
        <v/>
      </c>
      <c r="BI648" s="27"/>
      <c r="BJ648" s="29"/>
      <c r="BK648" s="27"/>
      <c r="BL648" s="27"/>
      <c r="BM648" s="27"/>
      <c r="BN648" s="28" t="str">
        <f aca="false">IF(OR(AX648="Yes",BI648="Yes"),"Yes",IF(AND(AX648="No",BI648="No"),"No",IF(AND(AX648="",BI648=""),"","Unknown")))</f>
        <v/>
      </c>
      <c r="BO648" s="31" t="str">
        <f aca="false">IF(COUNT(AY648,BJ648)=0,"",MIN(AY648,BJ648))</f>
        <v/>
      </c>
      <c r="BP648" s="29"/>
      <c r="BQ648" s="29"/>
      <c r="BR648" s="29"/>
      <c r="BS648" s="28" t="str">
        <f aca="false">IF(AND(N(BP648)&gt;0,N(BR648)&gt;0),BR648-BP648,"")</f>
        <v/>
      </c>
      <c r="BT648" s="28" t="str">
        <f aca="false">IF(BS648="","",ROUND(BS648/365.25,2))</f>
        <v/>
      </c>
      <c r="BU648" s="28" t="str">
        <f aca="false">IF(BS648="","",IF(BS648&gt;=730.5,"Yes","No"))</f>
        <v/>
      </c>
      <c r="BV648" s="27"/>
      <c r="BW648" s="29"/>
      <c r="BX648" s="27"/>
      <c r="BY648" s="27"/>
      <c r="BZ648" s="28" t="str">
        <f aca="false">IF(N(E648)=0,"",IF(E648&lt;65,"Under 65","≥65"))</f>
        <v/>
      </c>
      <c r="CA648" s="28" t="str">
        <f aca="false">IF(OR(AC648="Yes",AC648="No"),AC648,"")</f>
        <v/>
      </c>
      <c r="CB648" s="28" t="str">
        <f aca="false">IF(OR(AD648="Yes",AD648="No"),AD648,"")</f>
        <v/>
      </c>
      <c r="CC648" s="28" t="str">
        <f aca="false">IF(F648="","",F648)</f>
        <v/>
      </c>
      <c r="CD648" s="27"/>
      <c r="CE648" s="27"/>
    </row>
    <row r="649" customFormat="false" ht="15" hidden="false" customHeight="false" outlineLevel="0" collapsed="false">
      <c r="A649" s="27"/>
      <c r="B649" s="27"/>
      <c r="C649" s="27"/>
      <c r="D649" s="27"/>
      <c r="E649" s="27"/>
      <c r="F649" s="27"/>
      <c r="G649" s="27"/>
      <c r="H649" s="27"/>
      <c r="I649" s="27"/>
      <c r="J649" s="28" t="str">
        <f aca="false">IF(AND(N(H649)&gt;0,N(I649)&gt;0),ROUND(I649/(H649/100)^2,1),"")</f>
        <v/>
      </c>
      <c r="K649" s="27"/>
      <c r="L649" s="27"/>
      <c r="M649" s="27"/>
      <c r="N649" s="27"/>
      <c r="O649" s="27"/>
      <c r="P649" s="27"/>
      <c r="Q649" s="27"/>
      <c r="R649" s="29"/>
      <c r="S649" s="29"/>
      <c r="T649" s="27"/>
      <c r="U649" s="28" t="str">
        <f aca="false">IF(N(T649)=0,"",IF(T649&lt;12,"Under 12 months",IF(T649&lt;36,"12-35 months",IF(T649&lt;60,"36-59 months","≥60 months"))))</f>
        <v/>
      </c>
      <c r="V649" s="27"/>
      <c r="W649" s="30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9"/>
      <c r="AT649" s="30"/>
      <c r="AU649" s="30"/>
      <c r="AV649" s="30"/>
      <c r="AW649" s="27"/>
      <c r="AX649" s="27"/>
      <c r="AY649" s="29"/>
      <c r="AZ649" s="27"/>
      <c r="BA649" s="27"/>
      <c r="BB649" s="29"/>
      <c r="BC649" s="30"/>
      <c r="BD649" s="30"/>
      <c r="BE649" s="30"/>
      <c r="BF649" s="27"/>
      <c r="BG649" s="27"/>
      <c r="BH649" s="28" t="str">
        <f aca="false">IF(COUNT(BC649:BE649)=0,"",IF(MIN(BC649:BE649)&lt;=-2.5,"Yes","No"))</f>
        <v/>
      </c>
      <c r="BI649" s="27"/>
      <c r="BJ649" s="29"/>
      <c r="BK649" s="27"/>
      <c r="BL649" s="27"/>
      <c r="BM649" s="27"/>
      <c r="BN649" s="28" t="str">
        <f aca="false">IF(OR(AX649="Yes",BI649="Yes"),"Yes",IF(AND(AX649="No",BI649="No"),"No",IF(AND(AX649="",BI649=""),"","Unknown")))</f>
        <v/>
      </c>
      <c r="BO649" s="31" t="str">
        <f aca="false">IF(COUNT(AY649,BJ649)=0,"",MIN(AY649,BJ649))</f>
        <v/>
      </c>
      <c r="BP649" s="29"/>
      <c r="BQ649" s="29"/>
      <c r="BR649" s="29"/>
      <c r="BS649" s="28" t="str">
        <f aca="false">IF(AND(N(BP649)&gt;0,N(BR649)&gt;0),BR649-BP649,"")</f>
        <v/>
      </c>
      <c r="BT649" s="28" t="str">
        <f aca="false">IF(BS649="","",ROUND(BS649/365.25,2))</f>
        <v/>
      </c>
      <c r="BU649" s="28" t="str">
        <f aca="false">IF(BS649="","",IF(BS649&gt;=730.5,"Yes","No"))</f>
        <v/>
      </c>
      <c r="BV649" s="27"/>
      <c r="BW649" s="29"/>
      <c r="BX649" s="27"/>
      <c r="BY649" s="27"/>
      <c r="BZ649" s="28" t="str">
        <f aca="false">IF(N(E649)=0,"",IF(E649&lt;65,"Under 65","≥65"))</f>
        <v/>
      </c>
      <c r="CA649" s="28" t="str">
        <f aca="false">IF(OR(AC649="Yes",AC649="No"),AC649,"")</f>
        <v/>
      </c>
      <c r="CB649" s="28" t="str">
        <f aca="false">IF(OR(AD649="Yes",AD649="No"),AD649,"")</f>
        <v/>
      </c>
      <c r="CC649" s="28" t="str">
        <f aca="false">IF(F649="","",F649)</f>
        <v/>
      </c>
      <c r="CD649" s="27"/>
      <c r="CE649" s="27"/>
    </row>
    <row r="650" customFormat="false" ht="15" hidden="false" customHeight="false" outlineLevel="0" collapsed="false">
      <c r="A650" s="27"/>
      <c r="B650" s="27"/>
      <c r="C650" s="27"/>
      <c r="D650" s="27"/>
      <c r="E650" s="27"/>
      <c r="F650" s="27"/>
      <c r="G650" s="27"/>
      <c r="H650" s="27"/>
      <c r="I650" s="27"/>
      <c r="J650" s="28" t="str">
        <f aca="false">IF(AND(N(H650)&gt;0,N(I650)&gt;0),ROUND(I650/(H650/100)^2,1),"")</f>
        <v/>
      </c>
      <c r="K650" s="27"/>
      <c r="L650" s="27"/>
      <c r="M650" s="27"/>
      <c r="N650" s="27"/>
      <c r="O650" s="27"/>
      <c r="P650" s="27"/>
      <c r="Q650" s="27"/>
      <c r="R650" s="29"/>
      <c r="S650" s="29"/>
      <c r="T650" s="27"/>
      <c r="U650" s="28" t="str">
        <f aca="false">IF(N(T650)=0,"",IF(T650&lt;12,"Under 12 months",IF(T650&lt;36,"12-35 months",IF(T650&lt;60,"36-59 months","≥60 months"))))</f>
        <v/>
      </c>
      <c r="V650" s="27"/>
      <c r="W650" s="30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9"/>
      <c r="AT650" s="30"/>
      <c r="AU650" s="30"/>
      <c r="AV650" s="30"/>
      <c r="AW650" s="27"/>
      <c r="AX650" s="27"/>
      <c r="AY650" s="29"/>
      <c r="AZ650" s="27"/>
      <c r="BA650" s="27"/>
      <c r="BB650" s="29"/>
      <c r="BC650" s="30"/>
      <c r="BD650" s="30"/>
      <c r="BE650" s="30"/>
      <c r="BF650" s="27"/>
      <c r="BG650" s="27"/>
      <c r="BH650" s="28" t="str">
        <f aca="false">IF(COUNT(BC650:BE650)=0,"",IF(MIN(BC650:BE650)&lt;=-2.5,"Yes","No"))</f>
        <v/>
      </c>
      <c r="BI650" s="27"/>
      <c r="BJ650" s="29"/>
      <c r="BK650" s="27"/>
      <c r="BL650" s="27"/>
      <c r="BM650" s="27"/>
      <c r="BN650" s="28" t="str">
        <f aca="false">IF(OR(AX650="Yes",BI650="Yes"),"Yes",IF(AND(AX650="No",BI650="No"),"No",IF(AND(AX650="",BI650=""),"","Unknown")))</f>
        <v/>
      </c>
      <c r="BO650" s="31" t="str">
        <f aca="false">IF(COUNT(AY650,BJ650)=0,"",MIN(AY650,BJ650))</f>
        <v/>
      </c>
      <c r="BP650" s="29"/>
      <c r="BQ650" s="29"/>
      <c r="BR650" s="29"/>
      <c r="BS650" s="28" t="str">
        <f aca="false">IF(AND(N(BP650)&gt;0,N(BR650)&gt;0),BR650-BP650,"")</f>
        <v/>
      </c>
      <c r="BT650" s="28" t="str">
        <f aca="false">IF(BS650="","",ROUND(BS650/365.25,2))</f>
        <v/>
      </c>
      <c r="BU650" s="28" t="str">
        <f aca="false">IF(BS650="","",IF(BS650&gt;=730.5,"Yes","No"))</f>
        <v/>
      </c>
      <c r="BV650" s="27"/>
      <c r="BW650" s="29"/>
      <c r="BX650" s="27"/>
      <c r="BY650" s="27"/>
      <c r="BZ650" s="28" t="str">
        <f aca="false">IF(N(E650)=0,"",IF(E650&lt;65,"Under 65","≥65"))</f>
        <v/>
      </c>
      <c r="CA650" s="28" t="str">
        <f aca="false">IF(OR(AC650="Yes",AC650="No"),AC650,"")</f>
        <v/>
      </c>
      <c r="CB650" s="28" t="str">
        <f aca="false">IF(OR(AD650="Yes",AD650="No"),AD650,"")</f>
        <v/>
      </c>
      <c r="CC650" s="28" t="str">
        <f aca="false">IF(F650="","",F650)</f>
        <v/>
      </c>
      <c r="CD650" s="27"/>
      <c r="CE650" s="27"/>
    </row>
    <row r="651" customFormat="false" ht="15" hidden="false" customHeight="false" outlineLevel="0" collapsed="false">
      <c r="A651" s="27"/>
      <c r="B651" s="27"/>
      <c r="C651" s="27"/>
      <c r="D651" s="27"/>
      <c r="E651" s="27"/>
      <c r="F651" s="27"/>
      <c r="G651" s="27"/>
      <c r="H651" s="27"/>
      <c r="I651" s="27"/>
      <c r="J651" s="28" t="str">
        <f aca="false">IF(AND(N(H651)&gt;0,N(I651)&gt;0),ROUND(I651/(H651/100)^2,1),"")</f>
        <v/>
      </c>
      <c r="K651" s="27"/>
      <c r="L651" s="27"/>
      <c r="M651" s="27"/>
      <c r="N651" s="27"/>
      <c r="O651" s="27"/>
      <c r="P651" s="27"/>
      <c r="Q651" s="27"/>
      <c r="R651" s="29"/>
      <c r="S651" s="29"/>
      <c r="T651" s="27"/>
      <c r="U651" s="28" t="str">
        <f aca="false">IF(N(T651)=0,"",IF(T651&lt;12,"Under 12 months",IF(T651&lt;36,"12-35 months",IF(T651&lt;60,"36-59 months","≥60 months"))))</f>
        <v/>
      </c>
      <c r="V651" s="27"/>
      <c r="W651" s="30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9"/>
      <c r="AT651" s="30"/>
      <c r="AU651" s="30"/>
      <c r="AV651" s="30"/>
      <c r="AW651" s="27"/>
      <c r="AX651" s="27"/>
      <c r="AY651" s="29"/>
      <c r="AZ651" s="27"/>
      <c r="BA651" s="27"/>
      <c r="BB651" s="29"/>
      <c r="BC651" s="30"/>
      <c r="BD651" s="30"/>
      <c r="BE651" s="30"/>
      <c r="BF651" s="27"/>
      <c r="BG651" s="27"/>
      <c r="BH651" s="28" t="str">
        <f aca="false">IF(COUNT(BC651:BE651)=0,"",IF(MIN(BC651:BE651)&lt;=-2.5,"Yes","No"))</f>
        <v/>
      </c>
      <c r="BI651" s="27"/>
      <c r="BJ651" s="29"/>
      <c r="BK651" s="27"/>
      <c r="BL651" s="27"/>
      <c r="BM651" s="27"/>
      <c r="BN651" s="28" t="str">
        <f aca="false">IF(OR(AX651="Yes",BI651="Yes"),"Yes",IF(AND(AX651="No",BI651="No"),"No",IF(AND(AX651="",BI651=""),"","Unknown")))</f>
        <v/>
      </c>
      <c r="BO651" s="31" t="str">
        <f aca="false">IF(COUNT(AY651,BJ651)=0,"",MIN(AY651,BJ651))</f>
        <v/>
      </c>
      <c r="BP651" s="29"/>
      <c r="BQ651" s="29"/>
      <c r="BR651" s="29"/>
      <c r="BS651" s="28" t="str">
        <f aca="false">IF(AND(N(BP651)&gt;0,N(BR651)&gt;0),BR651-BP651,"")</f>
        <v/>
      </c>
      <c r="BT651" s="28" t="str">
        <f aca="false">IF(BS651="","",ROUND(BS651/365.25,2))</f>
        <v/>
      </c>
      <c r="BU651" s="28" t="str">
        <f aca="false">IF(BS651="","",IF(BS651&gt;=730.5,"Yes","No"))</f>
        <v/>
      </c>
      <c r="BV651" s="27"/>
      <c r="BW651" s="29"/>
      <c r="BX651" s="27"/>
      <c r="BY651" s="27"/>
      <c r="BZ651" s="28" t="str">
        <f aca="false">IF(N(E651)=0,"",IF(E651&lt;65,"Under 65","≥65"))</f>
        <v/>
      </c>
      <c r="CA651" s="28" t="str">
        <f aca="false">IF(OR(AC651="Yes",AC651="No"),AC651,"")</f>
        <v/>
      </c>
      <c r="CB651" s="28" t="str">
        <f aca="false">IF(OR(AD651="Yes",AD651="No"),AD651,"")</f>
        <v/>
      </c>
      <c r="CC651" s="28" t="str">
        <f aca="false">IF(F651="","",F651)</f>
        <v/>
      </c>
      <c r="CD651" s="27"/>
      <c r="CE651" s="27"/>
    </row>
    <row r="652" customFormat="false" ht="15" hidden="false" customHeight="false" outlineLevel="0" collapsed="false">
      <c r="A652" s="27"/>
      <c r="B652" s="27"/>
      <c r="C652" s="27"/>
      <c r="D652" s="27"/>
      <c r="E652" s="27"/>
      <c r="F652" s="27"/>
      <c r="G652" s="27"/>
      <c r="H652" s="27"/>
      <c r="I652" s="27"/>
      <c r="J652" s="28" t="str">
        <f aca="false">IF(AND(N(H652)&gt;0,N(I652)&gt;0),ROUND(I652/(H652/100)^2,1),"")</f>
        <v/>
      </c>
      <c r="K652" s="27"/>
      <c r="L652" s="27"/>
      <c r="M652" s="27"/>
      <c r="N652" s="27"/>
      <c r="O652" s="27"/>
      <c r="P652" s="27"/>
      <c r="Q652" s="27"/>
      <c r="R652" s="29"/>
      <c r="S652" s="29"/>
      <c r="T652" s="27"/>
      <c r="U652" s="28" t="str">
        <f aca="false">IF(N(T652)=0,"",IF(T652&lt;12,"Under 12 months",IF(T652&lt;36,"12-35 months",IF(T652&lt;60,"36-59 months","≥60 months"))))</f>
        <v/>
      </c>
      <c r="V652" s="27"/>
      <c r="W652" s="30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9"/>
      <c r="AT652" s="30"/>
      <c r="AU652" s="30"/>
      <c r="AV652" s="30"/>
      <c r="AW652" s="27"/>
      <c r="AX652" s="27"/>
      <c r="AY652" s="29"/>
      <c r="AZ652" s="27"/>
      <c r="BA652" s="27"/>
      <c r="BB652" s="29"/>
      <c r="BC652" s="30"/>
      <c r="BD652" s="30"/>
      <c r="BE652" s="30"/>
      <c r="BF652" s="27"/>
      <c r="BG652" s="27"/>
      <c r="BH652" s="28" t="str">
        <f aca="false">IF(COUNT(BC652:BE652)=0,"",IF(MIN(BC652:BE652)&lt;=-2.5,"Yes","No"))</f>
        <v/>
      </c>
      <c r="BI652" s="27"/>
      <c r="BJ652" s="29"/>
      <c r="BK652" s="27"/>
      <c r="BL652" s="27"/>
      <c r="BM652" s="27"/>
      <c r="BN652" s="28" t="str">
        <f aca="false">IF(OR(AX652="Yes",BI652="Yes"),"Yes",IF(AND(AX652="No",BI652="No"),"No",IF(AND(AX652="",BI652=""),"","Unknown")))</f>
        <v/>
      </c>
      <c r="BO652" s="31" t="str">
        <f aca="false">IF(COUNT(AY652,BJ652)=0,"",MIN(AY652,BJ652))</f>
        <v/>
      </c>
      <c r="BP652" s="29"/>
      <c r="BQ652" s="29"/>
      <c r="BR652" s="29"/>
      <c r="BS652" s="28" t="str">
        <f aca="false">IF(AND(N(BP652)&gt;0,N(BR652)&gt;0),BR652-BP652,"")</f>
        <v/>
      </c>
      <c r="BT652" s="28" t="str">
        <f aca="false">IF(BS652="","",ROUND(BS652/365.25,2))</f>
        <v/>
      </c>
      <c r="BU652" s="28" t="str">
        <f aca="false">IF(BS652="","",IF(BS652&gt;=730.5,"Yes","No"))</f>
        <v/>
      </c>
      <c r="BV652" s="27"/>
      <c r="BW652" s="29"/>
      <c r="BX652" s="27"/>
      <c r="BY652" s="27"/>
      <c r="BZ652" s="28" t="str">
        <f aca="false">IF(N(E652)=0,"",IF(E652&lt;65,"Under 65","≥65"))</f>
        <v/>
      </c>
      <c r="CA652" s="28" t="str">
        <f aca="false">IF(OR(AC652="Yes",AC652="No"),AC652,"")</f>
        <v/>
      </c>
      <c r="CB652" s="28" t="str">
        <f aca="false">IF(OR(AD652="Yes",AD652="No"),AD652,"")</f>
        <v/>
      </c>
      <c r="CC652" s="28" t="str">
        <f aca="false">IF(F652="","",F652)</f>
        <v/>
      </c>
      <c r="CD652" s="27"/>
      <c r="CE652" s="27"/>
    </row>
    <row r="653" customFormat="false" ht="15" hidden="false" customHeight="false" outlineLevel="0" collapsed="false">
      <c r="A653" s="27"/>
      <c r="B653" s="27"/>
      <c r="C653" s="27"/>
      <c r="D653" s="27"/>
      <c r="E653" s="27"/>
      <c r="F653" s="27"/>
      <c r="G653" s="27"/>
      <c r="H653" s="27"/>
      <c r="I653" s="27"/>
      <c r="J653" s="28" t="str">
        <f aca="false">IF(AND(N(H653)&gt;0,N(I653)&gt;0),ROUND(I653/(H653/100)^2,1),"")</f>
        <v/>
      </c>
      <c r="K653" s="27"/>
      <c r="L653" s="27"/>
      <c r="M653" s="27"/>
      <c r="N653" s="27"/>
      <c r="O653" s="27"/>
      <c r="P653" s="27"/>
      <c r="Q653" s="27"/>
      <c r="R653" s="29"/>
      <c r="S653" s="29"/>
      <c r="T653" s="27"/>
      <c r="U653" s="28" t="str">
        <f aca="false">IF(N(T653)=0,"",IF(T653&lt;12,"Under 12 months",IF(T653&lt;36,"12-35 months",IF(T653&lt;60,"36-59 months","≥60 months"))))</f>
        <v/>
      </c>
      <c r="V653" s="27"/>
      <c r="W653" s="30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9"/>
      <c r="AT653" s="30"/>
      <c r="AU653" s="30"/>
      <c r="AV653" s="30"/>
      <c r="AW653" s="27"/>
      <c r="AX653" s="27"/>
      <c r="AY653" s="29"/>
      <c r="AZ653" s="27"/>
      <c r="BA653" s="27"/>
      <c r="BB653" s="29"/>
      <c r="BC653" s="30"/>
      <c r="BD653" s="30"/>
      <c r="BE653" s="30"/>
      <c r="BF653" s="27"/>
      <c r="BG653" s="27"/>
      <c r="BH653" s="28" t="str">
        <f aca="false">IF(COUNT(BC653:BE653)=0,"",IF(MIN(BC653:BE653)&lt;=-2.5,"Yes","No"))</f>
        <v/>
      </c>
      <c r="BI653" s="27"/>
      <c r="BJ653" s="29"/>
      <c r="BK653" s="27"/>
      <c r="BL653" s="27"/>
      <c r="BM653" s="27"/>
      <c r="BN653" s="28" t="str">
        <f aca="false">IF(OR(AX653="Yes",BI653="Yes"),"Yes",IF(AND(AX653="No",BI653="No"),"No",IF(AND(AX653="",BI653=""),"","Unknown")))</f>
        <v/>
      </c>
      <c r="BO653" s="31" t="str">
        <f aca="false">IF(COUNT(AY653,BJ653)=0,"",MIN(AY653,BJ653))</f>
        <v/>
      </c>
      <c r="BP653" s="29"/>
      <c r="BQ653" s="29"/>
      <c r="BR653" s="29"/>
      <c r="BS653" s="28" t="str">
        <f aca="false">IF(AND(N(BP653)&gt;0,N(BR653)&gt;0),BR653-BP653,"")</f>
        <v/>
      </c>
      <c r="BT653" s="28" t="str">
        <f aca="false">IF(BS653="","",ROUND(BS653/365.25,2))</f>
        <v/>
      </c>
      <c r="BU653" s="28" t="str">
        <f aca="false">IF(BS653="","",IF(BS653&gt;=730.5,"Yes","No"))</f>
        <v/>
      </c>
      <c r="BV653" s="27"/>
      <c r="BW653" s="29"/>
      <c r="BX653" s="27"/>
      <c r="BY653" s="27"/>
      <c r="BZ653" s="28" t="str">
        <f aca="false">IF(N(E653)=0,"",IF(E653&lt;65,"Under 65","≥65"))</f>
        <v/>
      </c>
      <c r="CA653" s="28" t="str">
        <f aca="false">IF(OR(AC653="Yes",AC653="No"),AC653,"")</f>
        <v/>
      </c>
      <c r="CB653" s="28" t="str">
        <f aca="false">IF(OR(AD653="Yes",AD653="No"),AD653,"")</f>
        <v/>
      </c>
      <c r="CC653" s="28" t="str">
        <f aca="false">IF(F653="","",F653)</f>
        <v/>
      </c>
      <c r="CD653" s="27"/>
      <c r="CE653" s="27"/>
    </row>
    <row r="654" customFormat="false" ht="15" hidden="false" customHeight="false" outlineLevel="0" collapsed="false">
      <c r="A654" s="27"/>
      <c r="B654" s="27"/>
      <c r="C654" s="27"/>
      <c r="D654" s="27"/>
      <c r="E654" s="27"/>
      <c r="F654" s="27"/>
      <c r="G654" s="27"/>
      <c r="H654" s="27"/>
      <c r="I654" s="27"/>
      <c r="J654" s="28" t="str">
        <f aca="false">IF(AND(N(H654)&gt;0,N(I654)&gt;0),ROUND(I654/(H654/100)^2,1),"")</f>
        <v/>
      </c>
      <c r="K654" s="27"/>
      <c r="L654" s="27"/>
      <c r="M654" s="27"/>
      <c r="N654" s="27"/>
      <c r="O654" s="27"/>
      <c r="P654" s="27"/>
      <c r="Q654" s="27"/>
      <c r="R654" s="29"/>
      <c r="S654" s="29"/>
      <c r="T654" s="27"/>
      <c r="U654" s="28" t="str">
        <f aca="false">IF(N(T654)=0,"",IF(T654&lt;12,"Under 12 months",IF(T654&lt;36,"12-35 months",IF(T654&lt;60,"36-59 months","≥60 months"))))</f>
        <v/>
      </c>
      <c r="V654" s="27"/>
      <c r="W654" s="30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9"/>
      <c r="AT654" s="30"/>
      <c r="AU654" s="30"/>
      <c r="AV654" s="30"/>
      <c r="AW654" s="27"/>
      <c r="AX654" s="27"/>
      <c r="AY654" s="29"/>
      <c r="AZ654" s="27"/>
      <c r="BA654" s="27"/>
      <c r="BB654" s="29"/>
      <c r="BC654" s="30"/>
      <c r="BD654" s="30"/>
      <c r="BE654" s="30"/>
      <c r="BF654" s="27"/>
      <c r="BG654" s="27"/>
      <c r="BH654" s="28" t="str">
        <f aca="false">IF(COUNT(BC654:BE654)=0,"",IF(MIN(BC654:BE654)&lt;=-2.5,"Yes","No"))</f>
        <v/>
      </c>
      <c r="BI654" s="27"/>
      <c r="BJ654" s="29"/>
      <c r="BK654" s="27"/>
      <c r="BL654" s="27"/>
      <c r="BM654" s="27"/>
      <c r="BN654" s="28" t="str">
        <f aca="false">IF(OR(AX654="Yes",BI654="Yes"),"Yes",IF(AND(AX654="No",BI654="No"),"No",IF(AND(AX654="",BI654=""),"","Unknown")))</f>
        <v/>
      </c>
      <c r="BO654" s="31" t="str">
        <f aca="false">IF(COUNT(AY654,BJ654)=0,"",MIN(AY654,BJ654))</f>
        <v/>
      </c>
      <c r="BP654" s="29"/>
      <c r="BQ654" s="29"/>
      <c r="BR654" s="29"/>
      <c r="BS654" s="28" t="str">
        <f aca="false">IF(AND(N(BP654)&gt;0,N(BR654)&gt;0),BR654-BP654,"")</f>
        <v/>
      </c>
      <c r="BT654" s="28" t="str">
        <f aca="false">IF(BS654="","",ROUND(BS654/365.25,2))</f>
        <v/>
      </c>
      <c r="BU654" s="28" t="str">
        <f aca="false">IF(BS654="","",IF(BS654&gt;=730.5,"Yes","No"))</f>
        <v/>
      </c>
      <c r="BV654" s="27"/>
      <c r="BW654" s="29"/>
      <c r="BX654" s="27"/>
      <c r="BY654" s="27"/>
      <c r="BZ654" s="28" t="str">
        <f aca="false">IF(N(E654)=0,"",IF(E654&lt;65,"Under 65","≥65"))</f>
        <v/>
      </c>
      <c r="CA654" s="28" t="str">
        <f aca="false">IF(OR(AC654="Yes",AC654="No"),AC654,"")</f>
        <v/>
      </c>
      <c r="CB654" s="28" t="str">
        <f aca="false">IF(OR(AD654="Yes",AD654="No"),AD654,"")</f>
        <v/>
      </c>
      <c r="CC654" s="28" t="str">
        <f aca="false">IF(F654="","",F654)</f>
        <v/>
      </c>
      <c r="CD654" s="27"/>
      <c r="CE654" s="27"/>
    </row>
    <row r="655" customFormat="false" ht="15" hidden="false" customHeight="false" outlineLevel="0" collapsed="false">
      <c r="A655" s="27"/>
      <c r="B655" s="27"/>
      <c r="C655" s="27"/>
      <c r="D655" s="27"/>
      <c r="E655" s="27"/>
      <c r="F655" s="27"/>
      <c r="G655" s="27"/>
      <c r="H655" s="27"/>
      <c r="I655" s="27"/>
      <c r="J655" s="28" t="str">
        <f aca="false">IF(AND(N(H655)&gt;0,N(I655)&gt;0),ROUND(I655/(H655/100)^2,1),"")</f>
        <v/>
      </c>
      <c r="K655" s="27"/>
      <c r="L655" s="27"/>
      <c r="M655" s="27"/>
      <c r="N655" s="27"/>
      <c r="O655" s="27"/>
      <c r="P655" s="27"/>
      <c r="Q655" s="27"/>
      <c r="R655" s="29"/>
      <c r="S655" s="29"/>
      <c r="T655" s="27"/>
      <c r="U655" s="28" t="str">
        <f aca="false">IF(N(T655)=0,"",IF(T655&lt;12,"Under 12 months",IF(T655&lt;36,"12-35 months",IF(T655&lt;60,"36-59 months","≥60 months"))))</f>
        <v/>
      </c>
      <c r="V655" s="27"/>
      <c r="W655" s="30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9"/>
      <c r="AT655" s="30"/>
      <c r="AU655" s="30"/>
      <c r="AV655" s="30"/>
      <c r="AW655" s="27"/>
      <c r="AX655" s="27"/>
      <c r="AY655" s="29"/>
      <c r="AZ655" s="27"/>
      <c r="BA655" s="27"/>
      <c r="BB655" s="29"/>
      <c r="BC655" s="30"/>
      <c r="BD655" s="30"/>
      <c r="BE655" s="30"/>
      <c r="BF655" s="27"/>
      <c r="BG655" s="27"/>
      <c r="BH655" s="28" t="str">
        <f aca="false">IF(COUNT(BC655:BE655)=0,"",IF(MIN(BC655:BE655)&lt;=-2.5,"Yes","No"))</f>
        <v/>
      </c>
      <c r="BI655" s="27"/>
      <c r="BJ655" s="29"/>
      <c r="BK655" s="27"/>
      <c r="BL655" s="27"/>
      <c r="BM655" s="27"/>
      <c r="BN655" s="28" t="str">
        <f aca="false">IF(OR(AX655="Yes",BI655="Yes"),"Yes",IF(AND(AX655="No",BI655="No"),"No",IF(AND(AX655="",BI655=""),"","Unknown")))</f>
        <v/>
      </c>
      <c r="BO655" s="31" t="str">
        <f aca="false">IF(COUNT(AY655,BJ655)=0,"",MIN(AY655,BJ655))</f>
        <v/>
      </c>
      <c r="BP655" s="29"/>
      <c r="BQ655" s="29"/>
      <c r="BR655" s="29"/>
      <c r="BS655" s="28" t="str">
        <f aca="false">IF(AND(N(BP655)&gt;0,N(BR655)&gt;0),BR655-BP655,"")</f>
        <v/>
      </c>
      <c r="BT655" s="28" t="str">
        <f aca="false">IF(BS655="","",ROUND(BS655/365.25,2))</f>
        <v/>
      </c>
      <c r="BU655" s="28" t="str">
        <f aca="false">IF(BS655="","",IF(BS655&gt;=730.5,"Yes","No"))</f>
        <v/>
      </c>
      <c r="BV655" s="27"/>
      <c r="BW655" s="29"/>
      <c r="BX655" s="27"/>
      <c r="BY655" s="27"/>
      <c r="BZ655" s="28" t="str">
        <f aca="false">IF(N(E655)=0,"",IF(E655&lt;65,"Under 65","≥65"))</f>
        <v/>
      </c>
      <c r="CA655" s="28" t="str">
        <f aca="false">IF(OR(AC655="Yes",AC655="No"),AC655,"")</f>
        <v/>
      </c>
      <c r="CB655" s="28" t="str">
        <f aca="false">IF(OR(AD655="Yes",AD655="No"),AD655,"")</f>
        <v/>
      </c>
      <c r="CC655" s="28" t="str">
        <f aca="false">IF(F655="","",F655)</f>
        <v/>
      </c>
      <c r="CD655" s="27"/>
      <c r="CE655" s="27"/>
    </row>
    <row r="656" customFormat="false" ht="15" hidden="false" customHeight="false" outlineLevel="0" collapsed="false">
      <c r="A656" s="27"/>
      <c r="B656" s="27"/>
      <c r="C656" s="27"/>
      <c r="D656" s="27"/>
      <c r="E656" s="27"/>
      <c r="F656" s="27"/>
      <c r="G656" s="27"/>
      <c r="H656" s="27"/>
      <c r="I656" s="27"/>
      <c r="J656" s="28" t="str">
        <f aca="false">IF(AND(N(H656)&gt;0,N(I656)&gt;0),ROUND(I656/(H656/100)^2,1),"")</f>
        <v/>
      </c>
      <c r="K656" s="27"/>
      <c r="L656" s="27"/>
      <c r="M656" s="27"/>
      <c r="N656" s="27"/>
      <c r="O656" s="27"/>
      <c r="P656" s="27"/>
      <c r="Q656" s="27"/>
      <c r="R656" s="29"/>
      <c r="S656" s="29"/>
      <c r="T656" s="27"/>
      <c r="U656" s="28" t="str">
        <f aca="false">IF(N(T656)=0,"",IF(T656&lt;12,"Under 12 months",IF(T656&lt;36,"12-35 months",IF(T656&lt;60,"36-59 months","≥60 months"))))</f>
        <v/>
      </c>
      <c r="V656" s="27"/>
      <c r="W656" s="30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9"/>
      <c r="AT656" s="30"/>
      <c r="AU656" s="30"/>
      <c r="AV656" s="30"/>
      <c r="AW656" s="27"/>
      <c r="AX656" s="27"/>
      <c r="AY656" s="29"/>
      <c r="AZ656" s="27"/>
      <c r="BA656" s="27"/>
      <c r="BB656" s="29"/>
      <c r="BC656" s="30"/>
      <c r="BD656" s="30"/>
      <c r="BE656" s="30"/>
      <c r="BF656" s="27"/>
      <c r="BG656" s="27"/>
      <c r="BH656" s="28" t="str">
        <f aca="false">IF(COUNT(BC656:BE656)=0,"",IF(MIN(BC656:BE656)&lt;=-2.5,"Yes","No"))</f>
        <v/>
      </c>
      <c r="BI656" s="27"/>
      <c r="BJ656" s="29"/>
      <c r="BK656" s="27"/>
      <c r="BL656" s="27"/>
      <c r="BM656" s="27"/>
      <c r="BN656" s="28" t="str">
        <f aca="false">IF(OR(AX656="Yes",BI656="Yes"),"Yes",IF(AND(AX656="No",BI656="No"),"No",IF(AND(AX656="",BI656=""),"","Unknown")))</f>
        <v/>
      </c>
      <c r="BO656" s="31" t="str">
        <f aca="false">IF(COUNT(AY656,BJ656)=0,"",MIN(AY656,BJ656))</f>
        <v/>
      </c>
      <c r="BP656" s="29"/>
      <c r="BQ656" s="29"/>
      <c r="BR656" s="29"/>
      <c r="BS656" s="28" t="str">
        <f aca="false">IF(AND(N(BP656)&gt;0,N(BR656)&gt;0),BR656-BP656,"")</f>
        <v/>
      </c>
      <c r="BT656" s="28" t="str">
        <f aca="false">IF(BS656="","",ROUND(BS656/365.25,2))</f>
        <v/>
      </c>
      <c r="BU656" s="28" t="str">
        <f aca="false">IF(BS656="","",IF(BS656&gt;=730.5,"Yes","No"))</f>
        <v/>
      </c>
      <c r="BV656" s="27"/>
      <c r="BW656" s="29"/>
      <c r="BX656" s="27"/>
      <c r="BY656" s="27"/>
      <c r="BZ656" s="28" t="str">
        <f aca="false">IF(N(E656)=0,"",IF(E656&lt;65,"Under 65","≥65"))</f>
        <v/>
      </c>
      <c r="CA656" s="28" t="str">
        <f aca="false">IF(OR(AC656="Yes",AC656="No"),AC656,"")</f>
        <v/>
      </c>
      <c r="CB656" s="28" t="str">
        <f aca="false">IF(OR(AD656="Yes",AD656="No"),AD656,"")</f>
        <v/>
      </c>
      <c r="CC656" s="28" t="str">
        <f aca="false">IF(F656="","",F656)</f>
        <v/>
      </c>
      <c r="CD656" s="27"/>
      <c r="CE656" s="27"/>
    </row>
    <row r="657" customFormat="false" ht="15" hidden="false" customHeight="false" outlineLevel="0" collapsed="false">
      <c r="A657" s="27"/>
      <c r="B657" s="27"/>
      <c r="C657" s="27"/>
      <c r="D657" s="27"/>
      <c r="E657" s="27"/>
      <c r="F657" s="27"/>
      <c r="G657" s="27"/>
      <c r="H657" s="27"/>
      <c r="I657" s="27"/>
      <c r="J657" s="28" t="str">
        <f aca="false">IF(AND(N(H657)&gt;0,N(I657)&gt;0),ROUND(I657/(H657/100)^2,1),"")</f>
        <v/>
      </c>
      <c r="K657" s="27"/>
      <c r="L657" s="27"/>
      <c r="M657" s="27"/>
      <c r="N657" s="27"/>
      <c r="O657" s="27"/>
      <c r="P657" s="27"/>
      <c r="Q657" s="27"/>
      <c r="R657" s="29"/>
      <c r="S657" s="29"/>
      <c r="T657" s="27"/>
      <c r="U657" s="28" t="str">
        <f aca="false">IF(N(T657)=0,"",IF(T657&lt;12,"Under 12 months",IF(T657&lt;36,"12-35 months",IF(T657&lt;60,"36-59 months","≥60 months"))))</f>
        <v/>
      </c>
      <c r="V657" s="27"/>
      <c r="W657" s="30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9"/>
      <c r="AT657" s="30"/>
      <c r="AU657" s="30"/>
      <c r="AV657" s="30"/>
      <c r="AW657" s="27"/>
      <c r="AX657" s="27"/>
      <c r="AY657" s="29"/>
      <c r="AZ657" s="27"/>
      <c r="BA657" s="27"/>
      <c r="BB657" s="29"/>
      <c r="BC657" s="30"/>
      <c r="BD657" s="30"/>
      <c r="BE657" s="30"/>
      <c r="BF657" s="27"/>
      <c r="BG657" s="27"/>
      <c r="BH657" s="28" t="str">
        <f aca="false">IF(COUNT(BC657:BE657)=0,"",IF(MIN(BC657:BE657)&lt;=-2.5,"Yes","No"))</f>
        <v/>
      </c>
      <c r="BI657" s="27"/>
      <c r="BJ657" s="29"/>
      <c r="BK657" s="27"/>
      <c r="BL657" s="27"/>
      <c r="BM657" s="27"/>
      <c r="BN657" s="28" t="str">
        <f aca="false">IF(OR(AX657="Yes",BI657="Yes"),"Yes",IF(AND(AX657="No",BI657="No"),"No",IF(AND(AX657="",BI657=""),"","Unknown")))</f>
        <v/>
      </c>
      <c r="BO657" s="31" t="str">
        <f aca="false">IF(COUNT(AY657,BJ657)=0,"",MIN(AY657,BJ657))</f>
        <v/>
      </c>
      <c r="BP657" s="29"/>
      <c r="BQ657" s="29"/>
      <c r="BR657" s="29"/>
      <c r="BS657" s="28" t="str">
        <f aca="false">IF(AND(N(BP657)&gt;0,N(BR657)&gt;0),BR657-BP657,"")</f>
        <v/>
      </c>
      <c r="BT657" s="28" t="str">
        <f aca="false">IF(BS657="","",ROUND(BS657/365.25,2))</f>
        <v/>
      </c>
      <c r="BU657" s="28" t="str">
        <f aca="false">IF(BS657="","",IF(BS657&gt;=730.5,"Yes","No"))</f>
        <v/>
      </c>
      <c r="BV657" s="27"/>
      <c r="BW657" s="29"/>
      <c r="BX657" s="27"/>
      <c r="BY657" s="27"/>
      <c r="BZ657" s="28" t="str">
        <f aca="false">IF(N(E657)=0,"",IF(E657&lt;65,"Under 65","≥65"))</f>
        <v/>
      </c>
      <c r="CA657" s="28" t="str">
        <f aca="false">IF(OR(AC657="Yes",AC657="No"),AC657,"")</f>
        <v/>
      </c>
      <c r="CB657" s="28" t="str">
        <f aca="false">IF(OR(AD657="Yes",AD657="No"),AD657,"")</f>
        <v/>
      </c>
      <c r="CC657" s="28" t="str">
        <f aca="false">IF(F657="","",F657)</f>
        <v/>
      </c>
      <c r="CD657" s="27"/>
      <c r="CE657" s="27"/>
    </row>
    <row r="658" customFormat="false" ht="15" hidden="false" customHeight="false" outlineLevel="0" collapsed="false">
      <c r="A658" s="27"/>
      <c r="B658" s="27"/>
      <c r="C658" s="27"/>
      <c r="D658" s="27"/>
      <c r="E658" s="27"/>
      <c r="F658" s="27"/>
      <c r="G658" s="27"/>
      <c r="H658" s="27"/>
      <c r="I658" s="27"/>
      <c r="J658" s="28" t="str">
        <f aca="false">IF(AND(N(H658)&gt;0,N(I658)&gt;0),ROUND(I658/(H658/100)^2,1),"")</f>
        <v/>
      </c>
      <c r="K658" s="27"/>
      <c r="L658" s="27"/>
      <c r="M658" s="27"/>
      <c r="N658" s="27"/>
      <c r="O658" s="27"/>
      <c r="P658" s="27"/>
      <c r="Q658" s="27"/>
      <c r="R658" s="29"/>
      <c r="S658" s="29"/>
      <c r="T658" s="27"/>
      <c r="U658" s="28" t="str">
        <f aca="false">IF(N(T658)=0,"",IF(T658&lt;12,"Under 12 months",IF(T658&lt;36,"12-35 months",IF(T658&lt;60,"36-59 months","≥60 months"))))</f>
        <v/>
      </c>
      <c r="V658" s="27"/>
      <c r="W658" s="30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9"/>
      <c r="AT658" s="30"/>
      <c r="AU658" s="30"/>
      <c r="AV658" s="30"/>
      <c r="AW658" s="27"/>
      <c r="AX658" s="27"/>
      <c r="AY658" s="29"/>
      <c r="AZ658" s="27"/>
      <c r="BA658" s="27"/>
      <c r="BB658" s="29"/>
      <c r="BC658" s="30"/>
      <c r="BD658" s="30"/>
      <c r="BE658" s="30"/>
      <c r="BF658" s="27"/>
      <c r="BG658" s="27"/>
      <c r="BH658" s="28" t="str">
        <f aca="false">IF(COUNT(BC658:BE658)=0,"",IF(MIN(BC658:BE658)&lt;=-2.5,"Yes","No"))</f>
        <v/>
      </c>
      <c r="BI658" s="27"/>
      <c r="BJ658" s="29"/>
      <c r="BK658" s="27"/>
      <c r="BL658" s="27"/>
      <c r="BM658" s="27"/>
      <c r="BN658" s="28" t="str">
        <f aca="false">IF(OR(AX658="Yes",BI658="Yes"),"Yes",IF(AND(AX658="No",BI658="No"),"No",IF(AND(AX658="",BI658=""),"","Unknown")))</f>
        <v/>
      </c>
      <c r="BO658" s="31" t="str">
        <f aca="false">IF(COUNT(AY658,BJ658)=0,"",MIN(AY658,BJ658))</f>
        <v/>
      </c>
      <c r="BP658" s="29"/>
      <c r="BQ658" s="29"/>
      <c r="BR658" s="29"/>
      <c r="BS658" s="28" t="str">
        <f aca="false">IF(AND(N(BP658)&gt;0,N(BR658)&gt;0),BR658-BP658,"")</f>
        <v/>
      </c>
      <c r="BT658" s="28" t="str">
        <f aca="false">IF(BS658="","",ROUND(BS658/365.25,2))</f>
        <v/>
      </c>
      <c r="BU658" s="28" t="str">
        <f aca="false">IF(BS658="","",IF(BS658&gt;=730.5,"Yes","No"))</f>
        <v/>
      </c>
      <c r="BV658" s="27"/>
      <c r="BW658" s="29"/>
      <c r="BX658" s="27"/>
      <c r="BY658" s="27"/>
      <c r="BZ658" s="28" t="str">
        <f aca="false">IF(N(E658)=0,"",IF(E658&lt;65,"Under 65","≥65"))</f>
        <v/>
      </c>
      <c r="CA658" s="28" t="str">
        <f aca="false">IF(OR(AC658="Yes",AC658="No"),AC658,"")</f>
        <v/>
      </c>
      <c r="CB658" s="28" t="str">
        <f aca="false">IF(OR(AD658="Yes",AD658="No"),AD658,"")</f>
        <v/>
      </c>
      <c r="CC658" s="28" t="str">
        <f aca="false">IF(F658="","",F658)</f>
        <v/>
      </c>
      <c r="CD658" s="27"/>
      <c r="CE658" s="27"/>
    </row>
    <row r="659" customFormat="false" ht="15" hidden="false" customHeight="false" outlineLevel="0" collapsed="false">
      <c r="A659" s="27"/>
      <c r="B659" s="27"/>
      <c r="C659" s="27"/>
      <c r="D659" s="27"/>
      <c r="E659" s="27"/>
      <c r="F659" s="27"/>
      <c r="G659" s="27"/>
      <c r="H659" s="27"/>
      <c r="I659" s="27"/>
      <c r="J659" s="28" t="str">
        <f aca="false">IF(AND(N(H659)&gt;0,N(I659)&gt;0),ROUND(I659/(H659/100)^2,1),"")</f>
        <v/>
      </c>
      <c r="K659" s="27"/>
      <c r="L659" s="27"/>
      <c r="M659" s="27"/>
      <c r="N659" s="27"/>
      <c r="O659" s="27"/>
      <c r="P659" s="27"/>
      <c r="Q659" s="27"/>
      <c r="R659" s="29"/>
      <c r="S659" s="29"/>
      <c r="T659" s="27"/>
      <c r="U659" s="28" t="str">
        <f aca="false">IF(N(T659)=0,"",IF(T659&lt;12,"Under 12 months",IF(T659&lt;36,"12-35 months",IF(T659&lt;60,"36-59 months","≥60 months"))))</f>
        <v/>
      </c>
      <c r="V659" s="27"/>
      <c r="W659" s="30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9"/>
      <c r="AT659" s="30"/>
      <c r="AU659" s="30"/>
      <c r="AV659" s="30"/>
      <c r="AW659" s="27"/>
      <c r="AX659" s="27"/>
      <c r="AY659" s="29"/>
      <c r="AZ659" s="27"/>
      <c r="BA659" s="27"/>
      <c r="BB659" s="29"/>
      <c r="BC659" s="30"/>
      <c r="BD659" s="30"/>
      <c r="BE659" s="30"/>
      <c r="BF659" s="27"/>
      <c r="BG659" s="27"/>
      <c r="BH659" s="28" t="str">
        <f aca="false">IF(COUNT(BC659:BE659)=0,"",IF(MIN(BC659:BE659)&lt;=-2.5,"Yes","No"))</f>
        <v/>
      </c>
      <c r="BI659" s="27"/>
      <c r="BJ659" s="29"/>
      <c r="BK659" s="27"/>
      <c r="BL659" s="27"/>
      <c r="BM659" s="27"/>
      <c r="BN659" s="28" t="str">
        <f aca="false">IF(OR(AX659="Yes",BI659="Yes"),"Yes",IF(AND(AX659="No",BI659="No"),"No",IF(AND(AX659="",BI659=""),"","Unknown")))</f>
        <v/>
      </c>
      <c r="BO659" s="31" t="str">
        <f aca="false">IF(COUNT(AY659,BJ659)=0,"",MIN(AY659,BJ659))</f>
        <v/>
      </c>
      <c r="BP659" s="29"/>
      <c r="BQ659" s="29"/>
      <c r="BR659" s="29"/>
      <c r="BS659" s="28" t="str">
        <f aca="false">IF(AND(N(BP659)&gt;0,N(BR659)&gt;0),BR659-BP659,"")</f>
        <v/>
      </c>
      <c r="BT659" s="28" t="str">
        <f aca="false">IF(BS659="","",ROUND(BS659/365.25,2))</f>
        <v/>
      </c>
      <c r="BU659" s="28" t="str">
        <f aca="false">IF(BS659="","",IF(BS659&gt;=730.5,"Yes","No"))</f>
        <v/>
      </c>
      <c r="BV659" s="27"/>
      <c r="BW659" s="29"/>
      <c r="BX659" s="27"/>
      <c r="BY659" s="27"/>
      <c r="BZ659" s="28" t="str">
        <f aca="false">IF(N(E659)=0,"",IF(E659&lt;65,"Under 65","≥65"))</f>
        <v/>
      </c>
      <c r="CA659" s="28" t="str">
        <f aca="false">IF(OR(AC659="Yes",AC659="No"),AC659,"")</f>
        <v/>
      </c>
      <c r="CB659" s="28" t="str">
        <f aca="false">IF(OR(AD659="Yes",AD659="No"),AD659,"")</f>
        <v/>
      </c>
      <c r="CC659" s="28" t="str">
        <f aca="false">IF(F659="","",F659)</f>
        <v/>
      </c>
      <c r="CD659" s="27"/>
      <c r="CE659" s="27"/>
    </row>
    <row r="660" customFormat="false" ht="15" hidden="false" customHeight="false" outlineLevel="0" collapsed="false">
      <c r="A660" s="27"/>
      <c r="B660" s="27"/>
      <c r="C660" s="27"/>
      <c r="D660" s="27"/>
      <c r="E660" s="27"/>
      <c r="F660" s="27"/>
      <c r="G660" s="27"/>
      <c r="H660" s="27"/>
      <c r="I660" s="27"/>
      <c r="J660" s="28" t="str">
        <f aca="false">IF(AND(N(H660)&gt;0,N(I660)&gt;0),ROUND(I660/(H660/100)^2,1),"")</f>
        <v/>
      </c>
      <c r="K660" s="27"/>
      <c r="L660" s="27"/>
      <c r="M660" s="27"/>
      <c r="N660" s="27"/>
      <c r="O660" s="27"/>
      <c r="P660" s="27"/>
      <c r="Q660" s="27"/>
      <c r="R660" s="29"/>
      <c r="S660" s="29"/>
      <c r="T660" s="27"/>
      <c r="U660" s="28" t="str">
        <f aca="false">IF(N(T660)=0,"",IF(T660&lt;12,"Under 12 months",IF(T660&lt;36,"12-35 months",IF(T660&lt;60,"36-59 months","≥60 months"))))</f>
        <v/>
      </c>
      <c r="V660" s="27"/>
      <c r="W660" s="30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9"/>
      <c r="AT660" s="30"/>
      <c r="AU660" s="30"/>
      <c r="AV660" s="30"/>
      <c r="AW660" s="27"/>
      <c r="AX660" s="27"/>
      <c r="AY660" s="29"/>
      <c r="AZ660" s="27"/>
      <c r="BA660" s="27"/>
      <c r="BB660" s="29"/>
      <c r="BC660" s="30"/>
      <c r="BD660" s="30"/>
      <c r="BE660" s="30"/>
      <c r="BF660" s="27"/>
      <c r="BG660" s="27"/>
      <c r="BH660" s="28" t="str">
        <f aca="false">IF(COUNT(BC660:BE660)=0,"",IF(MIN(BC660:BE660)&lt;=-2.5,"Yes","No"))</f>
        <v/>
      </c>
      <c r="BI660" s="27"/>
      <c r="BJ660" s="29"/>
      <c r="BK660" s="27"/>
      <c r="BL660" s="27"/>
      <c r="BM660" s="27"/>
      <c r="BN660" s="28" t="str">
        <f aca="false">IF(OR(AX660="Yes",BI660="Yes"),"Yes",IF(AND(AX660="No",BI660="No"),"No",IF(AND(AX660="",BI660=""),"","Unknown")))</f>
        <v/>
      </c>
      <c r="BO660" s="31" t="str">
        <f aca="false">IF(COUNT(AY660,BJ660)=0,"",MIN(AY660,BJ660))</f>
        <v/>
      </c>
      <c r="BP660" s="29"/>
      <c r="BQ660" s="29"/>
      <c r="BR660" s="29"/>
      <c r="BS660" s="28" t="str">
        <f aca="false">IF(AND(N(BP660)&gt;0,N(BR660)&gt;0),BR660-BP660,"")</f>
        <v/>
      </c>
      <c r="BT660" s="28" t="str">
        <f aca="false">IF(BS660="","",ROUND(BS660/365.25,2))</f>
        <v/>
      </c>
      <c r="BU660" s="28" t="str">
        <f aca="false">IF(BS660="","",IF(BS660&gt;=730.5,"Yes","No"))</f>
        <v/>
      </c>
      <c r="BV660" s="27"/>
      <c r="BW660" s="29"/>
      <c r="BX660" s="27"/>
      <c r="BY660" s="27"/>
      <c r="BZ660" s="28" t="str">
        <f aca="false">IF(N(E660)=0,"",IF(E660&lt;65,"Under 65","≥65"))</f>
        <v/>
      </c>
      <c r="CA660" s="28" t="str">
        <f aca="false">IF(OR(AC660="Yes",AC660="No"),AC660,"")</f>
        <v/>
      </c>
      <c r="CB660" s="28" t="str">
        <f aca="false">IF(OR(AD660="Yes",AD660="No"),AD660,"")</f>
        <v/>
      </c>
      <c r="CC660" s="28" t="str">
        <f aca="false">IF(F660="","",F660)</f>
        <v/>
      </c>
      <c r="CD660" s="27"/>
      <c r="CE660" s="27"/>
    </row>
    <row r="661" customFormat="false" ht="15" hidden="false" customHeight="false" outlineLevel="0" collapsed="false">
      <c r="A661" s="27"/>
      <c r="B661" s="27"/>
      <c r="C661" s="27"/>
      <c r="D661" s="27"/>
      <c r="E661" s="27"/>
      <c r="F661" s="27"/>
      <c r="G661" s="27"/>
      <c r="H661" s="27"/>
      <c r="I661" s="27"/>
      <c r="J661" s="28" t="str">
        <f aca="false">IF(AND(N(H661)&gt;0,N(I661)&gt;0),ROUND(I661/(H661/100)^2,1),"")</f>
        <v/>
      </c>
      <c r="K661" s="27"/>
      <c r="L661" s="27"/>
      <c r="M661" s="27"/>
      <c r="N661" s="27"/>
      <c r="O661" s="27"/>
      <c r="P661" s="27"/>
      <c r="Q661" s="27"/>
      <c r="R661" s="29"/>
      <c r="S661" s="29"/>
      <c r="T661" s="27"/>
      <c r="U661" s="28" t="str">
        <f aca="false">IF(N(T661)=0,"",IF(T661&lt;12,"Under 12 months",IF(T661&lt;36,"12-35 months",IF(T661&lt;60,"36-59 months","≥60 months"))))</f>
        <v/>
      </c>
      <c r="V661" s="27"/>
      <c r="W661" s="30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9"/>
      <c r="AT661" s="30"/>
      <c r="AU661" s="30"/>
      <c r="AV661" s="30"/>
      <c r="AW661" s="27"/>
      <c r="AX661" s="27"/>
      <c r="AY661" s="29"/>
      <c r="AZ661" s="27"/>
      <c r="BA661" s="27"/>
      <c r="BB661" s="29"/>
      <c r="BC661" s="30"/>
      <c r="BD661" s="30"/>
      <c r="BE661" s="30"/>
      <c r="BF661" s="27"/>
      <c r="BG661" s="27"/>
      <c r="BH661" s="28" t="str">
        <f aca="false">IF(COUNT(BC661:BE661)=0,"",IF(MIN(BC661:BE661)&lt;=-2.5,"Yes","No"))</f>
        <v/>
      </c>
      <c r="BI661" s="27"/>
      <c r="BJ661" s="29"/>
      <c r="BK661" s="27"/>
      <c r="BL661" s="27"/>
      <c r="BM661" s="27"/>
      <c r="BN661" s="28" t="str">
        <f aca="false">IF(OR(AX661="Yes",BI661="Yes"),"Yes",IF(AND(AX661="No",BI661="No"),"No",IF(AND(AX661="",BI661=""),"","Unknown")))</f>
        <v/>
      </c>
      <c r="BO661" s="31" t="str">
        <f aca="false">IF(COUNT(AY661,BJ661)=0,"",MIN(AY661,BJ661))</f>
        <v/>
      </c>
      <c r="BP661" s="29"/>
      <c r="BQ661" s="29"/>
      <c r="BR661" s="29"/>
      <c r="BS661" s="28" t="str">
        <f aca="false">IF(AND(N(BP661)&gt;0,N(BR661)&gt;0),BR661-BP661,"")</f>
        <v/>
      </c>
      <c r="BT661" s="28" t="str">
        <f aca="false">IF(BS661="","",ROUND(BS661/365.25,2))</f>
        <v/>
      </c>
      <c r="BU661" s="28" t="str">
        <f aca="false">IF(BS661="","",IF(BS661&gt;=730.5,"Yes","No"))</f>
        <v/>
      </c>
      <c r="BV661" s="27"/>
      <c r="BW661" s="29"/>
      <c r="BX661" s="27"/>
      <c r="BY661" s="27"/>
      <c r="BZ661" s="28" t="str">
        <f aca="false">IF(N(E661)=0,"",IF(E661&lt;65,"Under 65","≥65"))</f>
        <v/>
      </c>
      <c r="CA661" s="28" t="str">
        <f aca="false">IF(OR(AC661="Yes",AC661="No"),AC661,"")</f>
        <v/>
      </c>
      <c r="CB661" s="28" t="str">
        <f aca="false">IF(OR(AD661="Yes",AD661="No"),AD661,"")</f>
        <v/>
      </c>
      <c r="CC661" s="28" t="str">
        <f aca="false">IF(F661="","",F661)</f>
        <v/>
      </c>
      <c r="CD661" s="27"/>
      <c r="CE661" s="27"/>
    </row>
    <row r="662" customFormat="false" ht="15" hidden="false" customHeight="false" outlineLevel="0" collapsed="false">
      <c r="A662" s="27"/>
      <c r="B662" s="27"/>
      <c r="C662" s="27"/>
      <c r="D662" s="27"/>
      <c r="E662" s="27"/>
      <c r="F662" s="27"/>
      <c r="G662" s="27"/>
      <c r="H662" s="27"/>
      <c r="I662" s="27"/>
      <c r="J662" s="28" t="str">
        <f aca="false">IF(AND(N(H662)&gt;0,N(I662)&gt;0),ROUND(I662/(H662/100)^2,1),"")</f>
        <v/>
      </c>
      <c r="K662" s="27"/>
      <c r="L662" s="27"/>
      <c r="M662" s="27"/>
      <c r="N662" s="27"/>
      <c r="O662" s="27"/>
      <c r="P662" s="27"/>
      <c r="Q662" s="27"/>
      <c r="R662" s="29"/>
      <c r="S662" s="29"/>
      <c r="T662" s="27"/>
      <c r="U662" s="28" t="str">
        <f aca="false">IF(N(T662)=0,"",IF(T662&lt;12,"Under 12 months",IF(T662&lt;36,"12-35 months",IF(T662&lt;60,"36-59 months","≥60 months"))))</f>
        <v/>
      </c>
      <c r="V662" s="27"/>
      <c r="W662" s="30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9"/>
      <c r="AT662" s="30"/>
      <c r="AU662" s="30"/>
      <c r="AV662" s="30"/>
      <c r="AW662" s="27"/>
      <c r="AX662" s="27"/>
      <c r="AY662" s="29"/>
      <c r="AZ662" s="27"/>
      <c r="BA662" s="27"/>
      <c r="BB662" s="29"/>
      <c r="BC662" s="30"/>
      <c r="BD662" s="30"/>
      <c r="BE662" s="30"/>
      <c r="BF662" s="27"/>
      <c r="BG662" s="27"/>
      <c r="BH662" s="28" t="str">
        <f aca="false">IF(COUNT(BC662:BE662)=0,"",IF(MIN(BC662:BE662)&lt;=-2.5,"Yes","No"))</f>
        <v/>
      </c>
      <c r="BI662" s="27"/>
      <c r="BJ662" s="29"/>
      <c r="BK662" s="27"/>
      <c r="BL662" s="27"/>
      <c r="BM662" s="27"/>
      <c r="BN662" s="28" t="str">
        <f aca="false">IF(OR(AX662="Yes",BI662="Yes"),"Yes",IF(AND(AX662="No",BI662="No"),"No",IF(AND(AX662="",BI662=""),"","Unknown")))</f>
        <v/>
      </c>
      <c r="BO662" s="31" t="str">
        <f aca="false">IF(COUNT(AY662,BJ662)=0,"",MIN(AY662,BJ662))</f>
        <v/>
      </c>
      <c r="BP662" s="29"/>
      <c r="BQ662" s="29"/>
      <c r="BR662" s="29"/>
      <c r="BS662" s="28" t="str">
        <f aca="false">IF(AND(N(BP662)&gt;0,N(BR662)&gt;0),BR662-BP662,"")</f>
        <v/>
      </c>
      <c r="BT662" s="28" t="str">
        <f aca="false">IF(BS662="","",ROUND(BS662/365.25,2))</f>
        <v/>
      </c>
      <c r="BU662" s="28" t="str">
        <f aca="false">IF(BS662="","",IF(BS662&gt;=730.5,"Yes","No"))</f>
        <v/>
      </c>
      <c r="BV662" s="27"/>
      <c r="BW662" s="29"/>
      <c r="BX662" s="27"/>
      <c r="BY662" s="27"/>
      <c r="BZ662" s="28" t="str">
        <f aca="false">IF(N(E662)=0,"",IF(E662&lt;65,"Under 65","≥65"))</f>
        <v/>
      </c>
      <c r="CA662" s="28" t="str">
        <f aca="false">IF(OR(AC662="Yes",AC662="No"),AC662,"")</f>
        <v/>
      </c>
      <c r="CB662" s="28" t="str">
        <f aca="false">IF(OR(AD662="Yes",AD662="No"),AD662,"")</f>
        <v/>
      </c>
      <c r="CC662" s="28" t="str">
        <f aca="false">IF(F662="","",F662)</f>
        <v/>
      </c>
      <c r="CD662" s="27"/>
      <c r="CE662" s="27"/>
    </row>
    <row r="663" customFormat="false" ht="15" hidden="false" customHeight="false" outlineLevel="0" collapsed="false">
      <c r="A663" s="27"/>
      <c r="B663" s="27"/>
      <c r="C663" s="27"/>
      <c r="D663" s="27"/>
      <c r="E663" s="27"/>
      <c r="F663" s="27"/>
      <c r="G663" s="27"/>
      <c r="H663" s="27"/>
      <c r="I663" s="27"/>
      <c r="J663" s="28" t="str">
        <f aca="false">IF(AND(N(H663)&gt;0,N(I663)&gt;0),ROUND(I663/(H663/100)^2,1),"")</f>
        <v/>
      </c>
      <c r="K663" s="27"/>
      <c r="L663" s="27"/>
      <c r="M663" s="27"/>
      <c r="N663" s="27"/>
      <c r="O663" s="27"/>
      <c r="P663" s="27"/>
      <c r="Q663" s="27"/>
      <c r="R663" s="29"/>
      <c r="S663" s="29"/>
      <c r="T663" s="27"/>
      <c r="U663" s="28" t="str">
        <f aca="false">IF(N(T663)=0,"",IF(T663&lt;12,"Under 12 months",IF(T663&lt;36,"12-35 months",IF(T663&lt;60,"36-59 months","≥60 months"))))</f>
        <v/>
      </c>
      <c r="V663" s="27"/>
      <c r="W663" s="30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9"/>
      <c r="AT663" s="30"/>
      <c r="AU663" s="30"/>
      <c r="AV663" s="30"/>
      <c r="AW663" s="27"/>
      <c r="AX663" s="27"/>
      <c r="AY663" s="29"/>
      <c r="AZ663" s="27"/>
      <c r="BA663" s="27"/>
      <c r="BB663" s="29"/>
      <c r="BC663" s="30"/>
      <c r="BD663" s="30"/>
      <c r="BE663" s="30"/>
      <c r="BF663" s="27"/>
      <c r="BG663" s="27"/>
      <c r="BH663" s="28" t="str">
        <f aca="false">IF(COUNT(BC663:BE663)=0,"",IF(MIN(BC663:BE663)&lt;=-2.5,"Yes","No"))</f>
        <v/>
      </c>
      <c r="BI663" s="27"/>
      <c r="BJ663" s="29"/>
      <c r="BK663" s="27"/>
      <c r="BL663" s="27"/>
      <c r="BM663" s="27"/>
      <c r="BN663" s="28" t="str">
        <f aca="false">IF(OR(AX663="Yes",BI663="Yes"),"Yes",IF(AND(AX663="No",BI663="No"),"No",IF(AND(AX663="",BI663=""),"","Unknown")))</f>
        <v/>
      </c>
      <c r="BO663" s="31" t="str">
        <f aca="false">IF(COUNT(AY663,BJ663)=0,"",MIN(AY663,BJ663))</f>
        <v/>
      </c>
      <c r="BP663" s="29"/>
      <c r="BQ663" s="29"/>
      <c r="BR663" s="29"/>
      <c r="BS663" s="28" t="str">
        <f aca="false">IF(AND(N(BP663)&gt;0,N(BR663)&gt;0),BR663-BP663,"")</f>
        <v/>
      </c>
      <c r="BT663" s="28" t="str">
        <f aca="false">IF(BS663="","",ROUND(BS663/365.25,2))</f>
        <v/>
      </c>
      <c r="BU663" s="28" t="str">
        <f aca="false">IF(BS663="","",IF(BS663&gt;=730.5,"Yes","No"))</f>
        <v/>
      </c>
      <c r="BV663" s="27"/>
      <c r="BW663" s="29"/>
      <c r="BX663" s="27"/>
      <c r="BY663" s="27"/>
      <c r="BZ663" s="28" t="str">
        <f aca="false">IF(N(E663)=0,"",IF(E663&lt;65,"Under 65","≥65"))</f>
        <v/>
      </c>
      <c r="CA663" s="28" t="str">
        <f aca="false">IF(OR(AC663="Yes",AC663="No"),AC663,"")</f>
        <v/>
      </c>
      <c r="CB663" s="28" t="str">
        <f aca="false">IF(OR(AD663="Yes",AD663="No"),AD663,"")</f>
        <v/>
      </c>
      <c r="CC663" s="28" t="str">
        <f aca="false">IF(F663="","",F663)</f>
        <v/>
      </c>
      <c r="CD663" s="27"/>
      <c r="CE663" s="27"/>
    </row>
    <row r="664" customFormat="false" ht="15" hidden="false" customHeight="false" outlineLevel="0" collapsed="false">
      <c r="A664" s="27"/>
      <c r="B664" s="27"/>
      <c r="C664" s="27"/>
      <c r="D664" s="27"/>
      <c r="E664" s="27"/>
      <c r="F664" s="27"/>
      <c r="G664" s="27"/>
      <c r="H664" s="27"/>
      <c r="I664" s="27"/>
      <c r="J664" s="28" t="str">
        <f aca="false">IF(AND(N(H664)&gt;0,N(I664)&gt;0),ROUND(I664/(H664/100)^2,1),"")</f>
        <v/>
      </c>
      <c r="K664" s="27"/>
      <c r="L664" s="27"/>
      <c r="M664" s="27"/>
      <c r="N664" s="27"/>
      <c r="O664" s="27"/>
      <c r="P664" s="27"/>
      <c r="Q664" s="27"/>
      <c r="R664" s="29"/>
      <c r="S664" s="29"/>
      <c r="T664" s="27"/>
      <c r="U664" s="28" t="str">
        <f aca="false">IF(N(T664)=0,"",IF(T664&lt;12,"Under 12 months",IF(T664&lt;36,"12-35 months",IF(T664&lt;60,"36-59 months","≥60 months"))))</f>
        <v/>
      </c>
      <c r="V664" s="27"/>
      <c r="W664" s="30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9"/>
      <c r="AT664" s="30"/>
      <c r="AU664" s="30"/>
      <c r="AV664" s="30"/>
      <c r="AW664" s="27"/>
      <c r="AX664" s="27"/>
      <c r="AY664" s="29"/>
      <c r="AZ664" s="27"/>
      <c r="BA664" s="27"/>
      <c r="BB664" s="29"/>
      <c r="BC664" s="30"/>
      <c r="BD664" s="30"/>
      <c r="BE664" s="30"/>
      <c r="BF664" s="27"/>
      <c r="BG664" s="27"/>
      <c r="BH664" s="28" t="str">
        <f aca="false">IF(COUNT(BC664:BE664)=0,"",IF(MIN(BC664:BE664)&lt;=-2.5,"Yes","No"))</f>
        <v/>
      </c>
      <c r="BI664" s="27"/>
      <c r="BJ664" s="29"/>
      <c r="BK664" s="27"/>
      <c r="BL664" s="27"/>
      <c r="BM664" s="27"/>
      <c r="BN664" s="28" t="str">
        <f aca="false">IF(OR(AX664="Yes",BI664="Yes"),"Yes",IF(AND(AX664="No",BI664="No"),"No",IF(AND(AX664="",BI664=""),"","Unknown")))</f>
        <v/>
      </c>
      <c r="BO664" s="31" t="str">
        <f aca="false">IF(COUNT(AY664,BJ664)=0,"",MIN(AY664,BJ664))</f>
        <v/>
      </c>
      <c r="BP664" s="29"/>
      <c r="BQ664" s="29"/>
      <c r="BR664" s="29"/>
      <c r="BS664" s="28" t="str">
        <f aca="false">IF(AND(N(BP664)&gt;0,N(BR664)&gt;0),BR664-BP664,"")</f>
        <v/>
      </c>
      <c r="BT664" s="28" t="str">
        <f aca="false">IF(BS664="","",ROUND(BS664/365.25,2))</f>
        <v/>
      </c>
      <c r="BU664" s="28" t="str">
        <f aca="false">IF(BS664="","",IF(BS664&gt;=730.5,"Yes","No"))</f>
        <v/>
      </c>
      <c r="BV664" s="27"/>
      <c r="BW664" s="29"/>
      <c r="BX664" s="27"/>
      <c r="BY664" s="27"/>
      <c r="BZ664" s="28" t="str">
        <f aca="false">IF(N(E664)=0,"",IF(E664&lt;65,"Under 65","≥65"))</f>
        <v/>
      </c>
      <c r="CA664" s="28" t="str">
        <f aca="false">IF(OR(AC664="Yes",AC664="No"),AC664,"")</f>
        <v/>
      </c>
      <c r="CB664" s="28" t="str">
        <f aca="false">IF(OR(AD664="Yes",AD664="No"),AD664,"")</f>
        <v/>
      </c>
      <c r="CC664" s="28" t="str">
        <f aca="false">IF(F664="","",F664)</f>
        <v/>
      </c>
      <c r="CD664" s="27"/>
      <c r="CE664" s="27"/>
    </row>
    <row r="665" customFormat="false" ht="15" hidden="false" customHeight="false" outlineLevel="0" collapsed="false">
      <c r="A665" s="27"/>
      <c r="B665" s="27"/>
      <c r="C665" s="27"/>
      <c r="D665" s="27"/>
      <c r="E665" s="27"/>
      <c r="F665" s="27"/>
      <c r="G665" s="27"/>
      <c r="H665" s="27"/>
      <c r="I665" s="27"/>
      <c r="J665" s="28" t="str">
        <f aca="false">IF(AND(N(H665)&gt;0,N(I665)&gt;0),ROUND(I665/(H665/100)^2,1),"")</f>
        <v/>
      </c>
      <c r="K665" s="27"/>
      <c r="L665" s="27"/>
      <c r="M665" s="27"/>
      <c r="N665" s="27"/>
      <c r="O665" s="27"/>
      <c r="P665" s="27"/>
      <c r="Q665" s="27"/>
      <c r="R665" s="29"/>
      <c r="S665" s="29"/>
      <c r="T665" s="27"/>
      <c r="U665" s="28" t="str">
        <f aca="false">IF(N(T665)=0,"",IF(T665&lt;12,"Under 12 months",IF(T665&lt;36,"12-35 months",IF(T665&lt;60,"36-59 months","≥60 months"))))</f>
        <v/>
      </c>
      <c r="V665" s="27"/>
      <c r="W665" s="30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9"/>
      <c r="AT665" s="30"/>
      <c r="AU665" s="30"/>
      <c r="AV665" s="30"/>
      <c r="AW665" s="27"/>
      <c r="AX665" s="27"/>
      <c r="AY665" s="29"/>
      <c r="AZ665" s="27"/>
      <c r="BA665" s="27"/>
      <c r="BB665" s="29"/>
      <c r="BC665" s="30"/>
      <c r="BD665" s="30"/>
      <c r="BE665" s="30"/>
      <c r="BF665" s="27"/>
      <c r="BG665" s="27"/>
      <c r="BH665" s="28" t="str">
        <f aca="false">IF(COUNT(BC665:BE665)=0,"",IF(MIN(BC665:BE665)&lt;=-2.5,"Yes","No"))</f>
        <v/>
      </c>
      <c r="BI665" s="27"/>
      <c r="BJ665" s="29"/>
      <c r="BK665" s="27"/>
      <c r="BL665" s="27"/>
      <c r="BM665" s="27"/>
      <c r="BN665" s="28" t="str">
        <f aca="false">IF(OR(AX665="Yes",BI665="Yes"),"Yes",IF(AND(AX665="No",BI665="No"),"No",IF(AND(AX665="",BI665=""),"","Unknown")))</f>
        <v/>
      </c>
      <c r="BO665" s="31" t="str">
        <f aca="false">IF(COUNT(AY665,BJ665)=0,"",MIN(AY665,BJ665))</f>
        <v/>
      </c>
      <c r="BP665" s="29"/>
      <c r="BQ665" s="29"/>
      <c r="BR665" s="29"/>
      <c r="BS665" s="28" t="str">
        <f aca="false">IF(AND(N(BP665)&gt;0,N(BR665)&gt;0),BR665-BP665,"")</f>
        <v/>
      </c>
      <c r="BT665" s="28" t="str">
        <f aca="false">IF(BS665="","",ROUND(BS665/365.25,2))</f>
        <v/>
      </c>
      <c r="BU665" s="28" t="str">
        <f aca="false">IF(BS665="","",IF(BS665&gt;=730.5,"Yes","No"))</f>
        <v/>
      </c>
      <c r="BV665" s="27"/>
      <c r="BW665" s="29"/>
      <c r="BX665" s="27"/>
      <c r="BY665" s="27"/>
      <c r="BZ665" s="28" t="str">
        <f aca="false">IF(N(E665)=0,"",IF(E665&lt;65,"Under 65","≥65"))</f>
        <v/>
      </c>
      <c r="CA665" s="28" t="str">
        <f aca="false">IF(OR(AC665="Yes",AC665="No"),AC665,"")</f>
        <v/>
      </c>
      <c r="CB665" s="28" t="str">
        <f aca="false">IF(OR(AD665="Yes",AD665="No"),AD665,"")</f>
        <v/>
      </c>
      <c r="CC665" s="28" t="str">
        <f aca="false">IF(F665="","",F665)</f>
        <v/>
      </c>
      <c r="CD665" s="27"/>
      <c r="CE665" s="27"/>
    </row>
    <row r="666" customFormat="false" ht="15" hidden="false" customHeight="false" outlineLevel="0" collapsed="false">
      <c r="A666" s="27"/>
      <c r="B666" s="27"/>
      <c r="C666" s="27"/>
      <c r="D666" s="27"/>
      <c r="E666" s="27"/>
      <c r="F666" s="27"/>
      <c r="G666" s="27"/>
      <c r="H666" s="27"/>
      <c r="I666" s="27"/>
      <c r="J666" s="28" t="str">
        <f aca="false">IF(AND(N(H666)&gt;0,N(I666)&gt;0),ROUND(I666/(H666/100)^2,1),"")</f>
        <v/>
      </c>
      <c r="K666" s="27"/>
      <c r="L666" s="27"/>
      <c r="M666" s="27"/>
      <c r="N666" s="27"/>
      <c r="O666" s="27"/>
      <c r="P666" s="27"/>
      <c r="Q666" s="27"/>
      <c r="R666" s="29"/>
      <c r="S666" s="29"/>
      <c r="T666" s="27"/>
      <c r="U666" s="28" t="str">
        <f aca="false">IF(N(T666)=0,"",IF(T666&lt;12,"Under 12 months",IF(T666&lt;36,"12-35 months",IF(T666&lt;60,"36-59 months","≥60 months"))))</f>
        <v/>
      </c>
      <c r="V666" s="27"/>
      <c r="W666" s="30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9"/>
      <c r="AT666" s="30"/>
      <c r="AU666" s="30"/>
      <c r="AV666" s="30"/>
      <c r="AW666" s="27"/>
      <c r="AX666" s="27"/>
      <c r="AY666" s="29"/>
      <c r="AZ666" s="27"/>
      <c r="BA666" s="27"/>
      <c r="BB666" s="29"/>
      <c r="BC666" s="30"/>
      <c r="BD666" s="30"/>
      <c r="BE666" s="30"/>
      <c r="BF666" s="27"/>
      <c r="BG666" s="27"/>
      <c r="BH666" s="28" t="str">
        <f aca="false">IF(COUNT(BC666:BE666)=0,"",IF(MIN(BC666:BE666)&lt;=-2.5,"Yes","No"))</f>
        <v/>
      </c>
      <c r="BI666" s="27"/>
      <c r="BJ666" s="29"/>
      <c r="BK666" s="27"/>
      <c r="BL666" s="27"/>
      <c r="BM666" s="27"/>
      <c r="BN666" s="28" t="str">
        <f aca="false">IF(OR(AX666="Yes",BI666="Yes"),"Yes",IF(AND(AX666="No",BI666="No"),"No",IF(AND(AX666="",BI666=""),"","Unknown")))</f>
        <v/>
      </c>
      <c r="BO666" s="31" t="str">
        <f aca="false">IF(COUNT(AY666,BJ666)=0,"",MIN(AY666,BJ666))</f>
        <v/>
      </c>
      <c r="BP666" s="29"/>
      <c r="BQ666" s="29"/>
      <c r="BR666" s="29"/>
      <c r="BS666" s="28" t="str">
        <f aca="false">IF(AND(N(BP666)&gt;0,N(BR666)&gt;0),BR666-BP666,"")</f>
        <v/>
      </c>
      <c r="BT666" s="28" t="str">
        <f aca="false">IF(BS666="","",ROUND(BS666/365.25,2))</f>
        <v/>
      </c>
      <c r="BU666" s="28" t="str">
        <f aca="false">IF(BS666="","",IF(BS666&gt;=730.5,"Yes","No"))</f>
        <v/>
      </c>
      <c r="BV666" s="27"/>
      <c r="BW666" s="29"/>
      <c r="BX666" s="27"/>
      <c r="BY666" s="27"/>
      <c r="BZ666" s="28" t="str">
        <f aca="false">IF(N(E666)=0,"",IF(E666&lt;65,"Under 65","≥65"))</f>
        <v/>
      </c>
      <c r="CA666" s="28" t="str">
        <f aca="false">IF(OR(AC666="Yes",AC666="No"),AC666,"")</f>
        <v/>
      </c>
      <c r="CB666" s="28" t="str">
        <f aca="false">IF(OR(AD666="Yes",AD666="No"),AD666,"")</f>
        <v/>
      </c>
      <c r="CC666" s="28" t="str">
        <f aca="false">IF(F666="","",F666)</f>
        <v/>
      </c>
      <c r="CD666" s="27"/>
      <c r="CE666" s="27"/>
    </row>
    <row r="667" customFormat="false" ht="15" hidden="false" customHeight="false" outlineLevel="0" collapsed="false">
      <c r="A667" s="27"/>
      <c r="B667" s="27"/>
      <c r="C667" s="27"/>
      <c r="D667" s="27"/>
      <c r="E667" s="27"/>
      <c r="F667" s="27"/>
      <c r="G667" s="27"/>
      <c r="H667" s="27"/>
      <c r="I667" s="27"/>
      <c r="J667" s="28" t="str">
        <f aca="false">IF(AND(N(H667)&gt;0,N(I667)&gt;0),ROUND(I667/(H667/100)^2,1),"")</f>
        <v/>
      </c>
      <c r="K667" s="27"/>
      <c r="L667" s="27"/>
      <c r="M667" s="27"/>
      <c r="N667" s="27"/>
      <c r="O667" s="27"/>
      <c r="P667" s="27"/>
      <c r="Q667" s="27"/>
      <c r="R667" s="29"/>
      <c r="S667" s="29"/>
      <c r="T667" s="27"/>
      <c r="U667" s="28" t="str">
        <f aca="false">IF(N(T667)=0,"",IF(T667&lt;12,"Under 12 months",IF(T667&lt;36,"12-35 months",IF(T667&lt;60,"36-59 months","≥60 months"))))</f>
        <v/>
      </c>
      <c r="V667" s="27"/>
      <c r="W667" s="30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9"/>
      <c r="AT667" s="30"/>
      <c r="AU667" s="30"/>
      <c r="AV667" s="30"/>
      <c r="AW667" s="27"/>
      <c r="AX667" s="27"/>
      <c r="AY667" s="29"/>
      <c r="AZ667" s="27"/>
      <c r="BA667" s="27"/>
      <c r="BB667" s="29"/>
      <c r="BC667" s="30"/>
      <c r="BD667" s="30"/>
      <c r="BE667" s="30"/>
      <c r="BF667" s="27"/>
      <c r="BG667" s="27"/>
      <c r="BH667" s="28" t="str">
        <f aca="false">IF(COUNT(BC667:BE667)=0,"",IF(MIN(BC667:BE667)&lt;=-2.5,"Yes","No"))</f>
        <v/>
      </c>
      <c r="BI667" s="27"/>
      <c r="BJ667" s="29"/>
      <c r="BK667" s="27"/>
      <c r="BL667" s="27"/>
      <c r="BM667" s="27"/>
      <c r="BN667" s="28" t="str">
        <f aca="false">IF(OR(AX667="Yes",BI667="Yes"),"Yes",IF(AND(AX667="No",BI667="No"),"No",IF(AND(AX667="",BI667=""),"","Unknown")))</f>
        <v/>
      </c>
      <c r="BO667" s="31" t="str">
        <f aca="false">IF(COUNT(AY667,BJ667)=0,"",MIN(AY667,BJ667))</f>
        <v/>
      </c>
      <c r="BP667" s="29"/>
      <c r="BQ667" s="29"/>
      <c r="BR667" s="29"/>
      <c r="BS667" s="28" t="str">
        <f aca="false">IF(AND(N(BP667)&gt;0,N(BR667)&gt;0),BR667-BP667,"")</f>
        <v/>
      </c>
      <c r="BT667" s="28" t="str">
        <f aca="false">IF(BS667="","",ROUND(BS667/365.25,2))</f>
        <v/>
      </c>
      <c r="BU667" s="28" t="str">
        <f aca="false">IF(BS667="","",IF(BS667&gt;=730.5,"Yes","No"))</f>
        <v/>
      </c>
      <c r="BV667" s="27"/>
      <c r="BW667" s="29"/>
      <c r="BX667" s="27"/>
      <c r="BY667" s="27"/>
      <c r="BZ667" s="28" t="str">
        <f aca="false">IF(N(E667)=0,"",IF(E667&lt;65,"Under 65","≥65"))</f>
        <v/>
      </c>
      <c r="CA667" s="28" t="str">
        <f aca="false">IF(OR(AC667="Yes",AC667="No"),AC667,"")</f>
        <v/>
      </c>
      <c r="CB667" s="28" t="str">
        <f aca="false">IF(OR(AD667="Yes",AD667="No"),AD667,"")</f>
        <v/>
      </c>
      <c r="CC667" s="28" t="str">
        <f aca="false">IF(F667="","",F667)</f>
        <v/>
      </c>
      <c r="CD667" s="27"/>
      <c r="CE667" s="27"/>
    </row>
    <row r="668" customFormat="false" ht="15" hidden="false" customHeight="false" outlineLevel="0" collapsed="false">
      <c r="A668" s="27"/>
      <c r="B668" s="27"/>
      <c r="C668" s="27"/>
      <c r="D668" s="27"/>
      <c r="E668" s="27"/>
      <c r="F668" s="27"/>
      <c r="G668" s="27"/>
      <c r="H668" s="27"/>
      <c r="I668" s="27"/>
      <c r="J668" s="28" t="str">
        <f aca="false">IF(AND(N(H668)&gt;0,N(I668)&gt;0),ROUND(I668/(H668/100)^2,1),"")</f>
        <v/>
      </c>
      <c r="K668" s="27"/>
      <c r="L668" s="27"/>
      <c r="M668" s="27"/>
      <c r="N668" s="27"/>
      <c r="O668" s="27"/>
      <c r="P668" s="27"/>
      <c r="Q668" s="27"/>
      <c r="R668" s="29"/>
      <c r="S668" s="29"/>
      <c r="T668" s="27"/>
      <c r="U668" s="28" t="str">
        <f aca="false">IF(N(T668)=0,"",IF(T668&lt;12,"Under 12 months",IF(T668&lt;36,"12-35 months",IF(T668&lt;60,"36-59 months","≥60 months"))))</f>
        <v/>
      </c>
      <c r="V668" s="27"/>
      <c r="W668" s="30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9"/>
      <c r="AT668" s="30"/>
      <c r="AU668" s="30"/>
      <c r="AV668" s="30"/>
      <c r="AW668" s="27"/>
      <c r="AX668" s="27"/>
      <c r="AY668" s="29"/>
      <c r="AZ668" s="27"/>
      <c r="BA668" s="27"/>
      <c r="BB668" s="29"/>
      <c r="BC668" s="30"/>
      <c r="BD668" s="30"/>
      <c r="BE668" s="30"/>
      <c r="BF668" s="27"/>
      <c r="BG668" s="27"/>
      <c r="BH668" s="28" t="str">
        <f aca="false">IF(COUNT(BC668:BE668)=0,"",IF(MIN(BC668:BE668)&lt;=-2.5,"Yes","No"))</f>
        <v/>
      </c>
      <c r="BI668" s="27"/>
      <c r="BJ668" s="29"/>
      <c r="BK668" s="27"/>
      <c r="BL668" s="27"/>
      <c r="BM668" s="27"/>
      <c r="BN668" s="28" t="str">
        <f aca="false">IF(OR(AX668="Yes",BI668="Yes"),"Yes",IF(AND(AX668="No",BI668="No"),"No",IF(AND(AX668="",BI668=""),"","Unknown")))</f>
        <v/>
      </c>
      <c r="BO668" s="31" t="str">
        <f aca="false">IF(COUNT(AY668,BJ668)=0,"",MIN(AY668,BJ668))</f>
        <v/>
      </c>
      <c r="BP668" s="29"/>
      <c r="BQ668" s="29"/>
      <c r="BR668" s="29"/>
      <c r="BS668" s="28" t="str">
        <f aca="false">IF(AND(N(BP668)&gt;0,N(BR668)&gt;0),BR668-BP668,"")</f>
        <v/>
      </c>
      <c r="BT668" s="28" t="str">
        <f aca="false">IF(BS668="","",ROUND(BS668/365.25,2))</f>
        <v/>
      </c>
      <c r="BU668" s="28" t="str">
        <f aca="false">IF(BS668="","",IF(BS668&gt;=730.5,"Yes","No"))</f>
        <v/>
      </c>
      <c r="BV668" s="27"/>
      <c r="BW668" s="29"/>
      <c r="BX668" s="27"/>
      <c r="BY668" s="27"/>
      <c r="BZ668" s="28" t="str">
        <f aca="false">IF(N(E668)=0,"",IF(E668&lt;65,"Under 65","≥65"))</f>
        <v/>
      </c>
      <c r="CA668" s="28" t="str">
        <f aca="false">IF(OR(AC668="Yes",AC668="No"),AC668,"")</f>
        <v/>
      </c>
      <c r="CB668" s="28" t="str">
        <f aca="false">IF(OR(AD668="Yes",AD668="No"),AD668,"")</f>
        <v/>
      </c>
      <c r="CC668" s="28" t="str">
        <f aca="false">IF(F668="","",F668)</f>
        <v/>
      </c>
      <c r="CD668" s="27"/>
      <c r="CE668" s="27"/>
    </row>
    <row r="669" customFormat="false" ht="15" hidden="false" customHeight="false" outlineLevel="0" collapsed="false">
      <c r="A669" s="27"/>
      <c r="B669" s="27"/>
      <c r="C669" s="27"/>
      <c r="D669" s="27"/>
      <c r="E669" s="27"/>
      <c r="F669" s="27"/>
      <c r="G669" s="27"/>
      <c r="H669" s="27"/>
      <c r="I669" s="27"/>
      <c r="J669" s="28" t="str">
        <f aca="false">IF(AND(N(H669)&gt;0,N(I669)&gt;0),ROUND(I669/(H669/100)^2,1),"")</f>
        <v/>
      </c>
      <c r="K669" s="27"/>
      <c r="L669" s="27"/>
      <c r="M669" s="27"/>
      <c r="N669" s="27"/>
      <c r="O669" s="27"/>
      <c r="P669" s="27"/>
      <c r="Q669" s="27"/>
      <c r="R669" s="29"/>
      <c r="S669" s="29"/>
      <c r="T669" s="27"/>
      <c r="U669" s="28" t="str">
        <f aca="false">IF(N(T669)=0,"",IF(T669&lt;12,"Under 12 months",IF(T669&lt;36,"12-35 months",IF(T669&lt;60,"36-59 months","≥60 months"))))</f>
        <v/>
      </c>
      <c r="V669" s="27"/>
      <c r="W669" s="30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9"/>
      <c r="AT669" s="30"/>
      <c r="AU669" s="30"/>
      <c r="AV669" s="30"/>
      <c r="AW669" s="27"/>
      <c r="AX669" s="27"/>
      <c r="AY669" s="29"/>
      <c r="AZ669" s="27"/>
      <c r="BA669" s="27"/>
      <c r="BB669" s="29"/>
      <c r="BC669" s="30"/>
      <c r="BD669" s="30"/>
      <c r="BE669" s="30"/>
      <c r="BF669" s="27"/>
      <c r="BG669" s="27"/>
      <c r="BH669" s="28" t="str">
        <f aca="false">IF(COUNT(BC669:BE669)=0,"",IF(MIN(BC669:BE669)&lt;=-2.5,"Yes","No"))</f>
        <v/>
      </c>
      <c r="BI669" s="27"/>
      <c r="BJ669" s="29"/>
      <c r="BK669" s="27"/>
      <c r="BL669" s="27"/>
      <c r="BM669" s="27"/>
      <c r="BN669" s="28" t="str">
        <f aca="false">IF(OR(AX669="Yes",BI669="Yes"),"Yes",IF(AND(AX669="No",BI669="No"),"No",IF(AND(AX669="",BI669=""),"","Unknown")))</f>
        <v/>
      </c>
      <c r="BO669" s="31" t="str">
        <f aca="false">IF(COUNT(AY669,BJ669)=0,"",MIN(AY669,BJ669))</f>
        <v/>
      </c>
      <c r="BP669" s="29"/>
      <c r="BQ669" s="29"/>
      <c r="BR669" s="29"/>
      <c r="BS669" s="28" t="str">
        <f aca="false">IF(AND(N(BP669)&gt;0,N(BR669)&gt;0),BR669-BP669,"")</f>
        <v/>
      </c>
      <c r="BT669" s="28" t="str">
        <f aca="false">IF(BS669="","",ROUND(BS669/365.25,2))</f>
        <v/>
      </c>
      <c r="BU669" s="28" t="str">
        <f aca="false">IF(BS669="","",IF(BS669&gt;=730.5,"Yes","No"))</f>
        <v/>
      </c>
      <c r="BV669" s="27"/>
      <c r="BW669" s="29"/>
      <c r="BX669" s="27"/>
      <c r="BY669" s="27"/>
      <c r="BZ669" s="28" t="str">
        <f aca="false">IF(N(E669)=0,"",IF(E669&lt;65,"Under 65","≥65"))</f>
        <v/>
      </c>
      <c r="CA669" s="28" t="str">
        <f aca="false">IF(OR(AC669="Yes",AC669="No"),AC669,"")</f>
        <v/>
      </c>
      <c r="CB669" s="28" t="str">
        <f aca="false">IF(OR(AD669="Yes",AD669="No"),AD669,"")</f>
        <v/>
      </c>
      <c r="CC669" s="28" t="str">
        <f aca="false">IF(F669="","",F669)</f>
        <v/>
      </c>
      <c r="CD669" s="27"/>
      <c r="CE669" s="27"/>
    </row>
    <row r="670" customFormat="false" ht="15" hidden="false" customHeight="false" outlineLevel="0" collapsed="false">
      <c r="A670" s="27"/>
      <c r="B670" s="27"/>
      <c r="C670" s="27"/>
      <c r="D670" s="27"/>
      <c r="E670" s="27"/>
      <c r="F670" s="27"/>
      <c r="G670" s="27"/>
      <c r="H670" s="27"/>
      <c r="I670" s="27"/>
      <c r="J670" s="28" t="str">
        <f aca="false">IF(AND(N(H670)&gt;0,N(I670)&gt;0),ROUND(I670/(H670/100)^2,1),"")</f>
        <v/>
      </c>
      <c r="K670" s="27"/>
      <c r="L670" s="27"/>
      <c r="M670" s="27"/>
      <c r="N670" s="27"/>
      <c r="O670" s="27"/>
      <c r="P670" s="27"/>
      <c r="Q670" s="27"/>
      <c r="R670" s="29"/>
      <c r="S670" s="29"/>
      <c r="T670" s="27"/>
      <c r="U670" s="28" t="str">
        <f aca="false">IF(N(T670)=0,"",IF(T670&lt;12,"Under 12 months",IF(T670&lt;36,"12-35 months",IF(T670&lt;60,"36-59 months","≥60 months"))))</f>
        <v/>
      </c>
      <c r="V670" s="27"/>
      <c r="W670" s="30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9"/>
      <c r="AT670" s="30"/>
      <c r="AU670" s="30"/>
      <c r="AV670" s="30"/>
      <c r="AW670" s="27"/>
      <c r="AX670" s="27"/>
      <c r="AY670" s="29"/>
      <c r="AZ670" s="27"/>
      <c r="BA670" s="27"/>
      <c r="BB670" s="29"/>
      <c r="BC670" s="30"/>
      <c r="BD670" s="30"/>
      <c r="BE670" s="30"/>
      <c r="BF670" s="27"/>
      <c r="BG670" s="27"/>
      <c r="BH670" s="28" t="str">
        <f aca="false">IF(COUNT(BC670:BE670)=0,"",IF(MIN(BC670:BE670)&lt;=-2.5,"Yes","No"))</f>
        <v/>
      </c>
      <c r="BI670" s="27"/>
      <c r="BJ670" s="29"/>
      <c r="BK670" s="27"/>
      <c r="BL670" s="27"/>
      <c r="BM670" s="27"/>
      <c r="BN670" s="28" t="str">
        <f aca="false">IF(OR(AX670="Yes",BI670="Yes"),"Yes",IF(AND(AX670="No",BI670="No"),"No",IF(AND(AX670="",BI670=""),"","Unknown")))</f>
        <v/>
      </c>
      <c r="BO670" s="31" t="str">
        <f aca="false">IF(COUNT(AY670,BJ670)=0,"",MIN(AY670,BJ670))</f>
        <v/>
      </c>
      <c r="BP670" s="29"/>
      <c r="BQ670" s="29"/>
      <c r="BR670" s="29"/>
      <c r="BS670" s="28" t="str">
        <f aca="false">IF(AND(N(BP670)&gt;0,N(BR670)&gt;0),BR670-BP670,"")</f>
        <v/>
      </c>
      <c r="BT670" s="28" t="str">
        <f aca="false">IF(BS670="","",ROUND(BS670/365.25,2))</f>
        <v/>
      </c>
      <c r="BU670" s="28" t="str">
        <f aca="false">IF(BS670="","",IF(BS670&gt;=730.5,"Yes","No"))</f>
        <v/>
      </c>
      <c r="BV670" s="27"/>
      <c r="BW670" s="29"/>
      <c r="BX670" s="27"/>
      <c r="BY670" s="27"/>
      <c r="BZ670" s="28" t="str">
        <f aca="false">IF(N(E670)=0,"",IF(E670&lt;65,"Under 65","≥65"))</f>
        <v/>
      </c>
      <c r="CA670" s="28" t="str">
        <f aca="false">IF(OR(AC670="Yes",AC670="No"),AC670,"")</f>
        <v/>
      </c>
      <c r="CB670" s="28" t="str">
        <f aca="false">IF(OR(AD670="Yes",AD670="No"),AD670,"")</f>
        <v/>
      </c>
      <c r="CC670" s="28" t="str">
        <f aca="false">IF(F670="","",F670)</f>
        <v/>
      </c>
      <c r="CD670" s="27"/>
      <c r="CE670" s="27"/>
    </row>
    <row r="671" customFormat="false" ht="15" hidden="false" customHeight="false" outlineLevel="0" collapsed="false">
      <c r="A671" s="27"/>
      <c r="B671" s="27"/>
      <c r="C671" s="27"/>
      <c r="D671" s="27"/>
      <c r="E671" s="27"/>
      <c r="F671" s="27"/>
      <c r="G671" s="27"/>
      <c r="H671" s="27"/>
      <c r="I671" s="27"/>
      <c r="J671" s="28" t="str">
        <f aca="false">IF(AND(N(H671)&gt;0,N(I671)&gt;0),ROUND(I671/(H671/100)^2,1),"")</f>
        <v/>
      </c>
      <c r="K671" s="27"/>
      <c r="L671" s="27"/>
      <c r="M671" s="27"/>
      <c r="N671" s="27"/>
      <c r="O671" s="27"/>
      <c r="P671" s="27"/>
      <c r="Q671" s="27"/>
      <c r="R671" s="29"/>
      <c r="S671" s="29"/>
      <c r="T671" s="27"/>
      <c r="U671" s="28" t="str">
        <f aca="false">IF(N(T671)=0,"",IF(T671&lt;12,"Under 12 months",IF(T671&lt;36,"12-35 months",IF(T671&lt;60,"36-59 months","≥60 months"))))</f>
        <v/>
      </c>
      <c r="V671" s="27"/>
      <c r="W671" s="30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9"/>
      <c r="AT671" s="30"/>
      <c r="AU671" s="30"/>
      <c r="AV671" s="30"/>
      <c r="AW671" s="27"/>
      <c r="AX671" s="27"/>
      <c r="AY671" s="29"/>
      <c r="AZ671" s="27"/>
      <c r="BA671" s="27"/>
      <c r="BB671" s="29"/>
      <c r="BC671" s="30"/>
      <c r="BD671" s="30"/>
      <c r="BE671" s="30"/>
      <c r="BF671" s="27"/>
      <c r="BG671" s="27"/>
      <c r="BH671" s="28" t="str">
        <f aca="false">IF(COUNT(BC671:BE671)=0,"",IF(MIN(BC671:BE671)&lt;=-2.5,"Yes","No"))</f>
        <v/>
      </c>
      <c r="BI671" s="27"/>
      <c r="BJ671" s="29"/>
      <c r="BK671" s="27"/>
      <c r="BL671" s="27"/>
      <c r="BM671" s="27"/>
      <c r="BN671" s="28" t="str">
        <f aca="false">IF(OR(AX671="Yes",BI671="Yes"),"Yes",IF(AND(AX671="No",BI671="No"),"No",IF(AND(AX671="",BI671=""),"","Unknown")))</f>
        <v/>
      </c>
      <c r="BO671" s="31" t="str">
        <f aca="false">IF(COUNT(AY671,BJ671)=0,"",MIN(AY671,BJ671))</f>
        <v/>
      </c>
      <c r="BP671" s="29"/>
      <c r="BQ671" s="29"/>
      <c r="BR671" s="29"/>
      <c r="BS671" s="28" t="str">
        <f aca="false">IF(AND(N(BP671)&gt;0,N(BR671)&gt;0),BR671-BP671,"")</f>
        <v/>
      </c>
      <c r="BT671" s="28" t="str">
        <f aca="false">IF(BS671="","",ROUND(BS671/365.25,2))</f>
        <v/>
      </c>
      <c r="BU671" s="28" t="str">
        <f aca="false">IF(BS671="","",IF(BS671&gt;=730.5,"Yes","No"))</f>
        <v/>
      </c>
      <c r="BV671" s="27"/>
      <c r="BW671" s="29"/>
      <c r="BX671" s="27"/>
      <c r="BY671" s="27"/>
      <c r="BZ671" s="28" t="str">
        <f aca="false">IF(N(E671)=0,"",IF(E671&lt;65,"Under 65","≥65"))</f>
        <v/>
      </c>
      <c r="CA671" s="28" t="str">
        <f aca="false">IF(OR(AC671="Yes",AC671="No"),AC671,"")</f>
        <v/>
      </c>
      <c r="CB671" s="28" t="str">
        <f aca="false">IF(OR(AD671="Yes",AD671="No"),AD671,"")</f>
        <v/>
      </c>
      <c r="CC671" s="28" t="str">
        <f aca="false">IF(F671="","",F671)</f>
        <v/>
      </c>
      <c r="CD671" s="27"/>
      <c r="CE671" s="27"/>
    </row>
    <row r="672" customFormat="false" ht="15" hidden="false" customHeight="false" outlineLevel="0" collapsed="false">
      <c r="A672" s="27"/>
      <c r="B672" s="27"/>
      <c r="C672" s="27"/>
      <c r="D672" s="27"/>
      <c r="E672" s="27"/>
      <c r="F672" s="27"/>
      <c r="G672" s="27"/>
      <c r="H672" s="27"/>
      <c r="I672" s="27"/>
      <c r="J672" s="28" t="str">
        <f aca="false">IF(AND(N(H672)&gt;0,N(I672)&gt;0),ROUND(I672/(H672/100)^2,1),"")</f>
        <v/>
      </c>
      <c r="K672" s="27"/>
      <c r="L672" s="27"/>
      <c r="M672" s="27"/>
      <c r="N672" s="27"/>
      <c r="O672" s="27"/>
      <c r="P672" s="27"/>
      <c r="Q672" s="27"/>
      <c r="R672" s="29"/>
      <c r="S672" s="29"/>
      <c r="T672" s="27"/>
      <c r="U672" s="28" t="str">
        <f aca="false">IF(N(T672)=0,"",IF(T672&lt;12,"Under 12 months",IF(T672&lt;36,"12-35 months",IF(T672&lt;60,"36-59 months","≥60 months"))))</f>
        <v/>
      </c>
      <c r="V672" s="27"/>
      <c r="W672" s="30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9"/>
      <c r="AT672" s="30"/>
      <c r="AU672" s="30"/>
      <c r="AV672" s="30"/>
      <c r="AW672" s="27"/>
      <c r="AX672" s="27"/>
      <c r="AY672" s="29"/>
      <c r="AZ672" s="27"/>
      <c r="BA672" s="27"/>
      <c r="BB672" s="29"/>
      <c r="BC672" s="30"/>
      <c r="BD672" s="30"/>
      <c r="BE672" s="30"/>
      <c r="BF672" s="27"/>
      <c r="BG672" s="27"/>
      <c r="BH672" s="28" t="str">
        <f aca="false">IF(COUNT(BC672:BE672)=0,"",IF(MIN(BC672:BE672)&lt;=-2.5,"Yes","No"))</f>
        <v/>
      </c>
      <c r="BI672" s="27"/>
      <c r="BJ672" s="29"/>
      <c r="BK672" s="27"/>
      <c r="BL672" s="27"/>
      <c r="BM672" s="27"/>
      <c r="BN672" s="28" t="str">
        <f aca="false">IF(OR(AX672="Yes",BI672="Yes"),"Yes",IF(AND(AX672="No",BI672="No"),"No",IF(AND(AX672="",BI672=""),"","Unknown")))</f>
        <v/>
      </c>
      <c r="BO672" s="31" t="str">
        <f aca="false">IF(COUNT(AY672,BJ672)=0,"",MIN(AY672,BJ672))</f>
        <v/>
      </c>
      <c r="BP672" s="29"/>
      <c r="BQ672" s="29"/>
      <c r="BR672" s="29"/>
      <c r="BS672" s="28" t="str">
        <f aca="false">IF(AND(N(BP672)&gt;0,N(BR672)&gt;0),BR672-BP672,"")</f>
        <v/>
      </c>
      <c r="BT672" s="28" t="str">
        <f aca="false">IF(BS672="","",ROUND(BS672/365.25,2))</f>
        <v/>
      </c>
      <c r="BU672" s="28" t="str">
        <f aca="false">IF(BS672="","",IF(BS672&gt;=730.5,"Yes","No"))</f>
        <v/>
      </c>
      <c r="BV672" s="27"/>
      <c r="BW672" s="29"/>
      <c r="BX672" s="27"/>
      <c r="BY672" s="27"/>
      <c r="BZ672" s="28" t="str">
        <f aca="false">IF(N(E672)=0,"",IF(E672&lt;65,"Under 65","≥65"))</f>
        <v/>
      </c>
      <c r="CA672" s="28" t="str">
        <f aca="false">IF(OR(AC672="Yes",AC672="No"),AC672,"")</f>
        <v/>
      </c>
      <c r="CB672" s="28" t="str">
        <f aca="false">IF(OR(AD672="Yes",AD672="No"),AD672,"")</f>
        <v/>
      </c>
      <c r="CC672" s="28" t="str">
        <f aca="false">IF(F672="","",F672)</f>
        <v/>
      </c>
      <c r="CD672" s="27"/>
      <c r="CE672" s="27"/>
    </row>
    <row r="673" customFormat="false" ht="15" hidden="false" customHeight="false" outlineLevel="0" collapsed="false">
      <c r="A673" s="27"/>
      <c r="B673" s="27"/>
      <c r="C673" s="27"/>
      <c r="D673" s="27"/>
      <c r="E673" s="27"/>
      <c r="F673" s="27"/>
      <c r="G673" s="27"/>
      <c r="H673" s="27"/>
      <c r="I673" s="27"/>
      <c r="J673" s="28" t="str">
        <f aca="false">IF(AND(N(H673)&gt;0,N(I673)&gt;0),ROUND(I673/(H673/100)^2,1),"")</f>
        <v/>
      </c>
      <c r="K673" s="27"/>
      <c r="L673" s="27"/>
      <c r="M673" s="27"/>
      <c r="N673" s="27"/>
      <c r="O673" s="27"/>
      <c r="P673" s="27"/>
      <c r="Q673" s="27"/>
      <c r="R673" s="29"/>
      <c r="S673" s="29"/>
      <c r="T673" s="27"/>
      <c r="U673" s="28" t="str">
        <f aca="false">IF(N(T673)=0,"",IF(T673&lt;12,"Under 12 months",IF(T673&lt;36,"12-35 months",IF(T673&lt;60,"36-59 months","≥60 months"))))</f>
        <v/>
      </c>
      <c r="V673" s="27"/>
      <c r="W673" s="30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9"/>
      <c r="AT673" s="30"/>
      <c r="AU673" s="30"/>
      <c r="AV673" s="30"/>
      <c r="AW673" s="27"/>
      <c r="AX673" s="27"/>
      <c r="AY673" s="29"/>
      <c r="AZ673" s="27"/>
      <c r="BA673" s="27"/>
      <c r="BB673" s="29"/>
      <c r="BC673" s="30"/>
      <c r="BD673" s="30"/>
      <c r="BE673" s="30"/>
      <c r="BF673" s="27"/>
      <c r="BG673" s="27"/>
      <c r="BH673" s="28" t="str">
        <f aca="false">IF(COUNT(BC673:BE673)=0,"",IF(MIN(BC673:BE673)&lt;=-2.5,"Yes","No"))</f>
        <v/>
      </c>
      <c r="BI673" s="27"/>
      <c r="BJ673" s="29"/>
      <c r="BK673" s="27"/>
      <c r="BL673" s="27"/>
      <c r="BM673" s="27"/>
      <c r="BN673" s="28" t="str">
        <f aca="false">IF(OR(AX673="Yes",BI673="Yes"),"Yes",IF(AND(AX673="No",BI673="No"),"No",IF(AND(AX673="",BI673=""),"","Unknown")))</f>
        <v/>
      </c>
      <c r="BO673" s="31" t="str">
        <f aca="false">IF(COUNT(AY673,BJ673)=0,"",MIN(AY673,BJ673))</f>
        <v/>
      </c>
      <c r="BP673" s="29"/>
      <c r="BQ673" s="29"/>
      <c r="BR673" s="29"/>
      <c r="BS673" s="28" t="str">
        <f aca="false">IF(AND(N(BP673)&gt;0,N(BR673)&gt;0),BR673-BP673,"")</f>
        <v/>
      </c>
      <c r="BT673" s="28" t="str">
        <f aca="false">IF(BS673="","",ROUND(BS673/365.25,2))</f>
        <v/>
      </c>
      <c r="BU673" s="28" t="str">
        <f aca="false">IF(BS673="","",IF(BS673&gt;=730.5,"Yes","No"))</f>
        <v/>
      </c>
      <c r="BV673" s="27"/>
      <c r="BW673" s="29"/>
      <c r="BX673" s="27"/>
      <c r="BY673" s="27"/>
      <c r="BZ673" s="28" t="str">
        <f aca="false">IF(N(E673)=0,"",IF(E673&lt;65,"Under 65","≥65"))</f>
        <v/>
      </c>
      <c r="CA673" s="28" t="str">
        <f aca="false">IF(OR(AC673="Yes",AC673="No"),AC673,"")</f>
        <v/>
      </c>
      <c r="CB673" s="28" t="str">
        <f aca="false">IF(OR(AD673="Yes",AD673="No"),AD673,"")</f>
        <v/>
      </c>
      <c r="CC673" s="28" t="str">
        <f aca="false">IF(F673="","",F673)</f>
        <v/>
      </c>
      <c r="CD673" s="27"/>
      <c r="CE673" s="27"/>
    </row>
    <row r="674" customFormat="false" ht="15" hidden="false" customHeight="false" outlineLevel="0" collapsed="false">
      <c r="A674" s="27"/>
      <c r="B674" s="27"/>
      <c r="C674" s="27"/>
      <c r="D674" s="27"/>
      <c r="E674" s="27"/>
      <c r="F674" s="27"/>
      <c r="G674" s="27"/>
      <c r="H674" s="27"/>
      <c r="I674" s="27"/>
      <c r="J674" s="28" t="str">
        <f aca="false">IF(AND(N(H674)&gt;0,N(I674)&gt;0),ROUND(I674/(H674/100)^2,1),"")</f>
        <v/>
      </c>
      <c r="K674" s="27"/>
      <c r="L674" s="27"/>
      <c r="M674" s="27"/>
      <c r="N674" s="27"/>
      <c r="O674" s="27"/>
      <c r="P674" s="27"/>
      <c r="Q674" s="27"/>
      <c r="R674" s="29"/>
      <c r="S674" s="29"/>
      <c r="T674" s="27"/>
      <c r="U674" s="28" t="str">
        <f aca="false">IF(N(T674)=0,"",IF(T674&lt;12,"Under 12 months",IF(T674&lt;36,"12-35 months",IF(T674&lt;60,"36-59 months","≥60 months"))))</f>
        <v/>
      </c>
      <c r="V674" s="27"/>
      <c r="W674" s="30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9"/>
      <c r="AT674" s="30"/>
      <c r="AU674" s="30"/>
      <c r="AV674" s="30"/>
      <c r="AW674" s="27"/>
      <c r="AX674" s="27"/>
      <c r="AY674" s="29"/>
      <c r="AZ674" s="27"/>
      <c r="BA674" s="27"/>
      <c r="BB674" s="29"/>
      <c r="BC674" s="30"/>
      <c r="BD674" s="30"/>
      <c r="BE674" s="30"/>
      <c r="BF674" s="27"/>
      <c r="BG674" s="27"/>
      <c r="BH674" s="28" t="str">
        <f aca="false">IF(COUNT(BC674:BE674)=0,"",IF(MIN(BC674:BE674)&lt;=-2.5,"Yes","No"))</f>
        <v/>
      </c>
      <c r="BI674" s="27"/>
      <c r="BJ674" s="29"/>
      <c r="BK674" s="27"/>
      <c r="BL674" s="27"/>
      <c r="BM674" s="27"/>
      <c r="BN674" s="28" t="str">
        <f aca="false">IF(OR(AX674="Yes",BI674="Yes"),"Yes",IF(AND(AX674="No",BI674="No"),"No",IF(AND(AX674="",BI674=""),"","Unknown")))</f>
        <v/>
      </c>
      <c r="BO674" s="31" t="str">
        <f aca="false">IF(COUNT(AY674,BJ674)=0,"",MIN(AY674,BJ674))</f>
        <v/>
      </c>
      <c r="BP674" s="29"/>
      <c r="BQ674" s="29"/>
      <c r="BR674" s="29"/>
      <c r="BS674" s="28" t="str">
        <f aca="false">IF(AND(N(BP674)&gt;0,N(BR674)&gt;0),BR674-BP674,"")</f>
        <v/>
      </c>
      <c r="BT674" s="28" t="str">
        <f aca="false">IF(BS674="","",ROUND(BS674/365.25,2))</f>
        <v/>
      </c>
      <c r="BU674" s="28" t="str">
        <f aca="false">IF(BS674="","",IF(BS674&gt;=730.5,"Yes","No"))</f>
        <v/>
      </c>
      <c r="BV674" s="27"/>
      <c r="BW674" s="29"/>
      <c r="BX674" s="27"/>
      <c r="BY674" s="27"/>
      <c r="BZ674" s="28" t="str">
        <f aca="false">IF(N(E674)=0,"",IF(E674&lt;65,"Under 65","≥65"))</f>
        <v/>
      </c>
      <c r="CA674" s="28" t="str">
        <f aca="false">IF(OR(AC674="Yes",AC674="No"),AC674,"")</f>
        <v/>
      </c>
      <c r="CB674" s="28" t="str">
        <f aca="false">IF(OR(AD674="Yes",AD674="No"),AD674,"")</f>
        <v/>
      </c>
      <c r="CC674" s="28" t="str">
        <f aca="false">IF(F674="","",F674)</f>
        <v/>
      </c>
      <c r="CD674" s="27"/>
      <c r="CE674" s="27"/>
    </row>
    <row r="675" customFormat="false" ht="15" hidden="false" customHeight="false" outlineLevel="0" collapsed="false">
      <c r="A675" s="27"/>
      <c r="B675" s="27"/>
      <c r="C675" s="27"/>
      <c r="D675" s="27"/>
      <c r="E675" s="27"/>
      <c r="F675" s="27"/>
      <c r="G675" s="27"/>
      <c r="H675" s="27"/>
      <c r="I675" s="27"/>
      <c r="J675" s="28" t="str">
        <f aca="false">IF(AND(N(H675)&gt;0,N(I675)&gt;0),ROUND(I675/(H675/100)^2,1),"")</f>
        <v/>
      </c>
      <c r="K675" s="27"/>
      <c r="L675" s="27"/>
      <c r="M675" s="27"/>
      <c r="N675" s="27"/>
      <c r="O675" s="27"/>
      <c r="P675" s="27"/>
      <c r="Q675" s="27"/>
      <c r="R675" s="29"/>
      <c r="S675" s="29"/>
      <c r="T675" s="27"/>
      <c r="U675" s="28" t="str">
        <f aca="false">IF(N(T675)=0,"",IF(T675&lt;12,"Under 12 months",IF(T675&lt;36,"12-35 months",IF(T675&lt;60,"36-59 months","≥60 months"))))</f>
        <v/>
      </c>
      <c r="V675" s="27"/>
      <c r="W675" s="30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9"/>
      <c r="AT675" s="30"/>
      <c r="AU675" s="30"/>
      <c r="AV675" s="30"/>
      <c r="AW675" s="27"/>
      <c r="AX675" s="27"/>
      <c r="AY675" s="29"/>
      <c r="AZ675" s="27"/>
      <c r="BA675" s="27"/>
      <c r="BB675" s="29"/>
      <c r="BC675" s="30"/>
      <c r="BD675" s="30"/>
      <c r="BE675" s="30"/>
      <c r="BF675" s="27"/>
      <c r="BG675" s="27"/>
      <c r="BH675" s="28" t="str">
        <f aca="false">IF(COUNT(BC675:BE675)=0,"",IF(MIN(BC675:BE675)&lt;=-2.5,"Yes","No"))</f>
        <v/>
      </c>
      <c r="BI675" s="27"/>
      <c r="BJ675" s="29"/>
      <c r="BK675" s="27"/>
      <c r="BL675" s="27"/>
      <c r="BM675" s="27"/>
      <c r="BN675" s="28" t="str">
        <f aca="false">IF(OR(AX675="Yes",BI675="Yes"),"Yes",IF(AND(AX675="No",BI675="No"),"No",IF(AND(AX675="",BI675=""),"","Unknown")))</f>
        <v/>
      </c>
      <c r="BO675" s="31" t="str">
        <f aca="false">IF(COUNT(AY675,BJ675)=0,"",MIN(AY675,BJ675))</f>
        <v/>
      </c>
      <c r="BP675" s="29"/>
      <c r="BQ675" s="29"/>
      <c r="BR675" s="29"/>
      <c r="BS675" s="28" t="str">
        <f aca="false">IF(AND(N(BP675)&gt;0,N(BR675)&gt;0),BR675-BP675,"")</f>
        <v/>
      </c>
      <c r="BT675" s="28" t="str">
        <f aca="false">IF(BS675="","",ROUND(BS675/365.25,2))</f>
        <v/>
      </c>
      <c r="BU675" s="28" t="str">
        <f aca="false">IF(BS675="","",IF(BS675&gt;=730.5,"Yes","No"))</f>
        <v/>
      </c>
      <c r="BV675" s="27"/>
      <c r="BW675" s="29"/>
      <c r="BX675" s="27"/>
      <c r="BY675" s="27"/>
      <c r="BZ675" s="28" t="str">
        <f aca="false">IF(N(E675)=0,"",IF(E675&lt;65,"Under 65","≥65"))</f>
        <v/>
      </c>
      <c r="CA675" s="28" t="str">
        <f aca="false">IF(OR(AC675="Yes",AC675="No"),AC675,"")</f>
        <v/>
      </c>
      <c r="CB675" s="28" t="str">
        <f aca="false">IF(OR(AD675="Yes",AD675="No"),AD675,"")</f>
        <v/>
      </c>
      <c r="CC675" s="28" t="str">
        <f aca="false">IF(F675="","",F675)</f>
        <v/>
      </c>
      <c r="CD675" s="27"/>
      <c r="CE675" s="27"/>
    </row>
    <row r="676" customFormat="false" ht="15" hidden="false" customHeight="false" outlineLevel="0" collapsed="false">
      <c r="A676" s="27"/>
      <c r="B676" s="27"/>
      <c r="C676" s="27"/>
      <c r="D676" s="27"/>
      <c r="E676" s="27"/>
      <c r="F676" s="27"/>
      <c r="G676" s="27"/>
      <c r="H676" s="27"/>
      <c r="I676" s="27"/>
      <c r="J676" s="28" t="str">
        <f aca="false">IF(AND(N(H676)&gt;0,N(I676)&gt;0),ROUND(I676/(H676/100)^2,1),"")</f>
        <v/>
      </c>
      <c r="K676" s="27"/>
      <c r="L676" s="27"/>
      <c r="M676" s="27"/>
      <c r="N676" s="27"/>
      <c r="O676" s="27"/>
      <c r="P676" s="27"/>
      <c r="Q676" s="27"/>
      <c r="R676" s="29"/>
      <c r="S676" s="29"/>
      <c r="T676" s="27"/>
      <c r="U676" s="28" t="str">
        <f aca="false">IF(N(T676)=0,"",IF(T676&lt;12,"Under 12 months",IF(T676&lt;36,"12-35 months",IF(T676&lt;60,"36-59 months","≥60 months"))))</f>
        <v/>
      </c>
      <c r="V676" s="27"/>
      <c r="W676" s="30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9"/>
      <c r="AT676" s="30"/>
      <c r="AU676" s="30"/>
      <c r="AV676" s="30"/>
      <c r="AW676" s="27"/>
      <c r="AX676" s="27"/>
      <c r="AY676" s="29"/>
      <c r="AZ676" s="27"/>
      <c r="BA676" s="27"/>
      <c r="BB676" s="29"/>
      <c r="BC676" s="30"/>
      <c r="BD676" s="30"/>
      <c r="BE676" s="30"/>
      <c r="BF676" s="27"/>
      <c r="BG676" s="27"/>
      <c r="BH676" s="28" t="str">
        <f aca="false">IF(COUNT(BC676:BE676)=0,"",IF(MIN(BC676:BE676)&lt;=-2.5,"Yes","No"))</f>
        <v/>
      </c>
      <c r="BI676" s="27"/>
      <c r="BJ676" s="29"/>
      <c r="BK676" s="27"/>
      <c r="BL676" s="27"/>
      <c r="BM676" s="27"/>
      <c r="BN676" s="28" t="str">
        <f aca="false">IF(OR(AX676="Yes",BI676="Yes"),"Yes",IF(AND(AX676="No",BI676="No"),"No",IF(AND(AX676="",BI676=""),"","Unknown")))</f>
        <v/>
      </c>
      <c r="BO676" s="31" t="str">
        <f aca="false">IF(COUNT(AY676,BJ676)=0,"",MIN(AY676,BJ676))</f>
        <v/>
      </c>
      <c r="BP676" s="29"/>
      <c r="BQ676" s="29"/>
      <c r="BR676" s="29"/>
      <c r="BS676" s="28" t="str">
        <f aca="false">IF(AND(N(BP676)&gt;0,N(BR676)&gt;0),BR676-BP676,"")</f>
        <v/>
      </c>
      <c r="BT676" s="28" t="str">
        <f aca="false">IF(BS676="","",ROUND(BS676/365.25,2))</f>
        <v/>
      </c>
      <c r="BU676" s="28" t="str">
        <f aca="false">IF(BS676="","",IF(BS676&gt;=730.5,"Yes","No"))</f>
        <v/>
      </c>
      <c r="BV676" s="27"/>
      <c r="BW676" s="29"/>
      <c r="BX676" s="27"/>
      <c r="BY676" s="27"/>
      <c r="BZ676" s="28" t="str">
        <f aca="false">IF(N(E676)=0,"",IF(E676&lt;65,"Under 65","≥65"))</f>
        <v/>
      </c>
      <c r="CA676" s="28" t="str">
        <f aca="false">IF(OR(AC676="Yes",AC676="No"),AC676,"")</f>
        <v/>
      </c>
      <c r="CB676" s="28" t="str">
        <f aca="false">IF(OR(AD676="Yes",AD676="No"),AD676,"")</f>
        <v/>
      </c>
      <c r="CC676" s="28" t="str">
        <f aca="false">IF(F676="","",F676)</f>
        <v/>
      </c>
      <c r="CD676" s="27"/>
      <c r="CE676" s="27"/>
    </row>
    <row r="677" customFormat="false" ht="15" hidden="false" customHeight="false" outlineLevel="0" collapsed="false">
      <c r="A677" s="27"/>
      <c r="B677" s="27"/>
      <c r="C677" s="27"/>
      <c r="D677" s="27"/>
      <c r="E677" s="27"/>
      <c r="F677" s="27"/>
      <c r="G677" s="27"/>
      <c r="H677" s="27"/>
      <c r="I677" s="27"/>
      <c r="J677" s="28" t="str">
        <f aca="false">IF(AND(N(H677)&gt;0,N(I677)&gt;0),ROUND(I677/(H677/100)^2,1),"")</f>
        <v/>
      </c>
      <c r="K677" s="27"/>
      <c r="L677" s="27"/>
      <c r="M677" s="27"/>
      <c r="N677" s="27"/>
      <c r="O677" s="27"/>
      <c r="P677" s="27"/>
      <c r="Q677" s="27"/>
      <c r="R677" s="29"/>
      <c r="S677" s="29"/>
      <c r="T677" s="27"/>
      <c r="U677" s="28" t="str">
        <f aca="false">IF(N(T677)=0,"",IF(T677&lt;12,"Under 12 months",IF(T677&lt;36,"12-35 months",IF(T677&lt;60,"36-59 months","≥60 months"))))</f>
        <v/>
      </c>
      <c r="V677" s="27"/>
      <c r="W677" s="30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9"/>
      <c r="AT677" s="30"/>
      <c r="AU677" s="30"/>
      <c r="AV677" s="30"/>
      <c r="AW677" s="27"/>
      <c r="AX677" s="27"/>
      <c r="AY677" s="29"/>
      <c r="AZ677" s="27"/>
      <c r="BA677" s="27"/>
      <c r="BB677" s="29"/>
      <c r="BC677" s="30"/>
      <c r="BD677" s="30"/>
      <c r="BE677" s="30"/>
      <c r="BF677" s="27"/>
      <c r="BG677" s="27"/>
      <c r="BH677" s="28" t="str">
        <f aca="false">IF(COUNT(BC677:BE677)=0,"",IF(MIN(BC677:BE677)&lt;=-2.5,"Yes","No"))</f>
        <v/>
      </c>
      <c r="BI677" s="27"/>
      <c r="BJ677" s="29"/>
      <c r="BK677" s="27"/>
      <c r="BL677" s="27"/>
      <c r="BM677" s="27"/>
      <c r="BN677" s="28" t="str">
        <f aca="false">IF(OR(AX677="Yes",BI677="Yes"),"Yes",IF(AND(AX677="No",BI677="No"),"No",IF(AND(AX677="",BI677=""),"","Unknown")))</f>
        <v/>
      </c>
      <c r="BO677" s="31" t="str">
        <f aca="false">IF(COUNT(AY677,BJ677)=0,"",MIN(AY677,BJ677))</f>
        <v/>
      </c>
      <c r="BP677" s="29"/>
      <c r="BQ677" s="29"/>
      <c r="BR677" s="29"/>
      <c r="BS677" s="28" t="str">
        <f aca="false">IF(AND(N(BP677)&gt;0,N(BR677)&gt;0),BR677-BP677,"")</f>
        <v/>
      </c>
      <c r="BT677" s="28" t="str">
        <f aca="false">IF(BS677="","",ROUND(BS677/365.25,2))</f>
        <v/>
      </c>
      <c r="BU677" s="28" t="str">
        <f aca="false">IF(BS677="","",IF(BS677&gt;=730.5,"Yes","No"))</f>
        <v/>
      </c>
      <c r="BV677" s="27"/>
      <c r="BW677" s="29"/>
      <c r="BX677" s="27"/>
      <c r="BY677" s="27"/>
      <c r="BZ677" s="28" t="str">
        <f aca="false">IF(N(E677)=0,"",IF(E677&lt;65,"Under 65","≥65"))</f>
        <v/>
      </c>
      <c r="CA677" s="28" t="str">
        <f aca="false">IF(OR(AC677="Yes",AC677="No"),AC677,"")</f>
        <v/>
      </c>
      <c r="CB677" s="28" t="str">
        <f aca="false">IF(OR(AD677="Yes",AD677="No"),AD677,"")</f>
        <v/>
      </c>
      <c r="CC677" s="28" t="str">
        <f aca="false">IF(F677="","",F677)</f>
        <v/>
      </c>
      <c r="CD677" s="27"/>
      <c r="CE677" s="27"/>
    </row>
    <row r="678" customFormat="false" ht="15" hidden="false" customHeight="false" outlineLevel="0" collapsed="false">
      <c r="A678" s="27"/>
      <c r="B678" s="27"/>
      <c r="C678" s="27"/>
      <c r="D678" s="27"/>
      <c r="E678" s="27"/>
      <c r="F678" s="27"/>
      <c r="G678" s="27"/>
      <c r="H678" s="27"/>
      <c r="I678" s="27"/>
      <c r="J678" s="28" t="str">
        <f aca="false">IF(AND(N(H678)&gt;0,N(I678)&gt;0),ROUND(I678/(H678/100)^2,1),"")</f>
        <v/>
      </c>
      <c r="K678" s="27"/>
      <c r="L678" s="27"/>
      <c r="M678" s="27"/>
      <c r="N678" s="27"/>
      <c r="O678" s="27"/>
      <c r="P678" s="27"/>
      <c r="Q678" s="27"/>
      <c r="R678" s="29"/>
      <c r="S678" s="29"/>
      <c r="T678" s="27"/>
      <c r="U678" s="28" t="str">
        <f aca="false">IF(N(T678)=0,"",IF(T678&lt;12,"Under 12 months",IF(T678&lt;36,"12-35 months",IF(T678&lt;60,"36-59 months","≥60 months"))))</f>
        <v/>
      </c>
      <c r="V678" s="27"/>
      <c r="W678" s="30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9"/>
      <c r="AT678" s="30"/>
      <c r="AU678" s="30"/>
      <c r="AV678" s="30"/>
      <c r="AW678" s="27"/>
      <c r="AX678" s="27"/>
      <c r="AY678" s="29"/>
      <c r="AZ678" s="27"/>
      <c r="BA678" s="27"/>
      <c r="BB678" s="29"/>
      <c r="BC678" s="30"/>
      <c r="BD678" s="30"/>
      <c r="BE678" s="30"/>
      <c r="BF678" s="27"/>
      <c r="BG678" s="27"/>
      <c r="BH678" s="28" t="str">
        <f aca="false">IF(COUNT(BC678:BE678)=0,"",IF(MIN(BC678:BE678)&lt;=-2.5,"Yes","No"))</f>
        <v/>
      </c>
      <c r="BI678" s="27"/>
      <c r="BJ678" s="29"/>
      <c r="BK678" s="27"/>
      <c r="BL678" s="27"/>
      <c r="BM678" s="27"/>
      <c r="BN678" s="28" t="str">
        <f aca="false">IF(OR(AX678="Yes",BI678="Yes"),"Yes",IF(AND(AX678="No",BI678="No"),"No",IF(AND(AX678="",BI678=""),"","Unknown")))</f>
        <v/>
      </c>
      <c r="BO678" s="31" t="str">
        <f aca="false">IF(COUNT(AY678,BJ678)=0,"",MIN(AY678,BJ678))</f>
        <v/>
      </c>
      <c r="BP678" s="29"/>
      <c r="BQ678" s="29"/>
      <c r="BR678" s="29"/>
      <c r="BS678" s="28" t="str">
        <f aca="false">IF(AND(N(BP678)&gt;0,N(BR678)&gt;0),BR678-BP678,"")</f>
        <v/>
      </c>
      <c r="BT678" s="28" t="str">
        <f aca="false">IF(BS678="","",ROUND(BS678/365.25,2))</f>
        <v/>
      </c>
      <c r="BU678" s="28" t="str">
        <f aca="false">IF(BS678="","",IF(BS678&gt;=730.5,"Yes","No"))</f>
        <v/>
      </c>
      <c r="BV678" s="27"/>
      <c r="BW678" s="29"/>
      <c r="BX678" s="27"/>
      <c r="BY678" s="27"/>
      <c r="BZ678" s="28" t="str">
        <f aca="false">IF(N(E678)=0,"",IF(E678&lt;65,"Under 65","≥65"))</f>
        <v/>
      </c>
      <c r="CA678" s="28" t="str">
        <f aca="false">IF(OR(AC678="Yes",AC678="No"),AC678,"")</f>
        <v/>
      </c>
      <c r="CB678" s="28" t="str">
        <f aca="false">IF(OR(AD678="Yes",AD678="No"),AD678,"")</f>
        <v/>
      </c>
      <c r="CC678" s="28" t="str">
        <f aca="false">IF(F678="","",F678)</f>
        <v/>
      </c>
      <c r="CD678" s="27"/>
      <c r="CE678" s="27"/>
    </row>
    <row r="679" customFormat="false" ht="15" hidden="false" customHeight="false" outlineLevel="0" collapsed="false">
      <c r="A679" s="27"/>
      <c r="B679" s="27"/>
      <c r="C679" s="27"/>
      <c r="D679" s="27"/>
      <c r="E679" s="27"/>
      <c r="F679" s="27"/>
      <c r="G679" s="27"/>
      <c r="H679" s="27"/>
      <c r="I679" s="27"/>
      <c r="J679" s="28" t="str">
        <f aca="false">IF(AND(N(H679)&gt;0,N(I679)&gt;0),ROUND(I679/(H679/100)^2,1),"")</f>
        <v/>
      </c>
      <c r="K679" s="27"/>
      <c r="L679" s="27"/>
      <c r="M679" s="27"/>
      <c r="N679" s="27"/>
      <c r="O679" s="27"/>
      <c r="P679" s="27"/>
      <c r="Q679" s="27"/>
      <c r="R679" s="29"/>
      <c r="S679" s="29"/>
      <c r="T679" s="27"/>
      <c r="U679" s="28" t="str">
        <f aca="false">IF(N(T679)=0,"",IF(T679&lt;12,"Under 12 months",IF(T679&lt;36,"12-35 months",IF(T679&lt;60,"36-59 months","≥60 months"))))</f>
        <v/>
      </c>
      <c r="V679" s="27"/>
      <c r="W679" s="30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9"/>
      <c r="AT679" s="30"/>
      <c r="AU679" s="30"/>
      <c r="AV679" s="30"/>
      <c r="AW679" s="27"/>
      <c r="AX679" s="27"/>
      <c r="AY679" s="29"/>
      <c r="AZ679" s="27"/>
      <c r="BA679" s="27"/>
      <c r="BB679" s="29"/>
      <c r="BC679" s="30"/>
      <c r="BD679" s="30"/>
      <c r="BE679" s="30"/>
      <c r="BF679" s="27"/>
      <c r="BG679" s="27"/>
      <c r="BH679" s="28" t="str">
        <f aca="false">IF(COUNT(BC679:BE679)=0,"",IF(MIN(BC679:BE679)&lt;=-2.5,"Yes","No"))</f>
        <v/>
      </c>
      <c r="BI679" s="27"/>
      <c r="BJ679" s="29"/>
      <c r="BK679" s="27"/>
      <c r="BL679" s="27"/>
      <c r="BM679" s="27"/>
      <c r="BN679" s="28" t="str">
        <f aca="false">IF(OR(AX679="Yes",BI679="Yes"),"Yes",IF(AND(AX679="No",BI679="No"),"No",IF(AND(AX679="",BI679=""),"","Unknown")))</f>
        <v/>
      </c>
      <c r="BO679" s="31" t="str">
        <f aca="false">IF(COUNT(AY679,BJ679)=0,"",MIN(AY679,BJ679))</f>
        <v/>
      </c>
      <c r="BP679" s="29"/>
      <c r="BQ679" s="29"/>
      <c r="BR679" s="29"/>
      <c r="BS679" s="28" t="str">
        <f aca="false">IF(AND(N(BP679)&gt;0,N(BR679)&gt;0),BR679-BP679,"")</f>
        <v/>
      </c>
      <c r="BT679" s="28" t="str">
        <f aca="false">IF(BS679="","",ROUND(BS679/365.25,2))</f>
        <v/>
      </c>
      <c r="BU679" s="28" t="str">
        <f aca="false">IF(BS679="","",IF(BS679&gt;=730.5,"Yes","No"))</f>
        <v/>
      </c>
      <c r="BV679" s="27"/>
      <c r="BW679" s="29"/>
      <c r="BX679" s="27"/>
      <c r="BY679" s="27"/>
      <c r="BZ679" s="28" t="str">
        <f aca="false">IF(N(E679)=0,"",IF(E679&lt;65,"Under 65","≥65"))</f>
        <v/>
      </c>
      <c r="CA679" s="28" t="str">
        <f aca="false">IF(OR(AC679="Yes",AC679="No"),AC679,"")</f>
        <v/>
      </c>
      <c r="CB679" s="28" t="str">
        <f aca="false">IF(OR(AD679="Yes",AD679="No"),AD679,"")</f>
        <v/>
      </c>
      <c r="CC679" s="28" t="str">
        <f aca="false">IF(F679="","",F679)</f>
        <v/>
      </c>
      <c r="CD679" s="27"/>
      <c r="CE679" s="27"/>
    </row>
    <row r="680" customFormat="false" ht="15" hidden="false" customHeight="false" outlineLevel="0" collapsed="false">
      <c r="A680" s="27"/>
      <c r="B680" s="27"/>
      <c r="C680" s="27"/>
      <c r="D680" s="27"/>
      <c r="E680" s="27"/>
      <c r="F680" s="27"/>
      <c r="G680" s="27"/>
      <c r="H680" s="27"/>
      <c r="I680" s="27"/>
      <c r="J680" s="28" t="str">
        <f aca="false">IF(AND(N(H680)&gt;0,N(I680)&gt;0),ROUND(I680/(H680/100)^2,1),"")</f>
        <v/>
      </c>
      <c r="K680" s="27"/>
      <c r="L680" s="27"/>
      <c r="M680" s="27"/>
      <c r="N680" s="27"/>
      <c r="O680" s="27"/>
      <c r="P680" s="27"/>
      <c r="Q680" s="27"/>
      <c r="R680" s="29"/>
      <c r="S680" s="29"/>
      <c r="T680" s="27"/>
      <c r="U680" s="28" t="str">
        <f aca="false">IF(N(T680)=0,"",IF(T680&lt;12,"Under 12 months",IF(T680&lt;36,"12-35 months",IF(T680&lt;60,"36-59 months","≥60 months"))))</f>
        <v/>
      </c>
      <c r="V680" s="27"/>
      <c r="W680" s="30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9"/>
      <c r="AT680" s="30"/>
      <c r="AU680" s="30"/>
      <c r="AV680" s="30"/>
      <c r="AW680" s="27"/>
      <c r="AX680" s="27"/>
      <c r="AY680" s="29"/>
      <c r="AZ680" s="27"/>
      <c r="BA680" s="27"/>
      <c r="BB680" s="29"/>
      <c r="BC680" s="30"/>
      <c r="BD680" s="30"/>
      <c r="BE680" s="30"/>
      <c r="BF680" s="27"/>
      <c r="BG680" s="27"/>
      <c r="BH680" s="28" t="str">
        <f aca="false">IF(COUNT(BC680:BE680)=0,"",IF(MIN(BC680:BE680)&lt;=-2.5,"Yes","No"))</f>
        <v/>
      </c>
      <c r="BI680" s="27"/>
      <c r="BJ680" s="29"/>
      <c r="BK680" s="27"/>
      <c r="BL680" s="27"/>
      <c r="BM680" s="27"/>
      <c r="BN680" s="28" t="str">
        <f aca="false">IF(OR(AX680="Yes",BI680="Yes"),"Yes",IF(AND(AX680="No",BI680="No"),"No",IF(AND(AX680="",BI680=""),"","Unknown")))</f>
        <v/>
      </c>
      <c r="BO680" s="31" t="str">
        <f aca="false">IF(COUNT(AY680,BJ680)=0,"",MIN(AY680,BJ680))</f>
        <v/>
      </c>
      <c r="BP680" s="29"/>
      <c r="BQ680" s="29"/>
      <c r="BR680" s="29"/>
      <c r="BS680" s="28" t="str">
        <f aca="false">IF(AND(N(BP680)&gt;0,N(BR680)&gt;0),BR680-BP680,"")</f>
        <v/>
      </c>
      <c r="BT680" s="28" t="str">
        <f aca="false">IF(BS680="","",ROUND(BS680/365.25,2))</f>
        <v/>
      </c>
      <c r="BU680" s="28" t="str">
        <f aca="false">IF(BS680="","",IF(BS680&gt;=730.5,"Yes","No"))</f>
        <v/>
      </c>
      <c r="BV680" s="27"/>
      <c r="BW680" s="29"/>
      <c r="BX680" s="27"/>
      <c r="BY680" s="27"/>
      <c r="BZ680" s="28" t="str">
        <f aca="false">IF(N(E680)=0,"",IF(E680&lt;65,"Under 65","≥65"))</f>
        <v/>
      </c>
      <c r="CA680" s="28" t="str">
        <f aca="false">IF(OR(AC680="Yes",AC680="No"),AC680,"")</f>
        <v/>
      </c>
      <c r="CB680" s="28" t="str">
        <f aca="false">IF(OR(AD680="Yes",AD680="No"),AD680,"")</f>
        <v/>
      </c>
      <c r="CC680" s="28" t="str">
        <f aca="false">IF(F680="","",F680)</f>
        <v/>
      </c>
      <c r="CD680" s="27"/>
      <c r="CE680" s="27"/>
    </row>
    <row r="681" customFormat="false" ht="15" hidden="false" customHeight="false" outlineLevel="0" collapsed="false">
      <c r="A681" s="27"/>
      <c r="B681" s="27"/>
      <c r="C681" s="27"/>
      <c r="D681" s="27"/>
      <c r="E681" s="27"/>
      <c r="F681" s="27"/>
      <c r="G681" s="27"/>
      <c r="H681" s="27"/>
      <c r="I681" s="27"/>
      <c r="J681" s="28" t="str">
        <f aca="false">IF(AND(N(H681)&gt;0,N(I681)&gt;0),ROUND(I681/(H681/100)^2,1),"")</f>
        <v/>
      </c>
      <c r="K681" s="27"/>
      <c r="L681" s="27"/>
      <c r="M681" s="27"/>
      <c r="N681" s="27"/>
      <c r="O681" s="27"/>
      <c r="P681" s="27"/>
      <c r="Q681" s="27"/>
      <c r="R681" s="29"/>
      <c r="S681" s="29"/>
      <c r="T681" s="27"/>
      <c r="U681" s="28" t="str">
        <f aca="false">IF(N(T681)=0,"",IF(T681&lt;12,"Under 12 months",IF(T681&lt;36,"12-35 months",IF(T681&lt;60,"36-59 months","≥60 months"))))</f>
        <v/>
      </c>
      <c r="V681" s="27"/>
      <c r="W681" s="30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9"/>
      <c r="AT681" s="30"/>
      <c r="AU681" s="30"/>
      <c r="AV681" s="30"/>
      <c r="AW681" s="27"/>
      <c r="AX681" s="27"/>
      <c r="AY681" s="29"/>
      <c r="AZ681" s="27"/>
      <c r="BA681" s="27"/>
      <c r="BB681" s="29"/>
      <c r="BC681" s="30"/>
      <c r="BD681" s="30"/>
      <c r="BE681" s="30"/>
      <c r="BF681" s="27"/>
      <c r="BG681" s="27"/>
      <c r="BH681" s="28" t="str">
        <f aca="false">IF(COUNT(BC681:BE681)=0,"",IF(MIN(BC681:BE681)&lt;=-2.5,"Yes","No"))</f>
        <v/>
      </c>
      <c r="BI681" s="27"/>
      <c r="BJ681" s="29"/>
      <c r="BK681" s="27"/>
      <c r="BL681" s="27"/>
      <c r="BM681" s="27"/>
      <c r="BN681" s="28" t="str">
        <f aca="false">IF(OR(AX681="Yes",BI681="Yes"),"Yes",IF(AND(AX681="No",BI681="No"),"No",IF(AND(AX681="",BI681=""),"","Unknown")))</f>
        <v/>
      </c>
      <c r="BO681" s="31" t="str">
        <f aca="false">IF(COUNT(AY681,BJ681)=0,"",MIN(AY681,BJ681))</f>
        <v/>
      </c>
      <c r="BP681" s="29"/>
      <c r="BQ681" s="29"/>
      <c r="BR681" s="29"/>
      <c r="BS681" s="28" t="str">
        <f aca="false">IF(AND(N(BP681)&gt;0,N(BR681)&gt;0),BR681-BP681,"")</f>
        <v/>
      </c>
      <c r="BT681" s="28" t="str">
        <f aca="false">IF(BS681="","",ROUND(BS681/365.25,2))</f>
        <v/>
      </c>
      <c r="BU681" s="28" t="str">
        <f aca="false">IF(BS681="","",IF(BS681&gt;=730.5,"Yes","No"))</f>
        <v/>
      </c>
      <c r="BV681" s="27"/>
      <c r="BW681" s="29"/>
      <c r="BX681" s="27"/>
      <c r="BY681" s="27"/>
      <c r="BZ681" s="28" t="str">
        <f aca="false">IF(N(E681)=0,"",IF(E681&lt;65,"Under 65","≥65"))</f>
        <v/>
      </c>
      <c r="CA681" s="28" t="str">
        <f aca="false">IF(OR(AC681="Yes",AC681="No"),AC681,"")</f>
        <v/>
      </c>
      <c r="CB681" s="28" t="str">
        <f aca="false">IF(OR(AD681="Yes",AD681="No"),AD681,"")</f>
        <v/>
      </c>
      <c r="CC681" s="28" t="str">
        <f aca="false">IF(F681="","",F681)</f>
        <v/>
      </c>
      <c r="CD681" s="27"/>
      <c r="CE681" s="27"/>
    </row>
    <row r="682" customFormat="false" ht="15" hidden="false" customHeight="false" outlineLevel="0" collapsed="false">
      <c r="A682" s="27"/>
      <c r="B682" s="27"/>
      <c r="C682" s="27"/>
      <c r="D682" s="27"/>
      <c r="E682" s="27"/>
      <c r="F682" s="27"/>
      <c r="G682" s="27"/>
      <c r="H682" s="27"/>
      <c r="I682" s="27"/>
      <c r="J682" s="28" t="str">
        <f aca="false">IF(AND(N(H682)&gt;0,N(I682)&gt;0),ROUND(I682/(H682/100)^2,1),"")</f>
        <v/>
      </c>
      <c r="K682" s="27"/>
      <c r="L682" s="27"/>
      <c r="M682" s="27"/>
      <c r="N682" s="27"/>
      <c r="O682" s="27"/>
      <c r="P682" s="27"/>
      <c r="Q682" s="27"/>
      <c r="R682" s="29"/>
      <c r="S682" s="29"/>
      <c r="T682" s="27"/>
      <c r="U682" s="28" t="str">
        <f aca="false">IF(N(T682)=0,"",IF(T682&lt;12,"Under 12 months",IF(T682&lt;36,"12-35 months",IF(T682&lt;60,"36-59 months","≥60 months"))))</f>
        <v/>
      </c>
      <c r="V682" s="27"/>
      <c r="W682" s="30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9"/>
      <c r="AT682" s="30"/>
      <c r="AU682" s="30"/>
      <c r="AV682" s="30"/>
      <c r="AW682" s="27"/>
      <c r="AX682" s="27"/>
      <c r="AY682" s="29"/>
      <c r="AZ682" s="27"/>
      <c r="BA682" s="27"/>
      <c r="BB682" s="29"/>
      <c r="BC682" s="30"/>
      <c r="BD682" s="30"/>
      <c r="BE682" s="30"/>
      <c r="BF682" s="27"/>
      <c r="BG682" s="27"/>
      <c r="BH682" s="28" t="str">
        <f aca="false">IF(COUNT(BC682:BE682)=0,"",IF(MIN(BC682:BE682)&lt;=-2.5,"Yes","No"))</f>
        <v/>
      </c>
      <c r="BI682" s="27"/>
      <c r="BJ682" s="29"/>
      <c r="BK682" s="27"/>
      <c r="BL682" s="27"/>
      <c r="BM682" s="27"/>
      <c r="BN682" s="28" t="str">
        <f aca="false">IF(OR(AX682="Yes",BI682="Yes"),"Yes",IF(AND(AX682="No",BI682="No"),"No",IF(AND(AX682="",BI682=""),"","Unknown")))</f>
        <v/>
      </c>
      <c r="BO682" s="31" t="str">
        <f aca="false">IF(COUNT(AY682,BJ682)=0,"",MIN(AY682,BJ682))</f>
        <v/>
      </c>
      <c r="BP682" s="29"/>
      <c r="BQ682" s="29"/>
      <c r="BR682" s="29"/>
      <c r="BS682" s="28" t="str">
        <f aca="false">IF(AND(N(BP682)&gt;0,N(BR682)&gt;0),BR682-BP682,"")</f>
        <v/>
      </c>
      <c r="BT682" s="28" t="str">
        <f aca="false">IF(BS682="","",ROUND(BS682/365.25,2))</f>
        <v/>
      </c>
      <c r="BU682" s="28" t="str">
        <f aca="false">IF(BS682="","",IF(BS682&gt;=730.5,"Yes","No"))</f>
        <v/>
      </c>
      <c r="BV682" s="27"/>
      <c r="BW682" s="29"/>
      <c r="BX682" s="27"/>
      <c r="BY682" s="27"/>
      <c r="BZ682" s="28" t="str">
        <f aca="false">IF(N(E682)=0,"",IF(E682&lt;65,"Under 65","≥65"))</f>
        <v/>
      </c>
      <c r="CA682" s="28" t="str">
        <f aca="false">IF(OR(AC682="Yes",AC682="No"),AC682,"")</f>
        <v/>
      </c>
      <c r="CB682" s="28" t="str">
        <f aca="false">IF(OR(AD682="Yes",AD682="No"),AD682,"")</f>
        <v/>
      </c>
      <c r="CC682" s="28" t="str">
        <f aca="false">IF(F682="","",F682)</f>
        <v/>
      </c>
      <c r="CD682" s="27"/>
      <c r="CE682" s="27"/>
    </row>
    <row r="683" customFormat="false" ht="15" hidden="false" customHeight="false" outlineLevel="0" collapsed="false">
      <c r="A683" s="27"/>
      <c r="B683" s="27"/>
      <c r="C683" s="27"/>
      <c r="D683" s="27"/>
      <c r="E683" s="27"/>
      <c r="F683" s="27"/>
      <c r="G683" s="27"/>
      <c r="H683" s="27"/>
      <c r="I683" s="27"/>
      <c r="J683" s="28" t="str">
        <f aca="false">IF(AND(N(H683)&gt;0,N(I683)&gt;0),ROUND(I683/(H683/100)^2,1),"")</f>
        <v/>
      </c>
      <c r="K683" s="27"/>
      <c r="L683" s="27"/>
      <c r="M683" s="27"/>
      <c r="N683" s="27"/>
      <c r="O683" s="27"/>
      <c r="P683" s="27"/>
      <c r="Q683" s="27"/>
      <c r="R683" s="29"/>
      <c r="S683" s="29"/>
      <c r="T683" s="27"/>
      <c r="U683" s="28" t="str">
        <f aca="false">IF(N(T683)=0,"",IF(T683&lt;12,"Under 12 months",IF(T683&lt;36,"12-35 months",IF(T683&lt;60,"36-59 months","≥60 months"))))</f>
        <v/>
      </c>
      <c r="V683" s="27"/>
      <c r="W683" s="30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9"/>
      <c r="AT683" s="30"/>
      <c r="AU683" s="30"/>
      <c r="AV683" s="30"/>
      <c r="AW683" s="27"/>
      <c r="AX683" s="27"/>
      <c r="AY683" s="29"/>
      <c r="AZ683" s="27"/>
      <c r="BA683" s="27"/>
      <c r="BB683" s="29"/>
      <c r="BC683" s="30"/>
      <c r="BD683" s="30"/>
      <c r="BE683" s="30"/>
      <c r="BF683" s="27"/>
      <c r="BG683" s="27"/>
      <c r="BH683" s="28" t="str">
        <f aca="false">IF(COUNT(BC683:BE683)=0,"",IF(MIN(BC683:BE683)&lt;=-2.5,"Yes","No"))</f>
        <v/>
      </c>
      <c r="BI683" s="27"/>
      <c r="BJ683" s="29"/>
      <c r="BK683" s="27"/>
      <c r="BL683" s="27"/>
      <c r="BM683" s="27"/>
      <c r="BN683" s="28" t="str">
        <f aca="false">IF(OR(AX683="Yes",BI683="Yes"),"Yes",IF(AND(AX683="No",BI683="No"),"No",IF(AND(AX683="",BI683=""),"","Unknown")))</f>
        <v/>
      </c>
      <c r="BO683" s="31" t="str">
        <f aca="false">IF(COUNT(AY683,BJ683)=0,"",MIN(AY683,BJ683))</f>
        <v/>
      </c>
      <c r="BP683" s="29"/>
      <c r="BQ683" s="29"/>
      <c r="BR683" s="29"/>
      <c r="BS683" s="28" t="str">
        <f aca="false">IF(AND(N(BP683)&gt;0,N(BR683)&gt;0),BR683-BP683,"")</f>
        <v/>
      </c>
      <c r="BT683" s="28" t="str">
        <f aca="false">IF(BS683="","",ROUND(BS683/365.25,2))</f>
        <v/>
      </c>
      <c r="BU683" s="28" t="str">
        <f aca="false">IF(BS683="","",IF(BS683&gt;=730.5,"Yes","No"))</f>
        <v/>
      </c>
      <c r="BV683" s="27"/>
      <c r="BW683" s="29"/>
      <c r="BX683" s="27"/>
      <c r="BY683" s="27"/>
      <c r="BZ683" s="28" t="str">
        <f aca="false">IF(N(E683)=0,"",IF(E683&lt;65,"Under 65","≥65"))</f>
        <v/>
      </c>
      <c r="CA683" s="28" t="str">
        <f aca="false">IF(OR(AC683="Yes",AC683="No"),AC683,"")</f>
        <v/>
      </c>
      <c r="CB683" s="28" t="str">
        <f aca="false">IF(OR(AD683="Yes",AD683="No"),AD683,"")</f>
        <v/>
      </c>
      <c r="CC683" s="28" t="str">
        <f aca="false">IF(F683="","",F683)</f>
        <v/>
      </c>
      <c r="CD683" s="27"/>
      <c r="CE683" s="27"/>
    </row>
    <row r="684" customFormat="false" ht="15" hidden="false" customHeight="false" outlineLevel="0" collapsed="false">
      <c r="A684" s="27"/>
      <c r="B684" s="27"/>
      <c r="C684" s="27"/>
      <c r="D684" s="27"/>
      <c r="E684" s="27"/>
      <c r="F684" s="27"/>
      <c r="G684" s="27"/>
      <c r="H684" s="27"/>
      <c r="I684" s="27"/>
      <c r="J684" s="28" t="str">
        <f aca="false">IF(AND(N(H684)&gt;0,N(I684)&gt;0),ROUND(I684/(H684/100)^2,1),"")</f>
        <v/>
      </c>
      <c r="K684" s="27"/>
      <c r="L684" s="27"/>
      <c r="M684" s="27"/>
      <c r="N684" s="27"/>
      <c r="O684" s="27"/>
      <c r="P684" s="27"/>
      <c r="Q684" s="27"/>
      <c r="R684" s="29"/>
      <c r="S684" s="29"/>
      <c r="T684" s="27"/>
      <c r="U684" s="28" t="str">
        <f aca="false">IF(N(T684)=0,"",IF(T684&lt;12,"Under 12 months",IF(T684&lt;36,"12-35 months",IF(T684&lt;60,"36-59 months","≥60 months"))))</f>
        <v/>
      </c>
      <c r="V684" s="27"/>
      <c r="W684" s="30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9"/>
      <c r="AT684" s="30"/>
      <c r="AU684" s="30"/>
      <c r="AV684" s="30"/>
      <c r="AW684" s="27"/>
      <c r="AX684" s="27"/>
      <c r="AY684" s="29"/>
      <c r="AZ684" s="27"/>
      <c r="BA684" s="27"/>
      <c r="BB684" s="29"/>
      <c r="BC684" s="30"/>
      <c r="BD684" s="30"/>
      <c r="BE684" s="30"/>
      <c r="BF684" s="27"/>
      <c r="BG684" s="27"/>
      <c r="BH684" s="28" t="str">
        <f aca="false">IF(COUNT(BC684:BE684)=0,"",IF(MIN(BC684:BE684)&lt;=-2.5,"Yes","No"))</f>
        <v/>
      </c>
      <c r="BI684" s="27"/>
      <c r="BJ684" s="29"/>
      <c r="BK684" s="27"/>
      <c r="BL684" s="27"/>
      <c r="BM684" s="27"/>
      <c r="BN684" s="28" t="str">
        <f aca="false">IF(OR(AX684="Yes",BI684="Yes"),"Yes",IF(AND(AX684="No",BI684="No"),"No",IF(AND(AX684="",BI684=""),"","Unknown")))</f>
        <v/>
      </c>
      <c r="BO684" s="31" t="str">
        <f aca="false">IF(COUNT(AY684,BJ684)=0,"",MIN(AY684,BJ684))</f>
        <v/>
      </c>
      <c r="BP684" s="29"/>
      <c r="BQ684" s="29"/>
      <c r="BR684" s="29"/>
      <c r="BS684" s="28" t="str">
        <f aca="false">IF(AND(N(BP684)&gt;0,N(BR684)&gt;0),BR684-BP684,"")</f>
        <v/>
      </c>
      <c r="BT684" s="28" t="str">
        <f aca="false">IF(BS684="","",ROUND(BS684/365.25,2))</f>
        <v/>
      </c>
      <c r="BU684" s="28" t="str">
        <f aca="false">IF(BS684="","",IF(BS684&gt;=730.5,"Yes","No"))</f>
        <v/>
      </c>
      <c r="BV684" s="27"/>
      <c r="BW684" s="29"/>
      <c r="BX684" s="27"/>
      <c r="BY684" s="27"/>
      <c r="BZ684" s="28" t="str">
        <f aca="false">IF(N(E684)=0,"",IF(E684&lt;65,"Under 65","≥65"))</f>
        <v/>
      </c>
      <c r="CA684" s="28" t="str">
        <f aca="false">IF(OR(AC684="Yes",AC684="No"),AC684,"")</f>
        <v/>
      </c>
      <c r="CB684" s="28" t="str">
        <f aca="false">IF(OR(AD684="Yes",AD684="No"),AD684,"")</f>
        <v/>
      </c>
      <c r="CC684" s="28" t="str">
        <f aca="false">IF(F684="","",F684)</f>
        <v/>
      </c>
      <c r="CD684" s="27"/>
      <c r="CE684" s="27"/>
    </row>
    <row r="685" customFormat="false" ht="15" hidden="false" customHeight="false" outlineLevel="0" collapsed="false">
      <c r="A685" s="27"/>
      <c r="B685" s="27"/>
      <c r="C685" s="27"/>
      <c r="D685" s="27"/>
      <c r="E685" s="27"/>
      <c r="F685" s="27"/>
      <c r="G685" s="27"/>
      <c r="H685" s="27"/>
      <c r="I685" s="27"/>
      <c r="J685" s="28" t="str">
        <f aca="false">IF(AND(N(H685)&gt;0,N(I685)&gt;0),ROUND(I685/(H685/100)^2,1),"")</f>
        <v/>
      </c>
      <c r="K685" s="27"/>
      <c r="L685" s="27"/>
      <c r="M685" s="27"/>
      <c r="N685" s="27"/>
      <c r="O685" s="27"/>
      <c r="P685" s="27"/>
      <c r="Q685" s="27"/>
      <c r="R685" s="29"/>
      <c r="S685" s="29"/>
      <c r="T685" s="27"/>
      <c r="U685" s="28" t="str">
        <f aca="false">IF(N(T685)=0,"",IF(T685&lt;12,"Under 12 months",IF(T685&lt;36,"12-35 months",IF(T685&lt;60,"36-59 months","≥60 months"))))</f>
        <v/>
      </c>
      <c r="V685" s="27"/>
      <c r="W685" s="30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9"/>
      <c r="AT685" s="30"/>
      <c r="AU685" s="30"/>
      <c r="AV685" s="30"/>
      <c r="AW685" s="27"/>
      <c r="AX685" s="27"/>
      <c r="AY685" s="29"/>
      <c r="AZ685" s="27"/>
      <c r="BA685" s="27"/>
      <c r="BB685" s="29"/>
      <c r="BC685" s="30"/>
      <c r="BD685" s="30"/>
      <c r="BE685" s="30"/>
      <c r="BF685" s="27"/>
      <c r="BG685" s="27"/>
      <c r="BH685" s="28" t="str">
        <f aca="false">IF(COUNT(BC685:BE685)=0,"",IF(MIN(BC685:BE685)&lt;=-2.5,"Yes","No"))</f>
        <v/>
      </c>
      <c r="BI685" s="27"/>
      <c r="BJ685" s="29"/>
      <c r="BK685" s="27"/>
      <c r="BL685" s="27"/>
      <c r="BM685" s="27"/>
      <c r="BN685" s="28" t="str">
        <f aca="false">IF(OR(AX685="Yes",BI685="Yes"),"Yes",IF(AND(AX685="No",BI685="No"),"No",IF(AND(AX685="",BI685=""),"","Unknown")))</f>
        <v/>
      </c>
      <c r="BO685" s="31" t="str">
        <f aca="false">IF(COUNT(AY685,BJ685)=0,"",MIN(AY685,BJ685))</f>
        <v/>
      </c>
      <c r="BP685" s="29"/>
      <c r="BQ685" s="29"/>
      <c r="BR685" s="29"/>
      <c r="BS685" s="28" t="str">
        <f aca="false">IF(AND(N(BP685)&gt;0,N(BR685)&gt;0),BR685-BP685,"")</f>
        <v/>
      </c>
      <c r="BT685" s="28" t="str">
        <f aca="false">IF(BS685="","",ROUND(BS685/365.25,2))</f>
        <v/>
      </c>
      <c r="BU685" s="28" t="str">
        <f aca="false">IF(BS685="","",IF(BS685&gt;=730.5,"Yes","No"))</f>
        <v/>
      </c>
      <c r="BV685" s="27"/>
      <c r="BW685" s="29"/>
      <c r="BX685" s="27"/>
      <c r="BY685" s="27"/>
      <c r="BZ685" s="28" t="str">
        <f aca="false">IF(N(E685)=0,"",IF(E685&lt;65,"Under 65","≥65"))</f>
        <v/>
      </c>
      <c r="CA685" s="28" t="str">
        <f aca="false">IF(OR(AC685="Yes",AC685="No"),AC685,"")</f>
        <v/>
      </c>
      <c r="CB685" s="28" t="str">
        <f aca="false">IF(OR(AD685="Yes",AD685="No"),AD685,"")</f>
        <v/>
      </c>
      <c r="CC685" s="28" t="str">
        <f aca="false">IF(F685="","",F685)</f>
        <v/>
      </c>
      <c r="CD685" s="27"/>
      <c r="CE685" s="27"/>
    </row>
    <row r="686" customFormat="false" ht="15" hidden="false" customHeight="false" outlineLevel="0" collapsed="false">
      <c r="A686" s="27"/>
      <c r="B686" s="27"/>
      <c r="C686" s="27"/>
      <c r="D686" s="27"/>
      <c r="E686" s="27"/>
      <c r="F686" s="27"/>
      <c r="G686" s="27"/>
      <c r="H686" s="27"/>
      <c r="I686" s="27"/>
      <c r="J686" s="28" t="str">
        <f aca="false">IF(AND(N(H686)&gt;0,N(I686)&gt;0),ROUND(I686/(H686/100)^2,1),"")</f>
        <v/>
      </c>
      <c r="K686" s="27"/>
      <c r="L686" s="27"/>
      <c r="M686" s="27"/>
      <c r="N686" s="27"/>
      <c r="O686" s="27"/>
      <c r="P686" s="27"/>
      <c r="Q686" s="27"/>
      <c r="R686" s="29"/>
      <c r="S686" s="29"/>
      <c r="T686" s="27"/>
      <c r="U686" s="28" t="str">
        <f aca="false">IF(N(T686)=0,"",IF(T686&lt;12,"Under 12 months",IF(T686&lt;36,"12-35 months",IF(T686&lt;60,"36-59 months","≥60 months"))))</f>
        <v/>
      </c>
      <c r="V686" s="27"/>
      <c r="W686" s="30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9"/>
      <c r="AT686" s="30"/>
      <c r="AU686" s="30"/>
      <c r="AV686" s="30"/>
      <c r="AW686" s="27"/>
      <c r="AX686" s="27"/>
      <c r="AY686" s="29"/>
      <c r="AZ686" s="27"/>
      <c r="BA686" s="27"/>
      <c r="BB686" s="29"/>
      <c r="BC686" s="30"/>
      <c r="BD686" s="30"/>
      <c r="BE686" s="30"/>
      <c r="BF686" s="27"/>
      <c r="BG686" s="27"/>
      <c r="BH686" s="28" t="str">
        <f aca="false">IF(COUNT(BC686:BE686)=0,"",IF(MIN(BC686:BE686)&lt;=-2.5,"Yes","No"))</f>
        <v/>
      </c>
      <c r="BI686" s="27"/>
      <c r="BJ686" s="29"/>
      <c r="BK686" s="27"/>
      <c r="BL686" s="27"/>
      <c r="BM686" s="27"/>
      <c r="BN686" s="28" t="str">
        <f aca="false">IF(OR(AX686="Yes",BI686="Yes"),"Yes",IF(AND(AX686="No",BI686="No"),"No",IF(AND(AX686="",BI686=""),"","Unknown")))</f>
        <v/>
      </c>
      <c r="BO686" s="31" t="str">
        <f aca="false">IF(COUNT(AY686,BJ686)=0,"",MIN(AY686,BJ686))</f>
        <v/>
      </c>
      <c r="BP686" s="29"/>
      <c r="BQ686" s="29"/>
      <c r="BR686" s="29"/>
      <c r="BS686" s="28" t="str">
        <f aca="false">IF(AND(N(BP686)&gt;0,N(BR686)&gt;0),BR686-BP686,"")</f>
        <v/>
      </c>
      <c r="BT686" s="28" t="str">
        <f aca="false">IF(BS686="","",ROUND(BS686/365.25,2))</f>
        <v/>
      </c>
      <c r="BU686" s="28" t="str">
        <f aca="false">IF(BS686="","",IF(BS686&gt;=730.5,"Yes","No"))</f>
        <v/>
      </c>
      <c r="BV686" s="27"/>
      <c r="BW686" s="29"/>
      <c r="BX686" s="27"/>
      <c r="BY686" s="27"/>
      <c r="BZ686" s="28" t="str">
        <f aca="false">IF(N(E686)=0,"",IF(E686&lt;65,"Under 65","≥65"))</f>
        <v/>
      </c>
      <c r="CA686" s="28" t="str">
        <f aca="false">IF(OR(AC686="Yes",AC686="No"),AC686,"")</f>
        <v/>
      </c>
      <c r="CB686" s="28" t="str">
        <f aca="false">IF(OR(AD686="Yes",AD686="No"),AD686,"")</f>
        <v/>
      </c>
      <c r="CC686" s="28" t="str">
        <f aca="false">IF(F686="","",F686)</f>
        <v/>
      </c>
      <c r="CD686" s="27"/>
      <c r="CE686" s="27"/>
    </row>
    <row r="687" customFormat="false" ht="15" hidden="false" customHeight="false" outlineLevel="0" collapsed="false">
      <c r="A687" s="27"/>
      <c r="B687" s="27"/>
      <c r="C687" s="27"/>
      <c r="D687" s="27"/>
      <c r="E687" s="27"/>
      <c r="F687" s="27"/>
      <c r="G687" s="27"/>
      <c r="H687" s="27"/>
      <c r="I687" s="27"/>
      <c r="J687" s="28" t="str">
        <f aca="false">IF(AND(N(H687)&gt;0,N(I687)&gt;0),ROUND(I687/(H687/100)^2,1),"")</f>
        <v/>
      </c>
      <c r="K687" s="27"/>
      <c r="L687" s="27"/>
      <c r="M687" s="27"/>
      <c r="N687" s="27"/>
      <c r="O687" s="27"/>
      <c r="P687" s="27"/>
      <c r="Q687" s="27"/>
      <c r="R687" s="29"/>
      <c r="S687" s="29"/>
      <c r="T687" s="27"/>
      <c r="U687" s="28" t="str">
        <f aca="false">IF(N(T687)=0,"",IF(T687&lt;12,"Under 12 months",IF(T687&lt;36,"12-35 months",IF(T687&lt;60,"36-59 months","≥60 months"))))</f>
        <v/>
      </c>
      <c r="V687" s="27"/>
      <c r="W687" s="30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9"/>
      <c r="AT687" s="30"/>
      <c r="AU687" s="30"/>
      <c r="AV687" s="30"/>
      <c r="AW687" s="27"/>
      <c r="AX687" s="27"/>
      <c r="AY687" s="29"/>
      <c r="AZ687" s="27"/>
      <c r="BA687" s="27"/>
      <c r="BB687" s="29"/>
      <c r="BC687" s="30"/>
      <c r="BD687" s="30"/>
      <c r="BE687" s="30"/>
      <c r="BF687" s="27"/>
      <c r="BG687" s="27"/>
      <c r="BH687" s="28" t="str">
        <f aca="false">IF(COUNT(BC687:BE687)=0,"",IF(MIN(BC687:BE687)&lt;=-2.5,"Yes","No"))</f>
        <v/>
      </c>
      <c r="BI687" s="27"/>
      <c r="BJ687" s="29"/>
      <c r="BK687" s="27"/>
      <c r="BL687" s="27"/>
      <c r="BM687" s="27"/>
      <c r="BN687" s="28" t="str">
        <f aca="false">IF(OR(AX687="Yes",BI687="Yes"),"Yes",IF(AND(AX687="No",BI687="No"),"No",IF(AND(AX687="",BI687=""),"","Unknown")))</f>
        <v/>
      </c>
      <c r="BO687" s="31" t="str">
        <f aca="false">IF(COUNT(AY687,BJ687)=0,"",MIN(AY687,BJ687))</f>
        <v/>
      </c>
      <c r="BP687" s="29"/>
      <c r="BQ687" s="29"/>
      <c r="BR687" s="29"/>
      <c r="BS687" s="28" t="str">
        <f aca="false">IF(AND(N(BP687)&gt;0,N(BR687)&gt;0),BR687-BP687,"")</f>
        <v/>
      </c>
      <c r="BT687" s="28" t="str">
        <f aca="false">IF(BS687="","",ROUND(BS687/365.25,2))</f>
        <v/>
      </c>
      <c r="BU687" s="28" t="str">
        <f aca="false">IF(BS687="","",IF(BS687&gt;=730.5,"Yes","No"))</f>
        <v/>
      </c>
      <c r="BV687" s="27"/>
      <c r="BW687" s="29"/>
      <c r="BX687" s="27"/>
      <c r="BY687" s="27"/>
      <c r="BZ687" s="28" t="str">
        <f aca="false">IF(N(E687)=0,"",IF(E687&lt;65,"Under 65","≥65"))</f>
        <v/>
      </c>
      <c r="CA687" s="28" t="str">
        <f aca="false">IF(OR(AC687="Yes",AC687="No"),AC687,"")</f>
        <v/>
      </c>
      <c r="CB687" s="28" t="str">
        <f aca="false">IF(OR(AD687="Yes",AD687="No"),AD687,"")</f>
        <v/>
      </c>
      <c r="CC687" s="28" t="str">
        <f aca="false">IF(F687="","",F687)</f>
        <v/>
      </c>
      <c r="CD687" s="27"/>
      <c r="CE687" s="27"/>
    </row>
    <row r="688" customFormat="false" ht="15" hidden="false" customHeight="false" outlineLevel="0" collapsed="false">
      <c r="A688" s="27"/>
      <c r="B688" s="27"/>
      <c r="C688" s="27"/>
      <c r="D688" s="27"/>
      <c r="E688" s="27"/>
      <c r="F688" s="27"/>
      <c r="G688" s="27"/>
      <c r="H688" s="27"/>
      <c r="I688" s="27"/>
      <c r="J688" s="28" t="str">
        <f aca="false">IF(AND(N(H688)&gt;0,N(I688)&gt;0),ROUND(I688/(H688/100)^2,1),"")</f>
        <v/>
      </c>
      <c r="K688" s="27"/>
      <c r="L688" s="27"/>
      <c r="M688" s="27"/>
      <c r="N688" s="27"/>
      <c r="O688" s="27"/>
      <c r="P688" s="27"/>
      <c r="Q688" s="27"/>
      <c r="R688" s="29"/>
      <c r="S688" s="29"/>
      <c r="T688" s="27"/>
      <c r="U688" s="28" t="str">
        <f aca="false">IF(N(T688)=0,"",IF(T688&lt;12,"Under 12 months",IF(T688&lt;36,"12-35 months",IF(T688&lt;60,"36-59 months","≥60 months"))))</f>
        <v/>
      </c>
      <c r="V688" s="27"/>
      <c r="W688" s="30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9"/>
      <c r="AT688" s="30"/>
      <c r="AU688" s="30"/>
      <c r="AV688" s="30"/>
      <c r="AW688" s="27"/>
      <c r="AX688" s="27"/>
      <c r="AY688" s="29"/>
      <c r="AZ688" s="27"/>
      <c r="BA688" s="27"/>
      <c r="BB688" s="29"/>
      <c r="BC688" s="30"/>
      <c r="BD688" s="30"/>
      <c r="BE688" s="30"/>
      <c r="BF688" s="27"/>
      <c r="BG688" s="27"/>
      <c r="BH688" s="28" t="str">
        <f aca="false">IF(COUNT(BC688:BE688)=0,"",IF(MIN(BC688:BE688)&lt;=-2.5,"Yes","No"))</f>
        <v/>
      </c>
      <c r="BI688" s="27"/>
      <c r="BJ688" s="29"/>
      <c r="BK688" s="27"/>
      <c r="BL688" s="27"/>
      <c r="BM688" s="27"/>
      <c r="BN688" s="28" t="str">
        <f aca="false">IF(OR(AX688="Yes",BI688="Yes"),"Yes",IF(AND(AX688="No",BI688="No"),"No",IF(AND(AX688="",BI688=""),"","Unknown")))</f>
        <v/>
      </c>
      <c r="BO688" s="31" t="str">
        <f aca="false">IF(COUNT(AY688,BJ688)=0,"",MIN(AY688,BJ688))</f>
        <v/>
      </c>
      <c r="BP688" s="29"/>
      <c r="BQ688" s="29"/>
      <c r="BR688" s="29"/>
      <c r="BS688" s="28" t="str">
        <f aca="false">IF(AND(N(BP688)&gt;0,N(BR688)&gt;0),BR688-BP688,"")</f>
        <v/>
      </c>
      <c r="BT688" s="28" t="str">
        <f aca="false">IF(BS688="","",ROUND(BS688/365.25,2))</f>
        <v/>
      </c>
      <c r="BU688" s="28" t="str">
        <f aca="false">IF(BS688="","",IF(BS688&gt;=730.5,"Yes","No"))</f>
        <v/>
      </c>
      <c r="BV688" s="27"/>
      <c r="BW688" s="29"/>
      <c r="BX688" s="27"/>
      <c r="BY688" s="27"/>
      <c r="BZ688" s="28" t="str">
        <f aca="false">IF(N(E688)=0,"",IF(E688&lt;65,"Under 65","≥65"))</f>
        <v/>
      </c>
      <c r="CA688" s="28" t="str">
        <f aca="false">IF(OR(AC688="Yes",AC688="No"),AC688,"")</f>
        <v/>
      </c>
      <c r="CB688" s="28" t="str">
        <f aca="false">IF(OR(AD688="Yes",AD688="No"),AD688,"")</f>
        <v/>
      </c>
      <c r="CC688" s="28" t="str">
        <f aca="false">IF(F688="","",F688)</f>
        <v/>
      </c>
      <c r="CD688" s="27"/>
      <c r="CE688" s="27"/>
    </row>
    <row r="689" customFormat="false" ht="15" hidden="false" customHeight="false" outlineLevel="0" collapsed="false">
      <c r="A689" s="27"/>
      <c r="B689" s="27"/>
      <c r="C689" s="27"/>
      <c r="D689" s="27"/>
      <c r="E689" s="27"/>
      <c r="F689" s="27"/>
      <c r="G689" s="27"/>
      <c r="H689" s="27"/>
      <c r="I689" s="27"/>
      <c r="J689" s="28" t="str">
        <f aca="false">IF(AND(N(H689)&gt;0,N(I689)&gt;0),ROUND(I689/(H689/100)^2,1),"")</f>
        <v/>
      </c>
      <c r="K689" s="27"/>
      <c r="L689" s="27"/>
      <c r="M689" s="27"/>
      <c r="N689" s="27"/>
      <c r="O689" s="27"/>
      <c r="P689" s="27"/>
      <c r="Q689" s="27"/>
      <c r="R689" s="29"/>
      <c r="S689" s="29"/>
      <c r="T689" s="27"/>
      <c r="U689" s="28" t="str">
        <f aca="false">IF(N(T689)=0,"",IF(T689&lt;12,"Under 12 months",IF(T689&lt;36,"12-35 months",IF(T689&lt;60,"36-59 months","≥60 months"))))</f>
        <v/>
      </c>
      <c r="V689" s="27"/>
      <c r="W689" s="30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9"/>
      <c r="AT689" s="30"/>
      <c r="AU689" s="30"/>
      <c r="AV689" s="30"/>
      <c r="AW689" s="27"/>
      <c r="AX689" s="27"/>
      <c r="AY689" s="29"/>
      <c r="AZ689" s="27"/>
      <c r="BA689" s="27"/>
      <c r="BB689" s="29"/>
      <c r="BC689" s="30"/>
      <c r="BD689" s="30"/>
      <c r="BE689" s="30"/>
      <c r="BF689" s="27"/>
      <c r="BG689" s="27"/>
      <c r="BH689" s="28" t="str">
        <f aca="false">IF(COUNT(BC689:BE689)=0,"",IF(MIN(BC689:BE689)&lt;=-2.5,"Yes","No"))</f>
        <v/>
      </c>
      <c r="BI689" s="27"/>
      <c r="BJ689" s="29"/>
      <c r="BK689" s="27"/>
      <c r="BL689" s="27"/>
      <c r="BM689" s="27"/>
      <c r="BN689" s="28" t="str">
        <f aca="false">IF(OR(AX689="Yes",BI689="Yes"),"Yes",IF(AND(AX689="No",BI689="No"),"No",IF(AND(AX689="",BI689=""),"","Unknown")))</f>
        <v/>
      </c>
      <c r="BO689" s="31" t="str">
        <f aca="false">IF(COUNT(AY689,BJ689)=0,"",MIN(AY689,BJ689))</f>
        <v/>
      </c>
      <c r="BP689" s="29"/>
      <c r="BQ689" s="29"/>
      <c r="BR689" s="29"/>
      <c r="BS689" s="28" t="str">
        <f aca="false">IF(AND(N(BP689)&gt;0,N(BR689)&gt;0),BR689-BP689,"")</f>
        <v/>
      </c>
      <c r="BT689" s="28" t="str">
        <f aca="false">IF(BS689="","",ROUND(BS689/365.25,2))</f>
        <v/>
      </c>
      <c r="BU689" s="28" t="str">
        <f aca="false">IF(BS689="","",IF(BS689&gt;=730.5,"Yes","No"))</f>
        <v/>
      </c>
      <c r="BV689" s="27"/>
      <c r="BW689" s="29"/>
      <c r="BX689" s="27"/>
      <c r="BY689" s="27"/>
      <c r="BZ689" s="28" t="str">
        <f aca="false">IF(N(E689)=0,"",IF(E689&lt;65,"Under 65","≥65"))</f>
        <v/>
      </c>
      <c r="CA689" s="28" t="str">
        <f aca="false">IF(OR(AC689="Yes",AC689="No"),AC689,"")</f>
        <v/>
      </c>
      <c r="CB689" s="28" t="str">
        <f aca="false">IF(OR(AD689="Yes",AD689="No"),AD689,"")</f>
        <v/>
      </c>
      <c r="CC689" s="28" t="str">
        <f aca="false">IF(F689="","",F689)</f>
        <v/>
      </c>
      <c r="CD689" s="27"/>
      <c r="CE689" s="27"/>
    </row>
    <row r="690" customFormat="false" ht="15" hidden="false" customHeight="false" outlineLevel="0" collapsed="false">
      <c r="A690" s="27"/>
      <c r="B690" s="27"/>
      <c r="C690" s="27"/>
      <c r="D690" s="27"/>
      <c r="E690" s="27"/>
      <c r="F690" s="27"/>
      <c r="G690" s="27"/>
      <c r="H690" s="27"/>
      <c r="I690" s="27"/>
      <c r="J690" s="28" t="str">
        <f aca="false">IF(AND(N(H690)&gt;0,N(I690)&gt;0),ROUND(I690/(H690/100)^2,1),"")</f>
        <v/>
      </c>
      <c r="K690" s="27"/>
      <c r="L690" s="27"/>
      <c r="M690" s="27"/>
      <c r="N690" s="27"/>
      <c r="O690" s="27"/>
      <c r="P690" s="27"/>
      <c r="Q690" s="27"/>
      <c r="R690" s="29"/>
      <c r="S690" s="29"/>
      <c r="T690" s="27"/>
      <c r="U690" s="28" t="str">
        <f aca="false">IF(N(T690)=0,"",IF(T690&lt;12,"Under 12 months",IF(T690&lt;36,"12-35 months",IF(T690&lt;60,"36-59 months","≥60 months"))))</f>
        <v/>
      </c>
      <c r="V690" s="27"/>
      <c r="W690" s="30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9"/>
      <c r="AT690" s="30"/>
      <c r="AU690" s="30"/>
      <c r="AV690" s="30"/>
      <c r="AW690" s="27"/>
      <c r="AX690" s="27"/>
      <c r="AY690" s="29"/>
      <c r="AZ690" s="27"/>
      <c r="BA690" s="27"/>
      <c r="BB690" s="29"/>
      <c r="BC690" s="30"/>
      <c r="BD690" s="30"/>
      <c r="BE690" s="30"/>
      <c r="BF690" s="27"/>
      <c r="BG690" s="27"/>
      <c r="BH690" s="28" t="str">
        <f aca="false">IF(COUNT(BC690:BE690)=0,"",IF(MIN(BC690:BE690)&lt;=-2.5,"Yes","No"))</f>
        <v/>
      </c>
      <c r="BI690" s="27"/>
      <c r="BJ690" s="29"/>
      <c r="BK690" s="27"/>
      <c r="BL690" s="27"/>
      <c r="BM690" s="27"/>
      <c r="BN690" s="28" t="str">
        <f aca="false">IF(OR(AX690="Yes",BI690="Yes"),"Yes",IF(AND(AX690="No",BI690="No"),"No",IF(AND(AX690="",BI690=""),"","Unknown")))</f>
        <v/>
      </c>
      <c r="BO690" s="31" t="str">
        <f aca="false">IF(COUNT(AY690,BJ690)=0,"",MIN(AY690,BJ690))</f>
        <v/>
      </c>
      <c r="BP690" s="29"/>
      <c r="BQ690" s="29"/>
      <c r="BR690" s="29"/>
      <c r="BS690" s="28" t="str">
        <f aca="false">IF(AND(N(BP690)&gt;0,N(BR690)&gt;0),BR690-BP690,"")</f>
        <v/>
      </c>
      <c r="BT690" s="28" t="str">
        <f aca="false">IF(BS690="","",ROUND(BS690/365.25,2))</f>
        <v/>
      </c>
      <c r="BU690" s="28" t="str">
        <f aca="false">IF(BS690="","",IF(BS690&gt;=730.5,"Yes","No"))</f>
        <v/>
      </c>
      <c r="BV690" s="27"/>
      <c r="BW690" s="29"/>
      <c r="BX690" s="27"/>
      <c r="BY690" s="27"/>
      <c r="BZ690" s="28" t="str">
        <f aca="false">IF(N(E690)=0,"",IF(E690&lt;65,"Under 65","≥65"))</f>
        <v/>
      </c>
      <c r="CA690" s="28" t="str">
        <f aca="false">IF(OR(AC690="Yes",AC690="No"),AC690,"")</f>
        <v/>
      </c>
      <c r="CB690" s="28" t="str">
        <f aca="false">IF(OR(AD690="Yes",AD690="No"),AD690,"")</f>
        <v/>
      </c>
      <c r="CC690" s="28" t="str">
        <f aca="false">IF(F690="","",F690)</f>
        <v/>
      </c>
      <c r="CD690" s="27"/>
      <c r="CE690" s="27"/>
    </row>
    <row r="691" customFormat="false" ht="15" hidden="false" customHeight="false" outlineLevel="0" collapsed="false">
      <c r="A691" s="27"/>
      <c r="B691" s="27"/>
      <c r="C691" s="27"/>
      <c r="D691" s="27"/>
      <c r="E691" s="27"/>
      <c r="F691" s="27"/>
      <c r="G691" s="27"/>
      <c r="H691" s="27"/>
      <c r="I691" s="27"/>
      <c r="J691" s="28" t="str">
        <f aca="false">IF(AND(N(H691)&gt;0,N(I691)&gt;0),ROUND(I691/(H691/100)^2,1),"")</f>
        <v/>
      </c>
      <c r="K691" s="27"/>
      <c r="L691" s="27"/>
      <c r="M691" s="27"/>
      <c r="N691" s="27"/>
      <c r="O691" s="27"/>
      <c r="P691" s="27"/>
      <c r="Q691" s="27"/>
      <c r="R691" s="29"/>
      <c r="S691" s="29"/>
      <c r="T691" s="27"/>
      <c r="U691" s="28" t="str">
        <f aca="false">IF(N(T691)=0,"",IF(T691&lt;12,"Under 12 months",IF(T691&lt;36,"12-35 months",IF(T691&lt;60,"36-59 months","≥60 months"))))</f>
        <v/>
      </c>
      <c r="V691" s="27"/>
      <c r="W691" s="30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9"/>
      <c r="AT691" s="30"/>
      <c r="AU691" s="30"/>
      <c r="AV691" s="30"/>
      <c r="AW691" s="27"/>
      <c r="AX691" s="27"/>
      <c r="AY691" s="29"/>
      <c r="AZ691" s="27"/>
      <c r="BA691" s="27"/>
      <c r="BB691" s="29"/>
      <c r="BC691" s="30"/>
      <c r="BD691" s="30"/>
      <c r="BE691" s="30"/>
      <c r="BF691" s="27"/>
      <c r="BG691" s="27"/>
      <c r="BH691" s="28" t="str">
        <f aca="false">IF(COUNT(BC691:BE691)=0,"",IF(MIN(BC691:BE691)&lt;=-2.5,"Yes","No"))</f>
        <v/>
      </c>
      <c r="BI691" s="27"/>
      <c r="BJ691" s="29"/>
      <c r="BK691" s="27"/>
      <c r="BL691" s="27"/>
      <c r="BM691" s="27"/>
      <c r="BN691" s="28" t="str">
        <f aca="false">IF(OR(AX691="Yes",BI691="Yes"),"Yes",IF(AND(AX691="No",BI691="No"),"No",IF(AND(AX691="",BI691=""),"","Unknown")))</f>
        <v/>
      </c>
      <c r="BO691" s="31" t="str">
        <f aca="false">IF(COUNT(AY691,BJ691)=0,"",MIN(AY691,BJ691))</f>
        <v/>
      </c>
      <c r="BP691" s="29"/>
      <c r="BQ691" s="29"/>
      <c r="BR691" s="29"/>
      <c r="BS691" s="28" t="str">
        <f aca="false">IF(AND(N(BP691)&gt;0,N(BR691)&gt;0),BR691-BP691,"")</f>
        <v/>
      </c>
      <c r="BT691" s="28" t="str">
        <f aca="false">IF(BS691="","",ROUND(BS691/365.25,2))</f>
        <v/>
      </c>
      <c r="BU691" s="28" t="str">
        <f aca="false">IF(BS691="","",IF(BS691&gt;=730.5,"Yes","No"))</f>
        <v/>
      </c>
      <c r="BV691" s="27"/>
      <c r="BW691" s="29"/>
      <c r="BX691" s="27"/>
      <c r="BY691" s="27"/>
      <c r="BZ691" s="28" t="str">
        <f aca="false">IF(N(E691)=0,"",IF(E691&lt;65,"Under 65","≥65"))</f>
        <v/>
      </c>
      <c r="CA691" s="28" t="str">
        <f aca="false">IF(OR(AC691="Yes",AC691="No"),AC691,"")</f>
        <v/>
      </c>
      <c r="CB691" s="28" t="str">
        <f aca="false">IF(OR(AD691="Yes",AD691="No"),AD691,"")</f>
        <v/>
      </c>
      <c r="CC691" s="28" t="str">
        <f aca="false">IF(F691="","",F691)</f>
        <v/>
      </c>
      <c r="CD691" s="27"/>
      <c r="CE691" s="27"/>
    </row>
    <row r="692" customFormat="false" ht="15" hidden="false" customHeight="false" outlineLevel="0" collapsed="false">
      <c r="A692" s="27"/>
      <c r="B692" s="27"/>
      <c r="C692" s="27"/>
      <c r="D692" s="27"/>
      <c r="E692" s="27"/>
      <c r="F692" s="27"/>
      <c r="G692" s="27"/>
      <c r="H692" s="27"/>
      <c r="I692" s="27"/>
      <c r="J692" s="28" t="str">
        <f aca="false">IF(AND(N(H692)&gt;0,N(I692)&gt;0),ROUND(I692/(H692/100)^2,1),"")</f>
        <v/>
      </c>
      <c r="K692" s="27"/>
      <c r="L692" s="27"/>
      <c r="M692" s="27"/>
      <c r="N692" s="27"/>
      <c r="O692" s="27"/>
      <c r="P692" s="27"/>
      <c r="Q692" s="27"/>
      <c r="R692" s="29"/>
      <c r="S692" s="29"/>
      <c r="T692" s="27"/>
      <c r="U692" s="28" t="str">
        <f aca="false">IF(N(T692)=0,"",IF(T692&lt;12,"Under 12 months",IF(T692&lt;36,"12-35 months",IF(T692&lt;60,"36-59 months","≥60 months"))))</f>
        <v/>
      </c>
      <c r="V692" s="27"/>
      <c r="W692" s="30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9"/>
      <c r="AT692" s="30"/>
      <c r="AU692" s="30"/>
      <c r="AV692" s="30"/>
      <c r="AW692" s="27"/>
      <c r="AX692" s="27"/>
      <c r="AY692" s="29"/>
      <c r="AZ692" s="27"/>
      <c r="BA692" s="27"/>
      <c r="BB692" s="29"/>
      <c r="BC692" s="30"/>
      <c r="BD692" s="30"/>
      <c r="BE692" s="30"/>
      <c r="BF692" s="27"/>
      <c r="BG692" s="27"/>
      <c r="BH692" s="28" t="str">
        <f aca="false">IF(COUNT(BC692:BE692)=0,"",IF(MIN(BC692:BE692)&lt;=-2.5,"Yes","No"))</f>
        <v/>
      </c>
      <c r="BI692" s="27"/>
      <c r="BJ692" s="29"/>
      <c r="BK692" s="27"/>
      <c r="BL692" s="27"/>
      <c r="BM692" s="27"/>
      <c r="BN692" s="28" t="str">
        <f aca="false">IF(OR(AX692="Yes",BI692="Yes"),"Yes",IF(AND(AX692="No",BI692="No"),"No",IF(AND(AX692="",BI692=""),"","Unknown")))</f>
        <v/>
      </c>
      <c r="BO692" s="31" t="str">
        <f aca="false">IF(COUNT(AY692,BJ692)=0,"",MIN(AY692,BJ692))</f>
        <v/>
      </c>
      <c r="BP692" s="29"/>
      <c r="BQ692" s="29"/>
      <c r="BR692" s="29"/>
      <c r="BS692" s="28" t="str">
        <f aca="false">IF(AND(N(BP692)&gt;0,N(BR692)&gt;0),BR692-BP692,"")</f>
        <v/>
      </c>
      <c r="BT692" s="28" t="str">
        <f aca="false">IF(BS692="","",ROUND(BS692/365.25,2))</f>
        <v/>
      </c>
      <c r="BU692" s="28" t="str">
        <f aca="false">IF(BS692="","",IF(BS692&gt;=730.5,"Yes","No"))</f>
        <v/>
      </c>
      <c r="BV692" s="27"/>
      <c r="BW692" s="29"/>
      <c r="BX692" s="27"/>
      <c r="BY692" s="27"/>
      <c r="BZ692" s="28" t="str">
        <f aca="false">IF(N(E692)=0,"",IF(E692&lt;65,"Under 65","≥65"))</f>
        <v/>
      </c>
      <c r="CA692" s="28" t="str">
        <f aca="false">IF(OR(AC692="Yes",AC692="No"),AC692,"")</f>
        <v/>
      </c>
      <c r="CB692" s="28" t="str">
        <f aca="false">IF(OR(AD692="Yes",AD692="No"),AD692,"")</f>
        <v/>
      </c>
      <c r="CC692" s="28" t="str">
        <f aca="false">IF(F692="","",F692)</f>
        <v/>
      </c>
      <c r="CD692" s="27"/>
      <c r="CE692" s="27"/>
    </row>
    <row r="693" customFormat="false" ht="15" hidden="false" customHeight="false" outlineLevel="0" collapsed="false">
      <c r="A693" s="27"/>
      <c r="B693" s="27"/>
      <c r="C693" s="27"/>
      <c r="D693" s="27"/>
      <c r="E693" s="27"/>
      <c r="F693" s="27"/>
      <c r="G693" s="27"/>
      <c r="H693" s="27"/>
      <c r="I693" s="27"/>
      <c r="J693" s="28" t="str">
        <f aca="false">IF(AND(N(H693)&gt;0,N(I693)&gt;0),ROUND(I693/(H693/100)^2,1),"")</f>
        <v/>
      </c>
      <c r="K693" s="27"/>
      <c r="L693" s="27"/>
      <c r="M693" s="27"/>
      <c r="N693" s="27"/>
      <c r="O693" s="27"/>
      <c r="P693" s="27"/>
      <c r="Q693" s="27"/>
      <c r="R693" s="29"/>
      <c r="S693" s="29"/>
      <c r="T693" s="27"/>
      <c r="U693" s="28" t="str">
        <f aca="false">IF(N(T693)=0,"",IF(T693&lt;12,"Under 12 months",IF(T693&lt;36,"12-35 months",IF(T693&lt;60,"36-59 months","≥60 months"))))</f>
        <v/>
      </c>
      <c r="V693" s="27"/>
      <c r="W693" s="30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9"/>
      <c r="AT693" s="30"/>
      <c r="AU693" s="30"/>
      <c r="AV693" s="30"/>
      <c r="AW693" s="27"/>
      <c r="AX693" s="27"/>
      <c r="AY693" s="29"/>
      <c r="AZ693" s="27"/>
      <c r="BA693" s="27"/>
      <c r="BB693" s="29"/>
      <c r="BC693" s="30"/>
      <c r="BD693" s="30"/>
      <c r="BE693" s="30"/>
      <c r="BF693" s="27"/>
      <c r="BG693" s="27"/>
      <c r="BH693" s="28" t="str">
        <f aca="false">IF(COUNT(BC693:BE693)=0,"",IF(MIN(BC693:BE693)&lt;=-2.5,"Yes","No"))</f>
        <v/>
      </c>
      <c r="BI693" s="27"/>
      <c r="BJ693" s="29"/>
      <c r="BK693" s="27"/>
      <c r="BL693" s="27"/>
      <c r="BM693" s="27"/>
      <c r="BN693" s="28" t="str">
        <f aca="false">IF(OR(AX693="Yes",BI693="Yes"),"Yes",IF(AND(AX693="No",BI693="No"),"No",IF(AND(AX693="",BI693=""),"","Unknown")))</f>
        <v/>
      </c>
      <c r="BO693" s="31" t="str">
        <f aca="false">IF(COUNT(AY693,BJ693)=0,"",MIN(AY693,BJ693))</f>
        <v/>
      </c>
      <c r="BP693" s="29"/>
      <c r="BQ693" s="29"/>
      <c r="BR693" s="29"/>
      <c r="BS693" s="28" t="str">
        <f aca="false">IF(AND(N(BP693)&gt;0,N(BR693)&gt;0),BR693-BP693,"")</f>
        <v/>
      </c>
      <c r="BT693" s="28" t="str">
        <f aca="false">IF(BS693="","",ROUND(BS693/365.25,2))</f>
        <v/>
      </c>
      <c r="BU693" s="28" t="str">
        <f aca="false">IF(BS693="","",IF(BS693&gt;=730.5,"Yes","No"))</f>
        <v/>
      </c>
      <c r="BV693" s="27"/>
      <c r="BW693" s="29"/>
      <c r="BX693" s="27"/>
      <c r="BY693" s="27"/>
      <c r="BZ693" s="28" t="str">
        <f aca="false">IF(N(E693)=0,"",IF(E693&lt;65,"Under 65","≥65"))</f>
        <v/>
      </c>
      <c r="CA693" s="28" t="str">
        <f aca="false">IF(OR(AC693="Yes",AC693="No"),AC693,"")</f>
        <v/>
      </c>
      <c r="CB693" s="28" t="str">
        <f aca="false">IF(OR(AD693="Yes",AD693="No"),AD693,"")</f>
        <v/>
      </c>
      <c r="CC693" s="28" t="str">
        <f aca="false">IF(F693="","",F693)</f>
        <v/>
      </c>
      <c r="CD693" s="27"/>
      <c r="CE693" s="27"/>
    </row>
    <row r="694" customFormat="false" ht="15" hidden="false" customHeight="false" outlineLevel="0" collapsed="false">
      <c r="A694" s="27"/>
      <c r="B694" s="27"/>
      <c r="C694" s="27"/>
      <c r="D694" s="27"/>
      <c r="E694" s="27"/>
      <c r="F694" s="27"/>
      <c r="G694" s="27"/>
      <c r="H694" s="27"/>
      <c r="I694" s="27"/>
      <c r="J694" s="28" t="str">
        <f aca="false">IF(AND(N(H694)&gt;0,N(I694)&gt;0),ROUND(I694/(H694/100)^2,1),"")</f>
        <v/>
      </c>
      <c r="K694" s="27"/>
      <c r="L694" s="27"/>
      <c r="M694" s="27"/>
      <c r="N694" s="27"/>
      <c r="O694" s="27"/>
      <c r="P694" s="27"/>
      <c r="Q694" s="27"/>
      <c r="R694" s="29"/>
      <c r="S694" s="29"/>
      <c r="T694" s="27"/>
      <c r="U694" s="28" t="str">
        <f aca="false">IF(N(T694)=0,"",IF(T694&lt;12,"Under 12 months",IF(T694&lt;36,"12-35 months",IF(T694&lt;60,"36-59 months","≥60 months"))))</f>
        <v/>
      </c>
      <c r="V694" s="27"/>
      <c r="W694" s="30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9"/>
      <c r="AT694" s="30"/>
      <c r="AU694" s="30"/>
      <c r="AV694" s="30"/>
      <c r="AW694" s="27"/>
      <c r="AX694" s="27"/>
      <c r="AY694" s="29"/>
      <c r="AZ694" s="27"/>
      <c r="BA694" s="27"/>
      <c r="BB694" s="29"/>
      <c r="BC694" s="30"/>
      <c r="BD694" s="30"/>
      <c r="BE694" s="30"/>
      <c r="BF694" s="27"/>
      <c r="BG694" s="27"/>
      <c r="BH694" s="28" t="str">
        <f aca="false">IF(COUNT(BC694:BE694)=0,"",IF(MIN(BC694:BE694)&lt;=-2.5,"Yes","No"))</f>
        <v/>
      </c>
      <c r="BI694" s="27"/>
      <c r="BJ694" s="29"/>
      <c r="BK694" s="27"/>
      <c r="BL694" s="27"/>
      <c r="BM694" s="27"/>
      <c r="BN694" s="28" t="str">
        <f aca="false">IF(OR(AX694="Yes",BI694="Yes"),"Yes",IF(AND(AX694="No",BI694="No"),"No",IF(AND(AX694="",BI694=""),"","Unknown")))</f>
        <v/>
      </c>
      <c r="BO694" s="31" t="str">
        <f aca="false">IF(COUNT(AY694,BJ694)=0,"",MIN(AY694,BJ694))</f>
        <v/>
      </c>
      <c r="BP694" s="29"/>
      <c r="BQ694" s="29"/>
      <c r="BR694" s="29"/>
      <c r="BS694" s="28" t="str">
        <f aca="false">IF(AND(N(BP694)&gt;0,N(BR694)&gt;0),BR694-BP694,"")</f>
        <v/>
      </c>
      <c r="BT694" s="28" t="str">
        <f aca="false">IF(BS694="","",ROUND(BS694/365.25,2))</f>
        <v/>
      </c>
      <c r="BU694" s="28" t="str">
        <f aca="false">IF(BS694="","",IF(BS694&gt;=730.5,"Yes","No"))</f>
        <v/>
      </c>
      <c r="BV694" s="27"/>
      <c r="BW694" s="29"/>
      <c r="BX694" s="27"/>
      <c r="BY694" s="27"/>
      <c r="BZ694" s="28" t="str">
        <f aca="false">IF(N(E694)=0,"",IF(E694&lt;65,"Under 65","≥65"))</f>
        <v/>
      </c>
      <c r="CA694" s="28" t="str">
        <f aca="false">IF(OR(AC694="Yes",AC694="No"),AC694,"")</f>
        <v/>
      </c>
      <c r="CB694" s="28" t="str">
        <f aca="false">IF(OR(AD694="Yes",AD694="No"),AD694,"")</f>
        <v/>
      </c>
      <c r="CC694" s="28" t="str">
        <f aca="false">IF(F694="","",F694)</f>
        <v/>
      </c>
      <c r="CD694" s="27"/>
      <c r="CE694" s="27"/>
    </row>
    <row r="695" customFormat="false" ht="15" hidden="false" customHeight="false" outlineLevel="0" collapsed="false">
      <c r="A695" s="27"/>
      <c r="B695" s="27"/>
      <c r="C695" s="27"/>
      <c r="D695" s="27"/>
      <c r="E695" s="27"/>
      <c r="F695" s="27"/>
      <c r="G695" s="27"/>
      <c r="H695" s="27"/>
      <c r="I695" s="27"/>
      <c r="J695" s="28" t="str">
        <f aca="false">IF(AND(N(H695)&gt;0,N(I695)&gt;0),ROUND(I695/(H695/100)^2,1),"")</f>
        <v/>
      </c>
      <c r="K695" s="27"/>
      <c r="L695" s="27"/>
      <c r="M695" s="27"/>
      <c r="N695" s="27"/>
      <c r="O695" s="27"/>
      <c r="P695" s="27"/>
      <c r="Q695" s="27"/>
      <c r="R695" s="29"/>
      <c r="S695" s="29"/>
      <c r="T695" s="27"/>
      <c r="U695" s="28" t="str">
        <f aca="false">IF(N(T695)=0,"",IF(T695&lt;12,"Under 12 months",IF(T695&lt;36,"12-35 months",IF(T695&lt;60,"36-59 months","≥60 months"))))</f>
        <v/>
      </c>
      <c r="V695" s="27"/>
      <c r="W695" s="30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9"/>
      <c r="AT695" s="30"/>
      <c r="AU695" s="30"/>
      <c r="AV695" s="30"/>
      <c r="AW695" s="27"/>
      <c r="AX695" s="27"/>
      <c r="AY695" s="29"/>
      <c r="AZ695" s="27"/>
      <c r="BA695" s="27"/>
      <c r="BB695" s="29"/>
      <c r="BC695" s="30"/>
      <c r="BD695" s="30"/>
      <c r="BE695" s="30"/>
      <c r="BF695" s="27"/>
      <c r="BG695" s="27"/>
      <c r="BH695" s="28" t="str">
        <f aca="false">IF(COUNT(BC695:BE695)=0,"",IF(MIN(BC695:BE695)&lt;=-2.5,"Yes","No"))</f>
        <v/>
      </c>
      <c r="BI695" s="27"/>
      <c r="BJ695" s="29"/>
      <c r="BK695" s="27"/>
      <c r="BL695" s="27"/>
      <c r="BM695" s="27"/>
      <c r="BN695" s="28" t="str">
        <f aca="false">IF(OR(AX695="Yes",BI695="Yes"),"Yes",IF(AND(AX695="No",BI695="No"),"No",IF(AND(AX695="",BI695=""),"","Unknown")))</f>
        <v/>
      </c>
      <c r="BO695" s="31" t="str">
        <f aca="false">IF(COUNT(AY695,BJ695)=0,"",MIN(AY695,BJ695))</f>
        <v/>
      </c>
      <c r="BP695" s="29"/>
      <c r="BQ695" s="29"/>
      <c r="BR695" s="29"/>
      <c r="BS695" s="28" t="str">
        <f aca="false">IF(AND(N(BP695)&gt;0,N(BR695)&gt;0),BR695-BP695,"")</f>
        <v/>
      </c>
      <c r="BT695" s="28" t="str">
        <f aca="false">IF(BS695="","",ROUND(BS695/365.25,2))</f>
        <v/>
      </c>
      <c r="BU695" s="28" t="str">
        <f aca="false">IF(BS695="","",IF(BS695&gt;=730.5,"Yes","No"))</f>
        <v/>
      </c>
      <c r="BV695" s="27"/>
      <c r="BW695" s="29"/>
      <c r="BX695" s="27"/>
      <c r="BY695" s="27"/>
      <c r="BZ695" s="28" t="str">
        <f aca="false">IF(N(E695)=0,"",IF(E695&lt;65,"Under 65","≥65"))</f>
        <v/>
      </c>
      <c r="CA695" s="28" t="str">
        <f aca="false">IF(OR(AC695="Yes",AC695="No"),AC695,"")</f>
        <v/>
      </c>
      <c r="CB695" s="28" t="str">
        <f aca="false">IF(OR(AD695="Yes",AD695="No"),AD695,"")</f>
        <v/>
      </c>
      <c r="CC695" s="28" t="str">
        <f aca="false">IF(F695="","",F695)</f>
        <v/>
      </c>
      <c r="CD695" s="27"/>
      <c r="CE695" s="27"/>
    </row>
    <row r="696" customFormat="false" ht="15" hidden="false" customHeight="false" outlineLevel="0" collapsed="false">
      <c r="A696" s="27"/>
      <c r="B696" s="27"/>
      <c r="C696" s="27"/>
      <c r="D696" s="27"/>
      <c r="E696" s="27"/>
      <c r="F696" s="27"/>
      <c r="G696" s="27"/>
      <c r="H696" s="27"/>
      <c r="I696" s="27"/>
      <c r="J696" s="28" t="str">
        <f aca="false">IF(AND(N(H696)&gt;0,N(I696)&gt;0),ROUND(I696/(H696/100)^2,1),"")</f>
        <v/>
      </c>
      <c r="K696" s="27"/>
      <c r="L696" s="27"/>
      <c r="M696" s="27"/>
      <c r="N696" s="27"/>
      <c r="O696" s="27"/>
      <c r="P696" s="27"/>
      <c r="Q696" s="27"/>
      <c r="R696" s="29"/>
      <c r="S696" s="29"/>
      <c r="T696" s="27"/>
      <c r="U696" s="28" t="str">
        <f aca="false">IF(N(T696)=0,"",IF(T696&lt;12,"Under 12 months",IF(T696&lt;36,"12-35 months",IF(T696&lt;60,"36-59 months","≥60 months"))))</f>
        <v/>
      </c>
      <c r="V696" s="27"/>
      <c r="W696" s="30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9"/>
      <c r="AT696" s="30"/>
      <c r="AU696" s="30"/>
      <c r="AV696" s="30"/>
      <c r="AW696" s="27"/>
      <c r="AX696" s="27"/>
      <c r="AY696" s="29"/>
      <c r="AZ696" s="27"/>
      <c r="BA696" s="27"/>
      <c r="BB696" s="29"/>
      <c r="BC696" s="30"/>
      <c r="BD696" s="30"/>
      <c r="BE696" s="30"/>
      <c r="BF696" s="27"/>
      <c r="BG696" s="27"/>
      <c r="BH696" s="28" t="str">
        <f aca="false">IF(COUNT(BC696:BE696)=0,"",IF(MIN(BC696:BE696)&lt;=-2.5,"Yes","No"))</f>
        <v/>
      </c>
      <c r="BI696" s="27"/>
      <c r="BJ696" s="29"/>
      <c r="BK696" s="27"/>
      <c r="BL696" s="27"/>
      <c r="BM696" s="27"/>
      <c r="BN696" s="28" t="str">
        <f aca="false">IF(OR(AX696="Yes",BI696="Yes"),"Yes",IF(AND(AX696="No",BI696="No"),"No",IF(AND(AX696="",BI696=""),"","Unknown")))</f>
        <v/>
      </c>
      <c r="BO696" s="31" t="str">
        <f aca="false">IF(COUNT(AY696,BJ696)=0,"",MIN(AY696,BJ696))</f>
        <v/>
      </c>
      <c r="BP696" s="29"/>
      <c r="BQ696" s="29"/>
      <c r="BR696" s="29"/>
      <c r="BS696" s="28" t="str">
        <f aca="false">IF(AND(N(BP696)&gt;0,N(BR696)&gt;0),BR696-BP696,"")</f>
        <v/>
      </c>
      <c r="BT696" s="28" t="str">
        <f aca="false">IF(BS696="","",ROUND(BS696/365.25,2))</f>
        <v/>
      </c>
      <c r="BU696" s="28" t="str">
        <f aca="false">IF(BS696="","",IF(BS696&gt;=730.5,"Yes","No"))</f>
        <v/>
      </c>
      <c r="BV696" s="27"/>
      <c r="BW696" s="29"/>
      <c r="BX696" s="27"/>
      <c r="BY696" s="27"/>
      <c r="BZ696" s="28" t="str">
        <f aca="false">IF(N(E696)=0,"",IF(E696&lt;65,"Under 65","≥65"))</f>
        <v/>
      </c>
      <c r="CA696" s="28" t="str">
        <f aca="false">IF(OR(AC696="Yes",AC696="No"),AC696,"")</f>
        <v/>
      </c>
      <c r="CB696" s="28" t="str">
        <f aca="false">IF(OR(AD696="Yes",AD696="No"),AD696,"")</f>
        <v/>
      </c>
      <c r="CC696" s="28" t="str">
        <f aca="false">IF(F696="","",F696)</f>
        <v/>
      </c>
      <c r="CD696" s="27"/>
      <c r="CE696" s="27"/>
    </row>
    <row r="697" customFormat="false" ht="15" hidden="false" customHeight="false" outlineLevel="0" collapsed="false">
      <c r="A697" s="27"/>
      <c r="B697" s="27"/>
      <c r="C697" s="27"/>
      <c r="D697" s="27"/>
      <c r="E697" s="27"/>
      <c r="F697" s="27"/>
      <c r="G697" s="27"/>
      <c r="H697" s="27"/>
      <c r="I697" s="27"/>
      <c r="J697" s="28" t="str">
        <f aca="false">IF(AND(N(H697)&gt;0,N(I697)&gt;0),ROUND(I697/(H697/100)^2,1),"")</f>
        <v/>
      </c>
      <c r="K697" s="27"/>
      <c r="L697" s="27"/>
      <c r="M697" s="27"/>
      <c r="N697" s="27"/>
      <c r="O697" s="27"/>
      <c r="P697" s="27"/>
      <c r="Q697" s="27"/>
      <c r="R697" s="29"/>
      <c r="S697" s="29"/>
      <c r="T697" s="27"/>
      <c r="U697" s="28" t="str">
        <f aca="false">IF(N(T697)=0,"",IF(T697&lt;12,"Under 12 months",IF(T697&lt;36,"12-35 months",IF(T697&lt;60,"36-59 months","≥60 months"))))</f>
        <v/>
      </c>
      <c r="V697" s="27"/>
      <c r="W697" s="30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9"/>
      <c r="AT697" s="30"/>
      <c r="AU697" s="30"/>
      <c r="AV697" s="30"/>
      <c r="AW697" s="27"/>
      <c r="AX697" s="27"/>
      <c r="AY697" s="29"/>
      <c r="AZ697" s="27"/>
      <c r="BA697" s="27"/>
      <c r="BB697" s="29"/>
      <c r="BC697" s="30"/>
      <c r="BD697" s="30"/>
      <c r="BE697" s="30"/>
      <c r="BF697" s="27"/>
      <c r="BG697" s="27"/>
      <c r="BH697" s="28" t="str">
        <f aca="false">IF(COUNT(BC697:BE697)=0,"",IF(MIN(BC697:BE697)&lt;=-2.5,"Yes","No"))</f>
        <v/>
      </c>
      <c r="BI697" s="27"/>
      <c r="BJ697" s="29"/>
      <c r="BK697" s="27"/>
      <c r="BL697" s="27"/>
      <c r="BM697" s="27"/>
      <c r="BN697" s="28" t="str">
        <f aca="false">IF(OR(AX697="Yes",BI697="Yes"),"Yes",IF(AND(AX697="No",BI697="No"),"No",IF(AND(AX697="",BI697=""),"","Unknown")))</f>
        <v/>
      </c>
      <c r="BO697" s="31" t="str">
        <f aca="false">IF(COUNT(AY697,BJ697)=0,"",MIN(AY697,BJ697))</f>
        <v/>
      </c>
      <c r="BP697" s="29"/>
      <c r="BQ697" s="29"/>
      <c r="BR697" s="29"/>
      <c r="BS697" s="28" t="str">
        <f aca="false">IF(AND(N(BP697)&gt;0,N(BR697)&gt;0),BR697-BP697,"")</f>
        <v/>
      </c>
      <c r="BT697" s="28" t="str">
        <f aca="false">IF(BS697="","",ROUND(BS697/365.25,2))</f>
        <v/>
      </c>
      <c r="BU697" s="28" t="str">
        <f aca="false">IF(BS697="","",IF(BS697&gt;=730.5,"Yes","No"))</f>
        <v/>
      </c>
      <c r="BV697" s="27"/>
      <c r="BW697" s="29"/>
      <c r="BX697" s="27"/>
      <c r="BY697" s="27"/>
      <c r="BZ697" s="28" t="str">
        <f aca="false">IF(N(E697)=0,"",IF(E697&lt;65,"Under 65","≥65"))</f>
        <v/>
      </c>
      <c r="CA697" s="28" t="str">
        <f aca="false">IF(OR(AC697="Yes",AC697="No"),AC697,"")</f>
        <v/>
      </c>
      <c r="CB697" s="28" t="str">
        <f aca="false">IF(OR(AD697="Yes",AD697="No"),AD697,"")</f>
        <v/>
      </c>
      <c r="CC697" s="28" t="str">
        <f aca="false">IF(F697="","",F697)</f>
        <v/>
      </c>
      <c r="CD697" s="27"/>
      <c r="CE697" s="27"/>
    </row>
    <row r="698" customFormat="false" ht="15" hidden="false" customHeight="false" outlineLevel="0" collapsed="false">
      <c r="A698" s="27"/>
      <c r="B698" s="27"/>
      <c r="C698" s="27"/>
      <c r="D698" s="27"/>
      <c r="E698" s="27"/>
      <c r="F698" s="27"/>
      <c r="G698" s="27"/>
      <c r="H698" s="27"/>
      <c r="I698" s="27"/>
      <c r="J698" s="28" t="str">
        <f aca="false">IF(AND(N(H698)&gt;0,N(I698)&gt;0),ROUND(I698/(H698/100)^2,1),"")</f>
        <v/>
      </c>
      <c r="K698" s="27"/>
      <c r="L698" s="27"/>
      <c r="M698" s="27"/>
      <c r="N698" s="27"/>
      <c r="O698" s="27"/>
      <c r="P698" s="27"/>
      <c r="Q698" s="27"/>
      <c r="R698" s="29"/>
      <c r="S698" s="29"/>
      <c r="T698" s="27"/>
      <c r="U698" s="28" t="str">
        <f aca="false">IF(N(T698)=0,"",IF(T698&lt;12,"Under 12 months",IF(T698&lt;36,"12-35 months",IF(T698&lt;60,"36-59 months","≥60 months"))))</f>
        <v/>
      </c>
      <c r="V698" s="27"/>
      <c r="W698" s="30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9"/>
      <c r="AT698" s="30"/>
      <c r="AU698" s="30"/>
      <c r="AV698" s="30"/>
      <c r="AW698" s="27"/>
      <c r="AX698" s="27"/>
      <c r="AY698" s="29"/>
      <c r="AZ698" s="27"/>
      <c r="BA698" s="27"/>
      <c r="BB698" s="29"/>
      <c r="BC698" s="30"/>
      <c r="BD698" s="30"/>
      <c r="BE698" s="30"/>
      <c r="BF698" s="27"/>
      <c r="BG698" s="27"/>
      <c r="BH698" s="28" t="str">
        <f aca="false">IF(COUNT(BC698:BE698)=0,"",IF(MIN(BC698:BE698)&lt;=-2.5,"Yes","No"))</f>
        <v/>
      </c>
      <c r="BI698" s="27"/>
      <c r="BJ698" s="29"/>
      <c r="BK698" s="27"/>
      <c r="BL698" s="27"/>
      <c r="BM698" s="27"/>
      <c r="BN698" s="28" t="str">
        <f aca="false">IF(OR(AX698="Yes",BI698="Yes"),"Yes",IF(AND(AX698="No",BI698="No"),"No",IF(AND(AX698="",BI698=""),"","Unknown")))</f>
        <v/>
      </c>
      <c r="BO698" s="31" t="str">
        <f aca="false">IF(COUNT(AY698,BJ698)=0,"",MIN(AY698,BJ698))</f>
        <v/>
      </c>
      <c r="BP698" s="29"/>
      <c r="BQ698" s="29"/>
      <c r="BR698" s="29"/>
      <c r="BS698" s="28" t="str">
        <f aca="false">IF(AND(N(BP698)&gt;0,N(BR698)&gt;0),BR698-BP698,"")</f>
        <v/>
      </c>
      <c r="BT698" s="28" t="str">
        <f aca="false">IF(BS698="","",ROUND(BS698/365.25,2))</f>
        <v/>
      </c>
      <c r="BU698" s="28" t="str">
        <f aca="false">IF(BS698="","",IF(BS698&gt;=730.5,"Yes","No"))</f>
        <v/>
      </c>
      <c r="BV698" s="27"/>
      <c r="BW698" s="29"/>
      <c r="BX698" s="27"/>
      <c r="BY698" s="27"/>
      <c r="BZ698" s="28" t="str">
        <f aca="false">IF(N(E698)=0,"",IF(E698&lt;65,"Under 65","≥65"))</f>
        <v/>
      </c>
      <c r="CA698" s="28" t="str">
        <f aca="false">IF(OR(AC698="Yes",AC698="No"),AC698,"")</f>
        <v/>
      </c>
      <c r="CB698" s="28" t="str">
        <f aca="false">IF(OR(AD698="Yes",AD698="No"),AD698,"")</f>
        <v/>
      </c>
      <c r="CC698" s="28" t="str">
        <f aca="false">IF(F698="","",F698)</f>
        <v/>
      </c>
      <c r="CD698" s="27"/>
      <c r="CE698" s="27"/>
    </row>
    <row r="699" customFormat="false" ht="15" hidden="false" customHeight="false" outlineLevel="0" collapsed="false">
      <c r="A699" s="27"/>
      <c r="B699" s="27"/>
      <c r="C699" s="27"/>
      <c r="D699" s="27"/>
      <c r="E699" s="27"/>
      <c r="F699" s="27"/>
      <c r="G699" s="27"/>
      <c r="H699" s="27"/>
      <c r="I699" s="27"/>
      <c r="J699" s="28" t="str">
        <f aca="false">IF(AND(N(H699)&gt;0,N(I699)&gt;0),ROUND(I699/(H699/100)^2,1),"")</f>
        <v/>
      </c>
      <c r="K699" s="27"/>
      <c r="L699" s="27"/>
      <c r="M699" s="27"/>
      <c r="N699" s="27"/>
      <c r="O699" s="27"/>
      <c r="P699" s="27"/>
      <c r="Q699" s="27"/>
      <c r="R699" s="29"/>
      <c r="S699" s="29"/>
      <c r="T699" s="27"/>
      <c r="U699" s="28" t="str">
        <f aca="false">IF(N(T699)=0,"",IF(T699&lt;12,"Under 12 months",IF(T699&lt;36,"12-35 months",IF(T699&lt;60,"36-59 months","≥60 months"))))</f>
        <v/>
      </c>
      <c r="V699" s="27"/>
      <c r="W699" s="30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9"/>
      <c r="AT699" s="30"/>
      <c r="AU699" s="30"/>
      <c r="AV699" s="30"/>
      <c r="AW699" s="27"/>
      <c r="AX699" s="27"/>
      <c r="AY699" s="29"/>
      <c r="AZ699" s="27"/>
      <c r="BA699" s="27"/>
      <c r="BB699" s="29"/>
      <c r="BC699" s="30"/>
      <c r="BD699" s="30"/>
      <c r="BE699" s="30"/>
      <c r="BF699" s="27"/>
      <c r="BG699" s="27"/>
      <c r="BH699" s="28" t="str">
        <f aca="false">IF(COUNT(BC699:BE699)=0,"",IF(MIN(BC699:BE699)&lt;=-2.5,"Yes","No"))</f>
        <v/>
      </c>
      <c r="BI699" s="27"/>
      <c r="BJ699" s="29"/>
      <c r="BK699" s="27"/>
      <c r="BL699" s="27"/>
      <c r="BM699" s="27"/>
      <c r="BN699" s="28" t="str">
        <f aca="false">IF(OR(AX699="Yes",BI699="Yes"),"Yes",IF(AND(AX699="No",BI699="No"),"No",IF(AND(AX699="",BI699=""),"","Unknown")))</f>
        <v/>
      </c>
      <c r="BO699" s="31" t="str">
        <f aca="false">IF(COUNT(AY699,BJ699)=0,"",MIN(AY699,BJ699))</f>
        <v/>
      </c>
      <c r="BP699" s="29"/>
      <c r="BQ699" s="29"/>
      <c r="BR699" s="29"/>
      <c r="BS699" s="28" t="str">
        <f aca="false">IF(AND(N(BP699)&gt;0,N(BR699)&gt;0),BR699-BP699,"")</f>
        <v/>
      </c>
      <c r="BT699" s="28" t="str">
        <f aca="false">IF(BS699="","",ROUND(BS699/365.25,2))</f>
        <v/>
      </c>
      <c r="BU699" s="28" t="str">
        <f aca="false">IF(BS699="","",IF(BS699&gt;=730.5,"Yes","No"))</f>
        <v/>
      </c>
      <c r="BV699" s="27"/>
      <c r="BW699" s="29"/>
      <c r="BX699" s="27"/>
      <c r="BY699" s="27"/>
      <c r="BZ699" s="28" t="str">
        <f aca="false">IF(N(E699)=0,"",IF(E699&lt;65,"Under 65","≥65"))</f>
        <v/>
      </c>
      <c r="CA699" s="28" t="str">
        <f aca="false">IF(OR(AC699="Yes",AC699="No"),AC699,"")</f>
        <v/>
      </c>
      <c r="CB699" s="28" t="str">
        <f aca="false">IF(OR(AD699="Yes",AD699="No"),AD699,"")</f>
        <v/>
      </c>
      <c r="CC699" s="28" t="str">
        <f aca="false">IF(F699="","",F699)</f>
        <v/>
      </c>
      <c r="CD699" s="27"/>
      <c r="CE699" s="27"/>
    </row>
    <row r="700" customFormat="false" ht="15" hidden="false" customHeight="false" outlineLevel="0" collapsed="false">
      <c r="A700" s="27"/>
      <c r="B700" s="27"/>
      <c r="C700" s="27"/>
      <c r="D700" s="27"/>
      <c r="E700" s="27"/>
      <c r="F700" s="27"/>
      <c r="G700" s="27"/>
      <c r="H700" s="27"/>
      <c r="I700" s="27"/>
      <c r="J700" s="28" t="str">
        <f aca="false">IF(AND(N(H700)&gt;0,N(I700)&gt;0),ROUND(I700/(H700/100)^2,1),"")</f>
        <v/>
      </c>
      <c r="K700" s="27"/>
      <c r="L700" s="27"/>
      <c r="M700" s="27"/>
      <c r="N700" s="27"/>
      <c r="O700" s="27"/>
      <c r="P700" s="27"/>
      <c r="Q700" s="27"/>
      <c r="R700" s="29"/>
      <c r="S700" s="29"/>
      <c r="T700" s="27"/>
      <c r="U700" s="28" t="str">
        <f aca="false">IF(N(T700)=0,"",IF(T700&lt;12,"Under 12 months",IF(T700&lt;36,"12-35 months",IF(T700&lt;60,"36-59 months","≥60 months"))))</f>
        <v/>
      </c>
      <c r="V700" s="27"/>
      <c r="W700" s="30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9"/>
      <c r="AT700" s="30"/>
      <c r="AU700" s="30"/>
      <c r="AV700" s="30"/>
      <c r="AW700" s="27"/>
      <c r="AX700" s="27"/>
      <c r="AY700" s="29"/>
      <c r="AZ700" s="27"/>
      <c r="BA700" s="27"/>
      <c r="BB700" s="29"/>
      <c r="BC700" s="30"/>
      <c r="BD700" s="30"/>
      <c r="BE700" s="30"/>
      <c r="BF700" s="27"/>
      <c r="BG700" s="27"/>
      <c r="BH700" s="28" t="str">
        <f aca="false">IF(COUNT(BC700:BE700)=0,"",IF(MIN(BC700:BE700)&lt;=-2.5,"Yes","No"))</f>
        <v/>
      </c>
      <c r="BI700" s="27"/>
      <c r="BJ700" s="29"/>
      <c r="BK700" s="27"/>
      <c r="BL700" s="27"/>
      <c r="BM700" s="27"/>
      <c r="BN700" s="28" t="str">
        <f aca="false">IF(OR(AX700="Yes",BI700="Yes"),"Yes",IF(AND(AX700="No",BI700="No"),"No",IF(AND(AX700="",BI700=""),"","Unknown")))</f>
        <v/>
      </c>
      <c r="BO700" s="31" t="str">
        <f aca="false">IF(COUNT(AY700,BJ700)=0,"",MIN(AY700,BJ700))</f>
        <v/>
      </c>
      <c r="BP700" s="29"/>
      <c r="BQ700" s="29"/>
      <c r="BR700" s="29"/>
      <c r="BS700" s="28" t="str">
        <f aca="false">IF(AND(N(BP700)&gt;0,N(BR700)&gt;0),BR700-BP700,"")</f>
        <v/>
      </c>
      <c r="BT700" s="28" t="str">
        <f aca="false">IF(BS700="","",ROUND(BS700/365.25,2))</f>
        <v/>
      </c>
      <c r="BU700" s="28" t="str">
        <f aca="false">IF(BS700="","",IF(BS700&gt;=730.5,"Yes","No"))</f>
        <v/>
      </c>
      <c r="BV700" s="27"/>
      <c r="BW700" s="29"/>
      <c r="BX700" s="27"/>
      <c r="BY700" s="27"/>
      <c r="BZ700" s="28" t="str">
        <f aca="false">IF(N(E700)=0,"",IF(E700&lt;65,"Under 65","≥65"))</f>
        <v/>
      </c>
      <c r="CA700" s="28" t="str">
        <f aca="false">IF(OR(AC700="Yes",AC700="No"),AC700,"")</f>
        <v/>
      </c>
      <c r="CB700" s="28" t="str">
        <f aca="false">IF(OR(AD700="Yes",AD700="No"),AD700,"")</f>
        <v/>
      </c>
      <c r="CC700" s="28" t="str">
        <f aca="false">IF(F700="","",F700)</f>
        <v/>
      </c>
      <c r="CD700" s="27"/>
      <c r="CE700" s="27"/>
    </row>
    <row r="701" customFormat="false" ht="15" hidden="false" customHeight="false" outlineLevel="0" collapsed="false">
      <c r="A701" s="27"/>
      <c r="B701" s="27"/>
      <c r="C701" s="27"/>
      <c r="D701" s="27"/>
      <c r="E701" s="27"/>
      <c r="F701" s="27"/>
      <c r="G701" s="27"/>
      <c r="H701" s="27"/>
      <c r="I701" s="27"/>
      <c r="J701" s="28" t="str">
        <f aca="false">IF(AND(N(H701)&gt;0,N(I701)&gt;0),ROUND(I701/(H701/100)^2,1),"")</f>
        <v/>
      </c>
      <c r="K701" s="27"/>
      <c r="L701" s="27"/>
      <c r="M701" s="27"/>
      <c r="N701" s="27"/>
      <c r="O701" s="27"/>
      <c r="P701" s="27"/>
      <c r="Q701" s="27"/>
      <c r="R701" s="29"/>
      <c r="S701" s="29"/>
      <c r="T701" s="27"/>
      <c r="U701" s="28" t="str">
        <f aca="false">IF(N(T701)=0,"",IF(T701&lt;12,"Under 12 months",IF(T701&lt;36,"12-35 months",IF(T701&lt;60,"36-59 months","≥60 months"))))</f>
        <v/>
      </c>
      <c r="V701" s="27"/>
      <c r="W701" s="30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9"/>
      <c r="AT701" s="30"/>
      <c r="AU701" s="30"/>
      <c r="AV701" s="30"/>
      <c r="AW701" s="27"/>
      <c r="AX701" s="27"/>
      <c r="AY701" s="29"/>
      <c r="AZ701" s="27"/>
      <c r="BA701" s="27"/>
      <c r="BB701" s="29"/>
      <c r="BC701" s="30"/>
      <c r="BD701" s="30"/>
      <c r="BE701" s="30"/>
      <c r="BF701" s="27"/>
      <c r="BG701" s="27"/>
      <c r="BH701" s="28" t="str">
        <f aca="false">IF(COUNT(BC701:BE701)=0,"",IF(MIN(BC701:BE701)&lt;=-2.5,"Yes","No"))</f>
        <v/>
      </c>
      <c r="BI701" s="27"/>
      <c r="BJ701" s="29"/>
      <c r="BK701" s="27"/>
      <c r="BL701" s="27"/>
      <c r="BM701" s="27"/>
      <c r="BN701" s="28" t="str">
        <f aca="false">IF(OR(AX701="Yes",BI701="Yes"),"Yes",IF(AND(AX701="No",BI701="No"),"No",IF(AND(AX701="",BI701=""),"","Unknown")))</f>
        <v/>
      </c>
      <c r="BO701" s="31" t="str">
        <f aca="false">IF(COUNT(AY701,BJ701)=0,"",MIN(AY701,BJ701))</f>
        <v/>
      </c>
      <c r="BP701" s="29"/>
      <c r="BQ701" s="29"/>
      <c r="BR701" s="29"/>
      <c r="BS701" s="28" t="str">
        <f aca="false">IF(AND(N(BP701)&gt;0,N(BR701)&gt;0),BR701-BP701,"")</f>
        <v/>
      </c>
      <c r="BT701" s="28" t="str">
        <f aca="false">IF(BS701="","",ROUND(BS701/365.25,2))</f>
        <v/>
      </c>
      <c r="BU701" s="28" t="str">
        <f aca="false">IF(BS701="","",IF(BS701&gt;=730.5,"Yes","No"))</f>
        <v/>
      </c>
      <c r="BV701" s="27"/>
      <c r="BW701" s="29"/>
      <c r="BX701" s="27"/>
      <c r="BY701" s="27"/>
      <c r="BZ701" s="28" t="str">
        <f aca="false">IF(N(E701)=0,"",IF(E701&lt;65,"Under 65","≥65"))</f>
        <v/>
      </c>
      <c r="CA701" s="28" t="str">
        <f aca="false">IF(OR(AC701="Yes",AC701="No"),AC701,"")</f>
        <v/>
      </c>
      <c r="CB701" s="28" t="str">
        <f aca="false">IF(OR(AD701="Yes",AD701="No"),AD701,"")</f>
        <v/>
      </c>
      <c r="CC701" s="28" t="str">
        <f aca="false">IF(F701="","",F701)</f>
        <v/>
      </c>
      <c r="CD701" s="27"/>
      <c r="CE701" s="27"/>
    </row>
    <row r="702" customFormat="false" ht="15" hidden="false" customHeight="false" outlineLevel="0" collapsed="false">
      <c r="A702" s="27"/>
      <c r="B702" s="27"/>
      <c r="C702" s="27"/>
      <c r="D702" s="27"/>
      <c r="E702" s="27"/>
      <c r="F702" s="27"/>
      <c r="G702" s="27"/>
      <c r="H702" s="27"/>
      <c r="I702" s="27"/>
      <c r="J702" s="28" t="str">
        <f aca="false">IF(AND(N(H702)&gt;0,N(I702)&gt;0),ROUND(I702/(H702/100)^2,1),"")</f>
        <v/>
      </c>
      <c r="K702" s="27"/>
      <c r="L702" s="27"/>
      <c r="M702" s="27"/>
      <c r="N702" s="27"/>
      <c r="O702" s="27"/>
      <c r="P702" s="27"/>
      <c r="Q702" s="27"/>
      <c r="R702" s="29"/>
      <c r="S702" s="29"/>
      <c r="T702" s="27"/>
      <c r="U702" s="28" t="str">
        <f aca="false">IF(N(T702)=0,"",IF(T702&lt;12,"Under 12 months",IF(T702&lt;36,"12-35 months",IF(T702&lt;60,"36-59 months","≥60 months"))))</f>
        <v/>
      </c>
      <c r="V702" s="27"/>
      <c r="W702" s="30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9"/>
      <c r="AT702" s="30"/>
      <c r="AU702" s="30"/>
      <c r="AV702" s="30"/>
      <c r="AW702" s="27"/>
      <c r="AX702" s="27"/>
      <c r="AY702" s="29"/>
      <c r="AZ702" s="27"/>
      <c r="BA702" s="27"/>
      <c r="BB702" s="29"/>
      <c r="BC702" s="30"/>
      <c r="BD702" s="30"/>
      <c r="BE702" s="30"/>
      <c r="BF702" s="27"/>
      <c r="BG702" s="27"/>
      <c r="BH702" s="28" t="str">
        <f aca="false">IF(COUNT(BC702:BE702)=0,"",IF(MIN(BC702:BE702)&lt;=-2.5,"Yes","No"))</f>
        <v/>
      </c>
      <c r="BI702" s="27"/>
      <c r="BJ702" s="29"/>
      <c r="BK702" s="27"/>
      <c r="BL702" s="27"/>
      <c r="BM702" s="27"/>
      <c r="BN702" s="28" t="str">
        <f aca="false">IF(OR(AX702="Yes",BI702="Yes"),"Yes",IF(AND(AX702="No",BI702="No"),"No",IF(AND(AX702="",BI702=""),"","Unknown")))</f>
        <v/>
      </c>
      <c r="BO702" s="31" t="str">
        <f aca="false">IF(COUNT(AY702,BJ702)=0,"",MIN(AY702,BJ702))</f>
        <v/>
      </c>
      <c r="BP702" s="29"/>
      <c r="BQ702" s="29"/>
      <c r="BR702" s="29"/>
      <c r="BS702" s="28" t="str">
        <f aca="false">IF(AND(N(BP702)&gt;0,N(BR702)&gt;0),BR702-BP702,"")</f>
        <v/>
      </c>
      <c r="BT702" s="28" t="str">
        <f aca="false">IF(BS702="","",ROUND(BS702/365.25,2))</f>
        <v/>
      </c>
      <c r="BU702" s="28" t="str">
        <f aca="false">IF(BS702="","",IF(BS702&gt;=730.5,"Yes","No"))</f>
        <v/>
      </c>
      <c r="BV702" s="27"/>
      <c r="BW702" s="29"/>
      <c r="BX702" s="27"/>
      <c r="BY702" s="27"/>
      <c r="BZ702" s="28" t="str">
        <f aca="false">IF(N(E702)=0,"",IF(E702&lt;65,"Under 65","≥65"))</f>
        <v/>
      </c>
      <c r="CA702" s="28" t="str">
        <f aca="false">IF(OR(AC702="Yes",AC702="No"),AC702,"")</f>
        <v/>
      </c>
      <c r="CB702" s="28" t="str">
        <f aca="false">IF(OR(AD702="Yes",AD702="No"),AD702,"")</f>
        <v/>
      </c>
      <c r="CC702" s="28" t="str">
        <f aca="false">IF(F702="","",F702)</f>
        <v/>
      </c>
      <c r="CD702" s="27"/>
      <c r="CE702" s="27"/>
    </row>
    <row r="703" customFormat="false" ht="15" hidden="false" customHeight="false" outlineLevel="0" collapsed="false">
      <c r="A703" s="27"/>
      <c r="B703" s="27"/>
      <c r="C703" s="27"/>
      <c r="D703" s="27"/>
      <c r="E703" s="27"/>
      <c r="F703" s="27"/>
      <c r="G703" s="27"/>
      <c r="H703" s="27"/>
      <c r="I703" s="27"/>
      <c r="J703" s="28" t="str">
        <f aca="false">IF(AND(N(H703)&gt;0,N(I703)&gt;0),ROUND(I703/(H703/100)^2,1),"")</f>
        <v/>
      </c>
      <c r="K703" s="27"/>
      <c r="L703" s="27"/>
      <c r="M703" s="27"/>
      <c r="N703" s="27"/>
      <c r="O703" s="27"/>
      <c r="P703" s="27"/>
      <c r="Q703" s="27"/>
      <c r="R703" s="29"/>
      <c r="S703" s="29"/>
      <c r="T703" s="27"/>
      <c r="U703" s="28" t="str">
        <f aca="false">IF(N(T703)=0,"",IF(T703&lt;12,"Under 12 months",IF(T703&lt;36,"12-35 months",IF(T703&lt;60,"36-59 months","≥60 months"))))</f>
        <v/>
      </c>
      <c r="V703" s="27"/>
      <c r="W703" s="30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9"/>
      <c r="AT703" s="30"/>
      <c r="AU703" s="30"/>
      <c r="AV703" s="30"/>
      <c r="AW703" s="27"/>
      <c r="AX703" s="27"/>
      <c r="AY703" s="29"/>
      <c r="AZ703" s="27"/>
      <c r="BA703" s="27"/>
      <c r="BB703" s="29"/>
      <c r="BC703" s="30"/>
      <c r="BD703" s="30"/>
      <c r="BE703" s="30"/>
      <c r="BF703" s="27"/>
      <c r="BG703" s="27"/>
      <c r="BH703" s="28" t="str">
        <f aca="false">IF(COUNT(BC703:BE703)=0,"",IF(MIN(BC703:BE703)&lt;=-2.5,"Yes","No"))</f>
        <v/>
      </c>
      <c r="BI703" s="27"/>
      <c r="BJ703" s="29"/>
      <c r="BK703" s="27"/>
      <c r="BL703" s="27"/>
      <c r="BM703" s="27"/>
      <c r="BN703" s="28" t="str">
        <f aca="false">IF(OR(AX703="Yes",BI703="Yes"),"Yes",IF(AND(AX703="No",BI703="No"),"No",IF(AND(AX703="",BI703=""),"","Unknown")))</f>
        <v/>
      </c>
      <c r="BO703" s="31" t="str">
        <f aca="false">IF(COUNT(AY703,BJ703)=0,"",MIN(AY703,BJ703))</f>
        <v/>
      </c>
      <c r="BP703" s="29"/>
      <c r="BQ703" s="29"/>
      <c r="BR703" s="29"/>
      <c r="BS703" s="28" t="str">
        <f aca="false">IF(AND(N(BP703)&gt;0,N(BR703)&gt;0),BR703-BP703,"")</f>
        <v/>
      </c>
      <c r="BT703" s="28" t="str">
        <f aca="false">IF(BS703="","",ROUND(BS703/365.25,2))</f>
        <v/>
      </c>
      <c r="BU703" s="28" t="str">
        <f aca="false">IF(BS703="","",IF(BS703&gt;=730.5,"Yes","No"))</f>
        <v/>
      </c>
      <c r="BV703" s="27"/>
      <c r="BW703" s="29"/>
      <c r="BX703" s="27"/>
      <c r="BY703" s="27"/>
      <c r="BZ703" s="28" t="str">
        <f aca="false">IF(N(E703)=0,"",IF(E703&lt;65,"Under 65","≥65"))</f>
        <v/>
      </c>
      <c r="CA703" s="28" t="str">
        <f aca="false">IF(OR(AC703="Yes",AC703="No"),AC703,"")</f>
        <v/>
      </c>
      <c r="CB703" s="28" t="str">
        <f aca="false">IF(OR(AD703="Yes",AD703="No"),AD703,"")</f>
        <v/>
      </c>
      <c r="CC703" s="28" t="str">
        <f aca="false">IF(F703="","",F703)</f>
        <v/>
      </c>
      <c r="CD703" s="27"/>
      <c r="CE703" s="27"/>
    </row>
    <row r="704" customFormat="false" ht="15" hidden="false" customHeight="false" outlineLevel="0" collapsed="false">
      <c r="A704" s="27"/>
      <c r="B704" s="27"/>
      <c r="C704" s="27"/>
      <c r="D704" s="27"/>
      <c r="E704" s="27"/>
      <c r="F704" s="27"/>
      <c r="G704" s="27"/>
      <c r="H704" s="27"/>
      <c r="I704" s="27"/>
      <c r="J704" s="28" t="str">
        <f aca="false">IF(AND(N(H704)&gt;0,N(I704)&gt;0),ROUND(I704/(H704/100)^2,1),"")</f>
        <v/>
      </c>
      <c r="K704" s="27"/>
      <c r="L704" s="27"/>
      <c r="M704" s="27"/>
      <c r="N704" s="27"/>
      <c r="O704" s="27"/>
      <c r="P704" s="27"/>
      <c r="Q704" s="27"/>
      <c r="R704" s="29"/>
      <c r="S704" s="29"/>
      <c r="T704" s="27"/>
      <c r="U704" s="28" t="str">
        <f aca="false">IF(N(T704)=0,"",IF(T704&lt;12,"Under 12 months",IF(T704&lt;36,"12-35 months",IF(T704&lt;60,"36-59 months","≥60 months"))))</f>
        <v/>
      </c>
      <c r="V704" s="27"/>
      <c r="W704" s="30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9"/>
      <c r="AT704" s="30"/>
      <c r="AU704" s="30"/>
      <c r="AV704" s="30"/>
      <c r="AW704" s="27"/>
      <c r="AX704" s="27"/>
      <c r="AY704" s="29"/>
      <c r="AZ704" s="27"/>
      <c r="BA704" s="27"/>
      <c r="BB704" s="29"/>
      <c r="BC704" s="30"/>
      <c r="BD704" s="30"/>
      <c r="BE704" s="30"/>
      <c r="BF704" s="27"/>
      <c r="BG704" s="27"/>
      <c r="BH704" s="28" t="str">
        <f aca="false">IF(COUNT(BC704:BE704)=0,"",IF(MIN(BC704:BE704)&lt;=-2.5,"Yes","No"))</f>
        <v/>
      </c>
      <c r="BI704" s="27"/>
      <c r="BJ704" s="29"/>
      <c r="BK704" s="27"/>
      <c r="BL704" s="27"/>
      <c r="BM704" s="27"/>
      <c r="BN704" s="28" t="str">
        <f aca="false">IF(OR(AX704="Yes",BI704="Yes"),"Yes",IF(AND(AX704="No",BI704="No"),"No",IF(AND(AX704="",BI704=""),"","Unknown")))</f>
        <v/>
      </c>
      <c r="BO704" s="31" t="str">
        <f aca="false">IF(COUNT(AY704,BJ704)=0,"",MIN(AY704,BJ704))</f>
        <v/>
      </c>
      <c r="BP704" s="29"/>
      <c r="BQ704" s="29"/>
      <c r="BR704" s="29"/>
      <c r="BS704" s="28" t="str">
        <f aca="false">IF(AND(N(BP704)&gt;0,N(BR704)&gt;0),BR704-BP704,"")</f>
        <v/>
      </c>
      <c r="BT704" s="28" t="str">
        <f aca="false">IF(BS704="","",ROUND(BS704/365.25,2))</f>
        <v/>
      </c>
      <c r="BU704" s="28" t="str">
        <f aca="false">IF(BS704="","",IF(BS704&gt;=730.5,"Yes","No"))</f>
        <v/>
      </c>
      <c r="BV704" s="27"/>
      <c r="BW704" s="29"/>
      <c r="BX704" s="27"/>
      <c r="BY704" s="27"/>
      <c r="BZ704" s="28" t="str">
        <f aca="false">IF(N(E704)=0,"",IF(E704&lt;65,"Under 65","≥65"))</f>
        <v/>
      </c>
      <c r="CA704" s="28" t="str">
        <f aca="false">IF(OR(AC704="Yes",AC704="No"),AC704,"")</f>
        <v/>
      </c>
      <c r="CB704" s="28" t="str">
        <f aca="false">IF(OR(AD704="Yes",AD704="No"),AD704,"")</f>
        <v/>
      </c>
      <c r="CC704" s="28" t="str">
        <f aca="false">IF(F704="","",F704)</f>
        <v/>
      </c>
      <c r="CD704" s="27"/>
      <c r="CE704" s="27"/>
    </row>
    <row r="705" customFormat="false" ht="15" hidden="false" customHeight="false" outlineLevel="0" collapsed="false">
      <c r="A705" s="27"/>
      <c r="B705" s="27"/>
      <c r="C705" s="27"/>
      <c r="D705" s="27"/>
      <c r="E705" s="27"/>
      <c r="F705" s="27"/>
      <c r="G705" s="27"/>
      <c r="H705" s="27"/>
      <c r="I705" s="27"/>
      <c r="J705" s="28" t="str">
        <f aca="false">IF(AND(N(H705)&gt;0,N(I705)&gt;0),ROUND(I705/(H705/100)^2,1),"")</f>
        <v/>
      </c>
      <c r="K705" s="27"/>
      <c r="L705" s="27"/>
      <c r="M705" s="27"/>
      <c r="N705" s="27"/>
      <c r="O705" s="27"/>
      <c r="P705" s="27"/>
      <c r="Q705" s="27"/>
      <c r="R705" s="29"/>
      <c r="S705" s="29"/>
      <c r="T705" s="27"/>
      <c r="U705" s="28" t="str">
        <f aca="false">IF(N(T705)=0,"",IF(T705&lt;12,"Under 12 months",IF(T705&lt;36,"12-35 months",IF(T705&lt;60,"36-59 months","≥60 months"))))</f>
        <v/>
      </c>
      <c r="V705" s="27"/>
      <c r="W705" s="30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9"/>
      <c r="AT705" s="30"/>
      <c r="AU705" s="30"/>
      <c r="AV705" s="30"/>
      <c r="AW705" s="27"/>
      <c r="AX705" s="27"/>
      <c r="AY705" s="29"/>
      <c r="AZ705" s="27"/>
      <c r="BA705" s="27"/>
      <c r="BB705" s="29"/>
      <c r="BC705" s="30"/>
      <c r="BD705" s="30"/>
      <c r="BE705" s="30"/>
      <c r="BF705" s="27"/>
      <c r="BG705" s="27"/>
      <c r="BH705" s="28" t="str">
        <f aca="false">IF(COUNT(BC705:BE705)=0,"",IF(MIN(BC705:BE705)&lt;=-2.5,"Yes","No"))</f>
        <v/>
      </c>
      <c r="BI705" s="27"/>
      <c r="BJ705" s="29"/>
      <c r="BK705" s="27"/>
      <c r="BL705" s="27"/>
      <c r="BM705" s="27"/>
      <c r="BN705" s="28" t="str">
        <f aca="false">IF(OR(AX705="Yes",BI705="Yes"),"Yes",IF(AND(AX705="No",BI705="No"),"No",IF(AND(AX705="",BI705=""),"","Unknown")))</f>
        <v/>
      </c>
      <c r="BO705" s="31" t="str">
        <f aca="false">IF(COUNT(AY705,BJ705)=0,"",MIN(AY705,BJ705))</f>
        <v/>
      </c>
      <c r="BP705" s="29"/>
      <c r="BQ705" s="29"/>
      <c r="BR705" s="29"/>
      <c r="BS705" s="28" t="str">
        <f aca="false">IF(AND(N(BP705)&gt;0,N(BR705)&gt;0),BR705-BP705,"")</f>
        <v/>
      </c>
      <c r="BT705" s="28" t="str">
        <f aca="false">IF(BS705="","",ROUND(BS705/365.25,2))</f>
        <v/>
      </c>
      <c r="BU705" s="28" t="str">
        <f aca="false">IF(BS705="","",IF(BS705&gt;=730.5,"Yes","No"))</f>
        <v/>
      </c>
      <c r="BV705" s="27"/>
      <c r="BW705" s="29"/>
      <c r="BX705" s="27"/>
      <c r="BY705" s="27"/>
      <c r="BZ705" s="28" t="str">
        <f aca="false">IF(N(E705)=0,"",IF(E705&lt;65,"Under 65","≥65"))</f>
        <v/>
      </c>
      <c r="CA705" s="28" t="str">
        <f aca="false">IF(OR(AC705="Yes",AC705="No"),AC705,"")</f>
        <v/>
      </c>
      <c r="CB705" s="28" t="str">
        <f aca="false">IF(OR(AD705="Yes",AD705="No"),AD705,"")</f>
        <v/>
      </c>
      <c r="CC705" s="28" t="str">
        <f aca="false">IF(F705="","",F705)</f>
        <v/>
      </c>
      <c r="CD705" s="27"/>
      <c r="CE705" s="27"/>
    </row>
    <row r="706" customFormat="false" ht="15" hidden="false" customHeight="false" outlineLevel="0" collapsed="false">
      <c r="A706" s="27"/>
      <c r="B706" s="27"/>
      <c r="C706" s="27"/>
      <c r="D706" s="27"/>
      <c r="E706" s="27"/>
      <c r="F706" s="27"/>
      <c r="G706" s="27"/>
      <c r="H706" s="27"/>
      <c r="I706" s="27"/>
      <c r="J706" s="28" t="str">
        <f aca="false">IF(AND(N(H706)&gt;0,N(I706)&gt;0),ROUND(I706/(H706/100)^2,1),"")</f>
        <v/>
      </c>
      <c r="K706" s="27"/>
      <c r="L706" s="27"/>
      <c r="M706" s="27"/>
      <c r="N706" s="27"/>
      <c r="O706" s="27"/>
      <c r="P706" s="27"/>
      <c r="Q706" s="27"/>
      <c r="R706" s="29"/>
      <c r="S706" s="29"/>
      <c r="T706" s="27"/>
      <c r="U706" s="28" t="str">
        <f aca="false">IF(N(T706)=0,"",IF(T706&lt;12,"Under 12 months",IF(T706&lt;36,"12-35 months",IF(T706&lt;60,"36-59 months","≥60 months"))))</f>
        <v/>
      </c>
      <c r="V706" s="27"/>
      <c r="W706" s="30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9"/>
      <c r="AT706" s="30"/>
      <c r="AU706" s="30"/>
      <c r="AV706" s="30"/>
      <c r="AW706" s="27"/>
      <c r="AX706" s="27"/>
      <c r="AY706" s="29"/>
      <c r="AZ706" s="27"/>
      <c r="BA706" s="27"/>
      <c r="BB706" s="29"/>
      <c r="BC706" s="30"/>
      <c r="BD706" s="30"/>
      <c r="BE706" s="30"/>
      <c r="BF706" s="27"/>
      <c r="BG706" s="27"/>
      <c r="BH706" s="28" t="str">
        <f aca="false">IF(COUNT(BC706:BE706)=0,"",IF(MIN(BC706:BE706)&lt;=-2.5,"Yes","No"))</f>
        <v/>
      </c>
      <c r="BI706" s="27"/>
      <c r="BJ706" s="29"/>
      <c r="BK706" s="27"/>
      <c r="BL706" s="27"/>
      <c r="BM706" s="27"/>
      <c r="BN706" s="28" t="str">
        <f aca="false">IF(OR(AX706="Yes",BI706="Yes"),"Yes",IF(AND(AX706="No",BI706="No"),"No",IF(AND(AX706="",BI706=""),"","Unknown")))</f>
        <v/>
      </c>
      <c r="BO706" s="31" t="str">
        <f aca="false">IF(COUNT(AY706,BJ706)=0,"",MIN(AY706,BJ706))</f>
        <v/>
      </c>
      <c r="BP706" s="29"/>
      <c r="BQ706" s="29"/>
      <c r="BR706" s="29"/>
      <c r="BS706" s="28" t="str">
        <f aca="false">IF(AND(N(BP706)&gt;0,N(BR706)&gt;0),BR706-BP706,"")</f>
        <v/>
      </c>
      <c r="BT706" s="28" t="str">
        <f aca="false">IF(BS706="","",ROUND(BS706/365.25,2))</f>
        <v/>
      </c>
      <c r="BU706" s="28" t="str">
        <f aca="false">IF(BS706="","",IF(BS706&gt;=730.5,"Yes","No"))</f>
        <v/>
      </c>
      <c r="BV706" s="27"/>
      <c r="BW706" s="29"/>
      <c r="BX706" s="27"/>
      <c r="BY706" s="27"/>
      <c r="BZ706" s="28" t="str">
        <f aca="false">IF(N(E706)=0,"",IF(E706&lt;65,"Under 65","≥65"))</f>
        <v/>
      </c>
      <c r="CA706" s="28" t="str">
        <f aca="false">IF(OR(AC706="Yes",AC706="No"),AC706,"")</f>
        <v/>
      </c>
      <c r="CB706" s="28" t="str">
        <f aca="false">IF(OR(AD706="Yes",AD706="No"),AD706,"")</f>
        <v/>
      </c>
      <c r="CC706" s="28" t="str">
        <f aca="false">IF(F706="","",F706)</f>
        <v/>
      </c>
      <c r="CD706" s="27"/>
      <c r="CE706" s="27"/>
    </row>
    <row r="707" customFormat="false" ht="15" hidden="false" customHeight="false" outlineLevel="0" collapsed="false">
      <c r="A707" s="27"/>
      <c r="B707" s="27"/>
      <c r="C707" s="27"/>
      <c r="D707" s="27"/>
      <c r="E707" s="27"/>
      <c r="F707" s="27"/>
      <c r="G707" s="27"/>
      <c r="H707" s="27"/>
      <c r="I707" s="27"/>
      <c r="J707" s="28" t="str">
        <f aca="false">IF(AND(N(H707)&gt;0,N(I707)&gt;0),ROUND(I707/(H707/100)^2,1),"")</f>
        <v/>
      </c>
      <c r="K707" s="27"/>
      <c r="L707" s="27"/>
      <c r="M707" s="27"/>
      <c r="N707" s="27"/>
      <c r="O707" s="27"/>
      <c r="P707" s="27"/>
      <c r="Q707" s="27"/>
      <c r="R707" s="29"/>
      <c r="S707" s="29"/>
      <c r="T707" s="27"/>
      <c r="U707" s="28" t="str">
        <f aca="false">IF(N(T707)=0,"",IF(T707&lt;12,"Under 12 months",IF(T707&lt;36,"12-35 months",IF(T707&lt;60,"36-59 months","≥60 months"))))</f>
        <v/>
      </c>
      <c r="V707" s="27"/>
      <c r="W707" s="30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9"/>
      <c r="AT707" s="30"/>
      <c r="AU707" s="30"/>
      <c r="AV707" s="30"/>
      <c r="AW707" s="27"/>
      <c r="AX707" s="27"/>
      <c r="AY707" s="29"/>
      <c r="AZ707" s="27"/>
      <c r="BA707" s="27"/>
      <c r="BB707" s="29"/>
      <c r="BC707" s="30"/>
      <c r="BD707" s="30"/>
      <c r="BE707" s="30"/>
      <c r="BF707" s="27"/>
      <c r="BG707" s="27"/>
      <c r="BH707" s="28" t="str">
        <f aca="false">IF(COUNT(BC707:BE707)=0,"",IF(MIN(BC707:BE707)&lt;=-2.5,"Yes","No"))</f>
        <v/>
      </c>
      <c r="BI707" s="27"/>
      <c r="BJ707" s="29"/>
      <c r="BK707" s="27"/>
      <c r="BL707" s="27"/>
      <c r="BM707" s="27"/>
      <c r="BN707" s="28" t="str">
        <f aca="false">IF(OR(AX707="Yes",BI707="Yes"),"Yes",IF(AND(AX707="No",BI707="No"),"No",IF(AND(AX707="",BI707=""),"","Unknown")))</f>
        <v/>
      </c>
      <c r="BO707" s="31" t="str">
        <f aca="false">IF(COUNT(AY707,BJ707)=0,"",MIN(AY707,BJ707))</f>
        <v/>
      </c>
      <c r="BP707" s="29"/>
      <c r="BQ707" s="29"/>
      <c r="BR707" s="29"/>
      <c r="BS707" s="28" t="str">
        <f aca="false">IF(AND(N(BP707)&gt;0,N(BR707)&gt;0),BR707-BP707,"")</f>
        <v/>
      </c>
      <c r="BT707" s="28" t="str">
        <f aca="false">IF(BS707="","",ROUND(BS707/365.25,2))</f>
        <v/>
      </c>
      <c r="BU707" s="28" t="str">
        <f aca="false">IF(BS707="","",IF(BS707&gt;=730.5,"Yes","No"))</f>
        <v/>
      </c>
      <c r="BV707" s="27"/>
      <c r="BW707" s="29"/>
      <c r="BX707" s="27"/>
      <c r="BY707" s="27"/>
      <c r="BZ707" s="28" t="str">
        <f aca="false">IF(N(E707)=0,"",IF(E707&lt;65,"Under 65","≥65"))</f>
        <v/>
      </c>
      <c r="CA707" s="28" t="str">
        <f aca="false">IF(OR(AC707="Yes",AC707="No"),AC707,"")</f>
        <v/>
      </c>
      <c r="CB707" s="28" t="str">
        <f aca="false">IF(OR(AD707="Yes",AD707="No"),AD707,"")</f>
        <v/>
      </c>
      <c r="CC707" s="28" t="str">
        <f aca="false">IF(F707="","",F707)</f>
        <v/>
      </c>
      <c r="CD707" s="27"/>
      <c r="CE707" s="27"/>
    </row>
    <row r="708" customFormat="false" ht="15" hidden="false" customHeight="false" outlineLevel="0" collapsed="false">
      <c r="A708" s="27"/>
      <c r="B708" s="27"/>
      <c r="C708" s="27"/>
      <c r="D708" s="27"/>
      <c r="E708" s="27"/>
      <c r="F708" s="27"/>
      <c r="G708" s="27"/>
      <c r="H708" s="27"/>
      <c r="I708" s="27"/>
      <c r="J708" s="28" t="str">
        <f aca="false">IF(AND(N(H708)&gt;0,N(I708)&gt;0),ROUND(I708/(H708/100)^2,1),"")</f>
        <v/>
      </c>
      <c r="K708" s="27"/>
      <c r="L708" s="27"/>
      <c r="M708" s="27"/>
      <c r="N708" s="27"/>
      <c r="O708" s="27"/>
      <c r="P708" s="27"/>
      <c r="Q708" s="27"/>
      <c r="R708" s="29"/>
      <c r="S708" s="29"/>
      <c r="T708" s="27"/>
      <c r="U708" s="28" t="str">
        <f aca="false">IF(N(T708)=0,"",IF(T708&lt;12,"Under 12 months",IF(T708&lt;36,"12-35 months",IF(T708&lt;60,"36-59 months","≥60 months"))))</f>
        <v/>
      </c>
      <c r="V708" s="27"/>
      <c r="W708" s="30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9"/>
      <c r="AT708" s="30"/>
      <c r="AU708" s="30"/>
      <c r="AV708" s="30"/>
      <c r="AW708" s="27"/>
      <c r="AX708" s="27"/>
      <c r="AY708" s="29"/>
      <c r="AZ708" s="27"/>
      <c r="BA708" s="27"/>
      <c r="BB708" s="29"/>
      <c r="BC708" s="30"/>
      <c r="BD708" s="30"/>
      <c r="BE708" s="30"/>
      <c r="BF708" s="27"/>
      <c r="BG708" s="27"/>
      <c r="BH708" s="28" t="str">
        <f aca="false">IF(COUNT(BC708:BE708)=0,"",IF(MIN(BC708:BE708)&lt;=-2.5,"Yes","No"))</f>
        <v/>
      </c>
      <c r="BI708" s="27"/>
      <c r="BJ708" s="29"/>
      <c r="BK708" s="27"/>
      <c r="BL708" s="27"/>
      <c r="BM708" s="27"/>
      <c r="BN708" s="28" t="str">
        <f aca="false">IF(OR(AX708="Yes",BI708="Yes"),"Yes",IF(AND(AX708="No",BI708="No"),"No",IF(AND(AX708="",BI708=""),"","Unknown")))</f>
        <v/>
      </c>
      <c r="BO708" s="31" t="str">
        <f aca="false">IF(COUNT(AY708,BJ708)=0,"",MIN(AY708,BJ708))</f>
        <v/>
      </c>
      <c r="BP708" s="29"/>
      <c r="BQ708" s="29"/>
      <c r="BR708" s="29"/>
      <c r="BS708" s="28" t="str">
        <f aca="false">IF(AND(N(BP708)&gt;0,N(BR708)&gt;0),BR708-BP708,"")</f>
        <v/>
      </c>
      <c r="BT708" s="28" t="str">
        <f aca="false">IF(BS708="","",ROUND(BS708/365.25,2))</f>
        <v/>
      </c>
      <c r="BU708" s="28" t="str">
        <f aca="false">IF(BS708="","",IF(BS708&gt;=730.5,"Yes","No"))</f>
        <v/>
      </c>
      <c r="BV708" s="27"/>
      <c r="BW708" s="29"/>
      <c r="BX708" s="27"/>
      <c r="BY708" s="27"/>
      <c r="BZ708" s="28" t="str">
        <f aca="false">IF(N(E708)=0,"",IF(E708&lt;65,"Under 65","≥65"))</f>
        <v/>
      </c>
      <c r="CA708" s="28" t="str">
        <f aca="false">IF(OR(AC708="Yes",AC708="No"),AC708,"")</f>
        <v/>
      </c>
      <c r="CB708" s="28" t="str">
        <f aca="false">IF(OR(AD708="Yes",AD708="No"),AD708,"")</f>
        <v/>
      </c>
      <c r="CC708" s="28" t="str">
        <f aca="false">IF(F708="","",F708)</f>
        <v/>
      </c>
      <c r="CD708" s="27"/>
      <c r="CE708" s="27"/>
    </row>
    <row r="709" customFormat="false" ht="15" hidden="false" customHeight="false" outlineLevel="0" collapsed="false">
      <c r="A709" s="27"/>
      <c r="B709" s="27"/>
      <c r="C709" s="27"/>
      <c r="D709" s="27"/>
      <c r="E709" s="27"/>
      <c r="F709" s="27"/>
      <c r="G709" s="27"/>
      <c r="H709" s="27"/>
      <c r="I709" s="27"/>
      <c r="J709" s="28" t="str">
        <f aca="false">IF(AND(N(H709)&gt;0,N(I709)&gt;0),ROUND(I709/(H709/100)^2,1),"")</f>
        <v/>
      </c>
      <c r="K709" s="27"/>
      <c r="L709" s="27"/>
      <c r="M709" s="27"/>
      <c r="N709" s="27"/>
      <c r="O709" s="27"/>
      <c r="P709" s="27"/>
      <c r="Q709" s="27"/>
      <c r="R709" s="29"/>
      <c r="S709" s="29"/>
      <c r="T709" s="27"/>
      <c r="U709" s="28" t="str">
        <f aca="false">IF(N(T709)=0,"",IF(T709&lt;12,"Under 12 months",IF(T709&lt;36,"12-35 months",IF(T709&lt;60,"36-59 months","≥60 months"))))</f>
        <v/>
      </c>
      <c r="V709" s="27"/>
      <c r="W709" s="30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9"/>
      <c r="AT709" s="30"/>
      <c r="AU709" s="30"/>
      <c r="AV709" s="30"/>
      <c r="AW709" s="27"/>
      <c r="AX709" s="27"/>
      <c r="AY709" s="29"/>
      <c r="AZ709" s="27"/>
      <c r="BA709" s="27"/>
      <c r="BB709" s="29"/>
      <c r="BC709" s="30"/>
      <c r="BD709" s="30"/>
      <c r="BE709" s="30"/>
      <c r="BF709" s="27"/>
      <c r="BG709" s="27"/>
      <c r="BH709" s="28" t="str">
        <f aca="false">IF(COUNT(BC709:BE709)=0,"",IF(MIN(BC709:BE709)&lt;=-2.5,"Yes","No"))</f>
        <v/>
      </c>
      <c r="BI709" s="27"/>
      <c r="BJ709" s="29"/>
      <c r="BK709" s="27"/>
      <c r="BL709" s="27"/>
      <c r="BM709" s="27"/>
      <c r="BN709" s="28" t="str">
        <f aca="false">IF(OR(AX709="Yes",BI709="Yes"),"Yes",IF(AND(AX709="No",BI709="No"),"No",IF(AND(AX709="",BI709=""),"","Unknown")))</f>
        <v/>
      </c>
      <c r="BO709" s="31" t="str">
        <f aca="false">IF(COUNT(AY709,BJ709)=0,"",MIN(AY709,BJ709))</f>
        <v/>
      </c>
      <c r="BP709" s="29"/>
      <c r="BQ709" s="29"/>
      <c r="BR709" s="29"/>
      <c r="BS709" s="28" t="str">
        <f aca="false">IF(AND(N(BP709)&gt;0,N(BR709)&gt;0),BR709-BP709,"")</f>
        <v/>
      </c>
      <c r="BT709" s="28" t="str">
        <f aca="false">IF(BS709="","",ROUND(BS709/365.25,2))</f>
        <v/>
      </c>
      <c r="BU709" s="28" t="str">
        <f aca="false">IF(BS709="","",IF(BS709&gt;=730.5,"Yes","No"))</f>
        <v/>
      </c>
      <c r="BV709" s="27"/>
      <c r="BW709" s="29"/>
      <c r="BX709" s="27"/>
      <c r="BY709" s="27"/>
      <c r="BZ709" s="28" t="str">
        <f aca="false">IF(N(E709)=0,"",IF(E709&lt;65,"Under 65","≥65"))</f>
        <v/>
      </c>
      <c r="CA709" s="28" t="str">
        <f aca="false">IF(OR(AC709="Yes",AC709="No"),AC709,"")</f>
        <v/>
      </c>
      <c r="CB709" s="28" t="str">
        <f aca="false">IF(OR(AD709="Yes",AD709="No"),AD709,"")</f>
        <v/>
      </c>
      <c r="CC709" s="28" t="str">
        <f aca="false">IF(F709="","",F709)</f>
        <v/>
      </c>
      <c r="CD709" s="27"/>
      <c r="CE709" s="27"/>
    </row>
    <row r="710" customFormat="false" ht="15" hidden="false" customHeight="false" outlineLevel="0" collapsed="false">
      <c r="A710" s="27"/>
      <c r="B710" s="27"/>
      <c r="C710" s="27"/>
      <c r="D710" s="27"/>
      <c r="E710" s="27"/>
      <c r="F710" s="27"/>
      <c r="G710" s="27"/>
      <c r="H710" s="27"/>
      <c r="I710" s="27"/>
      <c r="J710" s="28" t="str">
        <f aca="false">IF(AND(N(H710)&gt;0,N(I710)&gt;0),ROUND(I710/(H710/100)^2,1),"")</f>
        <v/>
      </c>
      <c r="K710" s="27"/>
      <c r="L710" s="27"/>
      <c r="M710" s="27"/>
      <c r="N710" s="27"/>
      <c r="O710" s="27"/>
      <c r="P710" s="27"/>
      <c r="Q710" s="27"/>
      <c r="R710" s="29"/>
      <c r="S710" s="29"/>
      <c r="T710" s="27"/>
      <c r="U710" s="28" t="str">
        <f aca="false">IF(N(T710)=0,"",IF(T710&lt;12,"Under 12 months",IF(T710&lt;36,"12-35 months",IF(T710&lt;60,"36-59 months","≥60 months"))))</f>
        <v/>
      </c>
      <c r="V710" s="27"/>
      <c r="W710" s="30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9"/>
      <c r="AT710" s="30"/>
      <c r="AU710" s="30"/>
      <c r="AV710" s="30"/>
      <c r="AW710" s="27"/>
      <c r="AX710" s="27"/>
      <c r="AY710" s="29"/>
      <c r="AZ710" s="27"/>
      <c r="BA710" s="27"/>
      <c r="BB710" s="29"/>
      <c r="BC710" s="30"/>
      <c r="BD710" s="30"/>
      <c r="BE710" s="30"/>
      <c r="BF710" s="27"/>
      <c r="BG710" s="27"/>
      <c r="BH710" s="28" t="str">
        <f aca="false">IF(COUNT(BC710:BE710)=0,"",IF(MIN(BC710:BE710)&lt;=-2.5,"Yes","No"))</f>
        <v/>
      </c>
      <c r="BI710" s="27"/>
      <c r="BJ710" s="29"/>
      <c r="BK710" s="27"/>
      <c r="BL710" s="27"/>
      <c r="BM710" s="27"/>
      <c r="BN710" s="28" t="str">
        <f aca="false">IF(OR(AX710="Yes",BI710="Yes"),"Yes",IF(AND(AX710="No",BI710="No"),"No",IF(AND(AX710="",BI710=""),"","Unknown")))</f>
        <v/>
      </c>
      <c r="BO710" s="31" t="str">
        <f aca="false">IF(COUNT(AY710,BJ710)=0,"",MIN(AY710,BJ710))</f>
        <v/>
      </c>
      <c r="BP710" s="29"/>
      <c r="BQ710" s="29"/>
      <c r="BR710" s="29"/>
      <c r="BS710" s="28" t="str">
        <f aca="false">IF(AND(N(BP710)&gt;0,N(BR710)&gt;0),BR710-BP710,"")</f>
        <v/>
      </c>
      <c r="BT710" s="28" t="str">
        <f aca="false">IF(BS710="","",ROUND(BS710/365.25,2))</f>
        <v/>
      </c>
      <c r="BU710" s="28" t="str">
        <f aca="false">IF(BS710="","",IF(BS710&gt;=730.5,"Yes","No"))</f>
        <v/>
      </c>
      <c r="BV710" s="27"/>
      <c r="BW710" s="29"/>
      <c r="BX710" s="27"/>
      <c r="BY710" s="27"/>
      <c r="BZ710" s="28" t="str">
        <f aca="false">IF(N(E710)=0,"",IF(E710&lt;65,"Under 65","≥65"))</f>
        <v/>
      </c>
      <c r="CA710" s="28" t="str">
        <f aca="false">IF(OR(AC710="Yes",AC710="No"),AC710,"")</f>
        <v/>
      </c>
      <c r="CB710" s="28" t="str">
        <f aca="false">IF(OR(AD710="Yes",AD710="No"),AD710,"")</f>
        <v/>
      </c>
      <c r="CC710" s="28" t="str">
        <f aca="false">IF(F710="","",F710)</f>
        <v/>
      </c>
      <c r="CD710" s="27"/>
      <c r="CE710" s="27"/>
    </row>
    <row r="711" customFormat="false" ht="15" hidden="false" customHeight="false" outlineLevel="0" collapsed="false">
      <c r="A711" s="27"/>
      <c r="B711" s="27"/>
      <c r="C711" s="27"/>
      <c r="D711" s="27"/>
      <c r="E711" s="27"/>
      <c r="F711" s="27"/>
      <c r="G711" s="27"/>
      <c r="H711" s="27"/>
      <c r="I711" s="27"/>
      <c r="J711" s="28" t="str">
        <f aca="false">IF(AND(N(H711)&gt;0,N(I711)&gt;0),ROUND(I711/(H711/100)^2,1),"")</f>
        <v/>
      </c>
      <c r="K711" s="27"/>
      <c r="L711" s="27"/>
      <c r="M711" s="27"/>
      <c r="N711" s="27"/>
      <c r="O711" s="27"/>
      <c r="P711" s="27"/>
      <c r="Q711" s="27"/>
      <c r="R711" s="29"/>
      <c r="S711" s="29"/>
      <c r="T711" s="27"/>
      <c r="U711" s="28" t="str">
        <f aca="false">IF(N(T711)=0,"",IF(T711&lt;12,"Under 12 months",IF(T711&lt;36,"12-35 months",IF(T711&lt;60,"36-59 months","≥60 months"))))</f>
        <v/>
      </c>
      <c r="V711" s="27"/>
      <c r="W711" s="30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9"/>
      <c r="AT711" s="30"/>
      <c r="AU711" s="30"/>
      <c r="AV711" s="30"/>
      <c r="AW711" s="27"/>
      <c r="AX711" s="27"/>
      <c r="AY711" s="29"/>
      <c r="AZ711" s="27"/>
      <c r="BA711" s="27"/>
      <c r="BB711" s="29"/>
      <c r="BC711" s="30"/>
      <c r="BD711" s="30"/>
      <c r="BE711" s="30"/>
      <c r="BF711" s="27"/>
      <c r="BG711" s="27"/>
      <c r="BH711" s="28" t="str">
        <f aca="false">IF(COUNT(BC711:BE711)=0,"",IF(MIN(BC711:BE711)&lt;=-2.5,"Yes","No"))</f>
        <v/>
      </c>
      <c r="BI711" s="27"/>
      <c r="BJ711" s="29"/>
      <c r="BK711" s="27"/>
      <c r="BL711" s="27"/>
      <c r="BM711" s="27"/>
      <c r="BN711" s="28" t="str">
        <f aca="false">IF(OR(AX711="Yes",BI711="Yes"),"Yes",IF(AND(AX711="No",BI711="No"),"No",IF(AND(AX711="",BI711=""),"","Unknown")))</f>
        <v/>
      </c>
      <c r="BO711" s="31" t="str">
        <f aca="false">IF(COUNT(AY711,BJ711)=0,"",MIN(AY711,BJ711))</f>
        <v/>
      </c>
      <c r="BP711" s="29"/>
      <c r="BQ711" s="29"/>
      <c r="BR711" s="29"/>
      <c r="BS711" s="28" t="str">
        <f aca="false">IF(AND(N(BP711)&gt;0,N(BR711)&gt;0),BR711-BP711,"")</f>
        <v/>
      </c>
      <c r="BT711" s="28" t="str">
        <f aca="false">IF(BS711="","",ROUND(BS711/365.25,2))</f>
        <v/>
      </c>
      <c r="BU711" s="28" t="str">
        <f aca="false">IF(BS711="","",IF(BS711&gt;=730.5,"Yes","No"))</f>
        <v/>
      </c>
      <c r="BV711" s="27"/>
      <c r="BW711" s="29"/>
      <c r="BX711" s="27"/>
      <c r="BY711" s="27"/>
      <c r="BZ711" s="28" t="str">
        <f aca="false">IF(N(E711)=0,"",IF(E711&lt;65,"Under 65","≥65"))</f>
        <v/>
      </c>
      <c r="CA711" s="28" t="str">
        <f aca="false">IF(OR(AC711="Yes",AC711="No"),AC711,"")</f>
        <v/>
      </c>
      <c r="CB711" s="28" t="str">
        <f aca="false">IF(OR(AD711="Yes",AD711="No"),AD711,"")</f>
        <v/>
      </c>
      <c r="CC711" s="28" t="str">
        <f aca="false">IF(F711="","",F711)</f>
        <v/>
      </c>
      <c r="CD711" s="27"/>
      <c r="CE711" s="27"/>
    </row>
    <row r="712" customFormat="false" ht="15" hidden="false" customHeight="false" outlineLevel="0" collapsed="false">
      <c r="A712" s="27"/>
      <c r="B712" s="27"/>
      <c r="C712" s="27"/>
      <c r="D712" s="27"/>
      <c r="E712" s="27"/>
      <c r="F712" s="27"/>
      <c r="G712" s="27"/>
      <c r="H712" s="27"/>
      <c r="I712" s="27"/>
      <c r="J712" s="28" t="str">
        <f aca="false">IF(AND(N(H712)&gt;0,N(I712)&gt;0),ROUND(I712/(H712/100)^2,1),"")</f>
        <v/>
      </c>
      <c r="K712" s="27"/>
      <c r="L712" s="27"/>
      <c r="M712" s="27"/>
      <c r="N712" s="27"/>
      <c r="O712" s="27"/>
      <c r="P712" s="27"/>
      <c r="Q712" s="27"/>
      <c r="R712" s="29"/>
      <c r="S712" s="29"/>
      <c r="T712" s="27"/>
      <c r="U712" s="28" t="str">
        <f aca="false">IF(N(T712)=0,"",IF(T712&lt;12,"Under 12 months",IF(T712&lt;36,"12-35 months",IF(T712&lt;60,"36-59 months","≥60 months"))))</f>
        <v/>
      </c>
      <c r="V712" s="27"/>
      <c r="W712" s="30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9"/>
      <c r="AT712" s="30"/>
      <c r="AU712" s="30"/>
      <c r="AV712" s="30"/>
      <c r="AW712" s="27"/>
      <c r="AX712" s="27"/>
      <c r="AY712" s="29"/>
      <c r="AZ712" s="27"/>
      <c r="BA712" s="27"/>
      <c r="BB712" s="29"/>
      <c r="BC712" s="30"/>
      <c r="BD712" s="30"/>
      <c r="BE712" s="30"/>
      <c r="BF712" s="27"/>
      <c r="BG712" s="27"/>
      <c r="BH712" s="28" t="str">
        <f aca="false">IF(COUNT(BC712:BE712)=0,"",IF(MIN(BC712:BE712)&lt;=-2.5,"Yes","No"))</f>
        <v/>
      </c>
      <c r="BI712" s="27"/>
      <c r="BJ712" s="29"/>
      <c r="BK712" s="27"/>
      <c r="BL712" s="27"/>
      <c r="BM712" s="27"/>
      <c r="BN712" s="28" t="str">
        <f aca="false">IF(OR(AX712="Yes",BI712="Yes"),"Yes",IF(AND(AX712="No",BI712="No"),"No",IF(AND(AX712="",BI712=""),"","Unknown")))</f>
        <v/>
      </c>
      <c r="BO712" s="31" t="str">
        <f aca="false">IF(COUNT(AY712,BJ712)=0,"",MIN(AY712,BJ712))</f>
        <v/>
      </c>
      <c r="BP712" s="29"/>
      <c r="BQ712" s="29"/>
      <c r="BR712" s="29"/>
      <c r="BS712" s="28" t="str">
        <f aca="false">IF(AND(N(BP712)&gt;0,N(BR712)&gt;0),BR712-BP712,"")</f>
        <v/>
      </c>
      <c r="BT712" s="28" t="str">
        <f aca="false">IF(BS712="","",ROUND(BS712/365.25,2))</f>
        <v/>
      </c>
      <c r="BU712" s="28" t="str">
        <f aca="false">IF(BS712="","",IF(BS712&gt;=730.5,"Yes","No"))</f>
        <v/>
      </c>
      <c r="BV712" s="27"/>
      <c r="BW712" s="29"/>
      <c r="BX712" s="27"/>
      <c r="BY712" s="27"/>
      <c r="BZ712" s="28" t="str">
        <f aca="false">IF(N(E712)=0,"",IF(E712&lt;65,"Under 65","≥65"))</f>
        <v/>
      </c>
      <c r="CA712" s="28" t="str">
        <f aca="false">IF(OR(AC712="Yes",AC712="No"),AC712,"")</f>
        <v/>
      </c>
      <c r="CB712" s="28" t="str">
        <f aca="false">IF(OR(AD712="Yes",AD712="No"),AD712,"")</f>
        <v/>
      </c>
      <c r="CC712" s="28" t="str">
        <f aca="false">IF(F712="","",F712)</f>
        <v/>
      </c>
      <c r="CD712" s="27"/>
      <c r="CE712" s="27"/>
    </row>
    <row r="713" customFormat="false" ht="15" hidden="false" customHeight="false" outlineLevel="0" collapsed="false">
      <c r="A713" s="27"/>
      <c r="B713" s="27"/>
      <c r="C713" s="27"/>
      <c r="D713" s="27"/>
      <c r="E713" s="27"/>
      <c r="F713" s="27"/>
      <c r="G713" s="27"/>
      <c r="H713" s="27"/>
      <c r="I713" s="27"/>
      <c r="J713" s="28" t="str">
        <f aca="false">IF(AND(N(H713)&gt;0,N(I713)&gt;0),ROUND(I713/(H713/100)^2,1),"")</f>
        <v/>
      </c>
      <c r="K713" s="27"/>
      <c r="L713" s="27"/>
      <c r="M713" s="27"/>
      <c r="N713" s="27"/>
      <c r="O713" s="27"/>
      <c r="P713" s="27"/>
      <c r="Q713" s="27"/>
      <c r="R713" s="29"/>
      <c r="S713" s="29"/>
      <c r="T713" s="27"/>
      <c r="U713" s="28" t="str">
        <f aca="false">IF(N(T713)=0,"",IF(T713&lt;12,"Under 12 months",IF(T713&lt;36,"12-35 months",IF(T713&lt;60,"36-59 months","≥60 months"))))</f>
        <v/>
      </c>
      <c r="V713" s="27"/>
      <c r="W713" s="30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9"/>
      <c r="AT713" s="30"/>
      <c r="AU713" s="30"/>
      <c r="AV713" s="30"/>
      <c r="AW713" s="27"/>
      <c r="AX713" s="27"/>
      <c r="AY713" s="29"/>
      <c r="AZ713" s="27"/>
      <c r="BA713" s="27"/>
      <c r="BB713" s="29"/>
      <c r="BC713" s="30"/>
      <c r="BD713" s="30"/>
      <c r="BE713" s="30"/>
      <c r="BF713" s="27"/>
      <c r="BG713" s="27"/>
      <c r="BH713" s="28" t="str">
        <f aca="false">IF(COUNT(BC713:BE713)=0,"",IF(MIN(BC713:BE713)&lt;=-2.5,"Yes","No"))</f>
        <v/>
      </c>
      <c r="BI713" s="27"/>
      <c r="BJ713" s="29"/>
      <c r="BK713" s="27"/>
      <c r="BL713" s="27"/>
      <c r="BM713" s="27"/>
      <c r="BN713" s="28" t="str">
        <f aca="false">IF(OR(AX713="Yes",BI713="Yes"),"Yes",IF(AND(AX713="No",BI713="No"),"No",IF(AND(AX713="",BI713=""),"","Unknown")))</f>
        <v/>
      </c>
      <c r="BO713" s="31" t="str">
        <f aca="false">IF(COUNT(AY713,BJ713)=0,"",MIN(AY713,BJ713))</f>
        <v/>
      </c>
      <c r="BP713" s="29"/>
      <c r="BQ713" s="29"/>
      <c r="BR713" s="29"/>
      <c r="BS713" s="28" t="str">
        <f aca="false">IF(AND(N(BP713)&gt;0,N(BR713)&gt;0),BR713-BP713,"")</f>
        <v/>
      </c>
      <c r="BT713" s="28" t="str">
        <f aca="false">IF(BS713="","",ROUND(BS713/365.25,2))</f>
        <v/>
      </c>
      <c r="BU713" s="28" t="str">
        <f aca="false">IF(BS713="","",IF(BS713&gt;=730.5,"Yes","No"))</f>
        <v/>
      </c>
      <c r="BV713" s="27"/>
      <c r="BW713" s="29"/>
      <c r="BX713" s="27"/>
      <c r="BY713" s="27"/>
      <c r="BZ713" s="28" t="str">
        <f aca="false">IF(N(E713)=0,"",IF(E713&lt;65,"Under 65","≥65"))</f>
        <v/>
      </c>
      <c r="CA713" s="28" t="str">
        <f aca="false">IF(OR(AC713="Yes",AC713="No"),AC713,"")</f>
        <v/>
      </c>
      <c r="CB713" s="28" t="str">
        <f aca="false">IF(OR(AD713="Yes",AD713="No"),AD713,"")</f>
        <v/>
      </c>
      <c r="CC713" s="28" t="str">
        <f aca="false">IF(F713="","",F713)</f>
        <v/>
      </c>
      <c r="CD713" s="27"/>
      <c r="CE713" s="27"/>
    </row>
    <row r="714" customFormat="false" ht="15" hidden="false" customHeight="false" outlineLevel="0" collapsed="false">
      <c r="A714" s="27"/>
      <c r="B714" s="27"/>
      <c r="C714" s="27"/>
      <c r="D714" s="27"/>
      <c r="E714" s="27"/>
      <c r="F714" s="27"/>
      <c r="G714" s="27"/>
      <c r="H714" s="27"/>
      <c r="I714" s="27"/>
      <c r="J714" s="28" t="str">
        <f aca="false">IF(AND(N(H714)&gt;0,N(I714)&gt;0),ROUND(I714/(H714/100)^2,1),"")</f>
        <v/>
      </c>
      <c r="K714" s="27"/>
      <c r="L714" s="27"/>
      <c r="M714" s="27"/>
      <c r="N714" s="27"/>
      <c r="O714" s="27"/>
      <c r="P714" s="27"/>
      <c r="Q714" s="27"/>
      <c r="R714" s="29"/>
      <c r="S714" s="29"/>
      <c r="T714" s="27"/>
      <c r="U714" s="28" t="str">
        <f aca="false">IF(N(T714)=0,"",IF(T714&lt;12,"Under 12 months",IF(T714&lt;36,"12-35 months",IF(T714&lt;60,"36-59 months","≥60 months"))))</f>
        <v/>
      </c>
      <c r="V714" s="27"/>
      <c r="W714" s="30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9"/>
      <c r="AT714" s="30"/>
      <c r="AU714" s="30"/>
      <c r="AV714" s="30"/>
      <c r="AW714" s="27"/>
      <c r="AX714" s="27"/>
      <c r="AY714" s="29"/>
      <c r="AZ714" s="27"/>
      <c r="BA714" s="27"/>
      <c r="BB714" s="29"/>
      <c r="BC714" s="30"/>
      <c r="BD714" s="30"/>
      <c r="BE714" s="30"/>
      <c r="BF714" s="27"/>
      <c r="BG714" s="27"/>
      <c r="BH714" s="28" t="str">
        <f aca="false">IF(COUNT(BC714:BE714)=0,"",IF(MIN(BC714:BE714)&lt;=-2.5,"Yes","No"))</f>
        <v/>
      </c>
      <c r="BI714" s="27"/>
      <c r="BJ714" s="29"/>
      <c r="BK714" s="27"/>
      <c r="BL714" s="27"/>
      <c r="BM714" s="27"/>
      <c r="BN714" s="28" t="str">
        <f aca="false">IF(OR(AX714="Yes",BI714="Yes"),"Yes",IF(AND(AX714="No",BI714="No"),"No",IF(AND(AX714="",BI714=""),"","Unknown")))</f>
        <v/>
      </c>
      <c r="BO714" s="31" t="str">
        <f aca="false">IF(COUNT(AY714,BJ714)=0,"",MIN(AY714,BJ714))</f>
        <v/>
      </c>
      <c r="BP714" s="29"/>
      <c r="BQ714" s="29"/>
      <c r="BR714" s="29"/>
      <c r="BS714" s="28" t="str">
        <f aca="false">IF(AND(N(BP714)&gt;0,N(BR714)&gt;0),BR714-BP714,"")</f>
        <v/>
      </c>
      <c r="BT714" s="28" t="str">
        <f aca="false">IF(BS714="","",ROUND(BS714/365.25,2))</f>
        <v/>
      </c>
      <c r="BU714" s="28" t="str">
        <f aca="false">IF(BS714="","",IF(BS714&gt;=730.5,"Yes","No"))</f>
        <v/>
      </c>
      <c r="BV714" s="27"/>
      <c r="BW714" s="29"/>
      <c r="BX714" s="27"/>
      <c r="BY714" s="27"/>
      <c r="BZ714" s="28" t="str">
        <f aca="false">IF(N(E714)=0,"",IF(E714&lt;65,"Under 65","≥65"))</f>
        <v/>
      </c>
      <c r="CA714" s="28" t="str">
        <f aca="false">IF(OR(AC714="Yes",AC714="No"),AC714,"")</f>
        <v/>
      </c>
      <c r="CB714" s="28" t="str">
        <f aca="false">IF(OR(AD714="Yes",AD714="No"),AD714,"")</f>
        <v/>
      </c>
      <c r="CC714" s="28" t="str">
        <f aca="false">IF(F714="","",F714)</f>
        <v/>
      </c>
      <c r="CD714" s="27"/>
      <c r="CE714" s="27"/>
    </row>
    <row r="715" customFormat="false" ht="15" hidden="false" customHeight="false" outlineLevel="0" collapsed="false">
      <c r="A715" s="27"/>
      <c r="B715" s="27"/>
      <c r="C715" s="27"/>
      <c r="D715" s="27"/>
      <c r="E715" s="27"/>
      <c r="F715" s="27"/>
      <c r="G715" s="27"/>
      <c r="H715" s="27"/>
      <c r="I715" s="27"/>
      <c r="J715" s="28" t="str">
        <f aca="false">IF(AND(N(H715)&gt;0,N(I715)&gt;0),ROUND(I715/(H715/100)^2,1),"")</f>
        <v/>
      </c>
      <c r="K715" s="27"/>
      <c r="L715" s="27"/>
      <c r="M715" s="27"/>
      <c r="N715" s="27"/>
      <c r="O715" s="27"/>
      <c r="P715" s="27"/>
      <c r="Q715" s="27"/>
      <c r="R715" s="29"/>
      <c r="S715" s="29"/>
      <c r="T715" s="27"/>
      <c r="U715" s="28" t="str">
        <f aca="false">IF(N(T715)=0,"",IF(T715&lt;12,"Under 12 months",IF(T715&lt;36,"12-35 months",IF(T715&lt;60,"36-59 months","≥60 months"))))</f>
        <v/>
      </c>
      <c r="V715" s="27"/>
      <c r="W715" s="30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9"/>
      <c r="AT715" s="30"/>
      <c r="AU715" s="30"/>
      <c r="AV715" s="30"/>
      <c r="AW715" s="27"/>
      <c r="AX715" s="27"/>
      <c r="AY715" s="29"/>
      <c r="AZ715" s="27"/>
      <c r="BA715" s="27"/>
      <c r="BB715" s="29"/>
      <c r="BC715" s="30"/>
      <c r="BD715" s="30"/>
      <c r="BE715" s="30"/>
      <c r="BF715" s="27"/>
      <c r="BG715" s="27"/>
      <c r="BH715" s="28" t="str">
        <f aca="false">IF(COUNT(BC715:BE715)=0,"",IF(MIN(BC715:BE715)&lt;=-2.5,"Yes","No"))</f>
        <v/>
      </c>
      <c r="BI715" s="27"/>
      <c r="BJ715" s="29"/>
      <c r="BK715" s="27"/>
      <c r="BL715" s="27"/>
      <c r="BM715" s="27"/>
      <c r="BN715" s="28" t="str">
        <f aca="false">IF(OR(AX715="Yes",BI715="Yes"),"Yes",IF(AND(AX715="No",BI715="No"),"No",IF(AND(AX715="",BI715=""),"","Unknown")))</f>
        <v/>
      </c>
      <c r="BO715" s="31" t="str">
        <f aca="false">IF(COUNT(AY715,BJ715)=0,"",MIN(AY715,BJ715))</f>
        <v/>
      </c>
      <c r="BP715" s="29"/>
      <c r="BQ715" s="29"/>
      <c r="BR715" s="29"/>
      <c r="BS715" s="28" t="str">
        <f aca="false">IF(AND(N(BP715)&gt;0,N(BR715)&gt;0),BR715-BP715,"")</f>
        <v/>
      </c>
      <c r="BT715" s="28" t="str">
        <f aca="false">IF(BS715="","",ROUND(BS715/365.25,2))</f>
        <v/>
      </c>
      <c r="BU715" s="28" t="str">
        <f aca="false">IF(BS715="","",IF(BS715&gt;=730.5,"Yes","No"))</f>
        <v/>
      </c>
      <c r="BV715" s="27"/>
      <c r="BW715" s="29"/>
      <c r="BX715" s="27"/>
      <c r="BY715" s="27"/>
      <c r="BZ715" s="28" t="str">
        <f aca="false">IF(N(E715)=0,"",IF(E715&lt;65,"Under 65","≥65"))</f>
        <v/>
      </c>
      <c r="CA715" s="28" t="str">
        <f aca="false">IF(OR(AC715="Yes",AC715="No"),AC715,"")</f>
        <v/>
      </c>
      <c r="CB715" s="28" t="str">
        <f aca="false">IF(OR(AD715="Yes",AD715="No"),AD715,"")</f>
        <v/>
      </c>
      <c r="CC715" s="28" t="str">
        <f aca="false">IF(F715="","",F715)</f>
        <v/>
      </c>
      <c r="CD715" s="27"/>
      <c r="CE715" s="27"/>
    </row>
    <row r="716" customFormat="false" ht="15" hidden="false" customHeight="false" outlineLevel="0" collapsed="false">
      <c r="A716" s="27"/>
      <c r="B716" s="27"/>
      <c r="C716" s="27"/>
      <c r="D716" s="27"/>
      <c r="E716" s="27"/>
      <c r="F716" s="27"/>
      <c r="G716" s="27"/>
      <c r="H716" s="27"/>
      <c r="I716" s="27"/>
      <c r="J716" s="28" t="str">
        <f aca="false">IF(AND(N(H716)&gt;0,N(I716)&gt;0),ROUND(I716/(H716/100)^2,1),"")</f>
        <v/>
      </c>
      <c r="K716" s="27"/>
      <c r="L716" s="27"/>
      <c r="M716" s="27"/>
      <c r="N716" s="27"/>
      <c r="O716" s="27"/>
      <c r="P716" s="27"/>
      <c r="Q716" s="27"/>
      <c r="R716" s="29"/>
      <c r="S716" s="29"/>
      <c r="T716" s="27"/>
      <c r="U716" s="28" t="str">
        <f aca="false">IF(N(T716)=0,"",IF(T716&lt;12,"Under 12 months",IF(T716&lt;36,"12-35 months",IF(T716&lt;60,"36-59 months","≥60 months"))))</f>
        <v/>
      </c>
      <c r="V716" s="27"/>
      <c r="W716" s="30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9"/>
      <c r="AT716" s="30"/>
      <c r="AU716" s="30"/>
      <c r="AV716" s="30"/>
      <c r="AW716" s="27"/>
      <c r="AX716" s="27"/>
      <c r="AY716" s="29"/>
      <c r="AZ716" s="27"/>
      <c r="BA716" s="27"/>
      <c r="BB716" s="29"/>
      <c r="BC716" s="30"/>
      <c r="BD716" s="30"/>
      <c r="BE716" s="30"/>
      <c r="BF716" s="27"/>
      <c r="BG716" s="27"/>
      <c r="BH716" s="28" t="str">
        <f aca="false">IF(COUNT(BC716:BE716)=0,"",IF(MIN(BC716:BE716)&lt;=-2.5,"Yes","No"))</f>
        <v/>
      </c>
      <c r="BI716" s="27"/>
      <c r="BJ716" s="29"/>
      <c r="BK716" s="27"/>
      <c r="BL716" s="27"/>
      <c r="BM716" s="27"/>
      <c r="BN716" s="28" t="str">
        <f aca="false">IF(OR(AX716="Yes",BI716="Yes"),"Yes",IF(AND(AX716="No",BI716="No"),"No",IF(AND(AX716="",BI716=""),"","Unknown")))</f>
        <v/>
      </c>
      <c r="BO716" s="31" t="str">
        <f aca="false">IF(COUNT(AY716,BJ716)=0,"",MIN(AY716,BJ716))</f>
        <v/>
      </c>
      <c r="BP716" s="29"/>
      <c r="BQ716" s="29"/>
      <c r="BR716" s="29"/>
      <c r="BS716" s="28" t="str">
        <f aca="false">IF(AND(N(BP716)&gt;0,N(BR716)&gt;0),BR716-BP716,"")</f>
        <v/>
      </c>
      <c r="BT716" s="28" t="str">
        <f aca="false">IF(BS716="","",ROUND(BS716/365.25,2))</f>
        <v/>
      </c>
      <c r="BU716" s="28" t="str">
        <f aca="false">IF(BS716="","",IF(BS716&gt;=730.5,"Yes","No"))</f>
        <v/>
      </c>
      <c r="BV716" s="27"/>
      <c r="BW716" s="29"/>
      <c r="BX716" s="27"/>
      <c r="BY716" s="27"/>
      <c r="BZ716" s="28" t="str">
        <f aca="false">IF(N(E716)=0,"",IF(E716&lt;65,"Under 65","≥65"))</f>
        <v/>
      </c>
      <c r="CA716" s="28" t="str">
        <f aca="false">IF(OR(AC716="Yes",AC716="No"),AC716,"")</f>
        <v/>
      </c>
      <c r="CB716" s="28" t="str">
        <f aca="false">IF(OR(AD716="Yes",AD716="No"),AD716,"")</f>
        <v/>
      </c>
      <c r="CC716" s="28" t="str">
        <f aca="false">IF(F716="","",F716)</f>
        <v/>
      </c>
      <c r="CD716" s="27"/>
      <c r="CE716" s="27"/>
    </row>
    <row r="717" customFormat="false" ht="15" hidden="false" customHeight="false" outlineLevel="0" collapsed="false">
      <c r="A717" s="27"/>
      <c r="B717" s="27"/>
      <c r="C717" s="27"/>
      <c r="D717" s="27"/>
      <c r="E717" s="27"/>
      <c r="F717" s="27"/>
      <c r="G717" s="27"/>
      <c r="H717" s="27"/>
      <c r="I717" s="27"/>
      <c r="J717" s="28" t="str">
        <f aca="false">IF(AND(N(H717)&gt;0,N(I717)&gt;0),ROUND(I717/(H717/100)^2,1),"")</f>
        <v/>
      </c>
      <c r="K717" s="27"/>
      <c r="L717" s="27"/>
      <c r="M717" s="27"/>
      <c r="N717" s="27"/>
      <c r="O717" s="27"/>
      <c r="P717" s="27"/>
      <c r="Q717" s="27"/>
      <c r="R717" s="29"/>
      <c r="S717" s="29"/>
      <c r="T717" s="27"/>
      <c r="U717" s="28" t="str">
        <f aca="false">IF(N(T717)=0,"",IF(T717&lt;12,"Under 12 months",IF(T717&lt;36,"12-35 months",IF(T717&lt;60,"36-59 months","≥60 months"))))</f>
        <v/>
      </c>
      <c r="V717" s="27"/>
      <c r="W717" s="30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9"/>
      <c r="AT717" s="30"/>
      <c r="AU717" s="30"/>
      <c r="AV717" s="30"/>
      <c r="AW717" s="27"/>
      <c r="AX717" s="27"/>
      <c r="AY717" s="29"/>
      <c r="AZ717" s="27"/>
      <c r="BA717" s="27"/>
      <c r="BB717" s="29"/>
      <c r="BC717" s="30"/>
      <c r="BD717" s="30"/>
      <c r="BE717" s="30"/>
      <c r="BF717" s="27"/>
      <c r="BG717" s="27"/>
      <c r="BH717" s="28" t="str">
        <f aca="false">IF(COUNT(BC717:BE717)=0,"",IF(MIN(BC717:BE717)&lt;=-2.5,"Yes","No"))</f>
        <v/>
      </c>
      <c r="BI717" s="27"/>
      <c r="BJ717" s="29"/>
      <c r="BK717" s="27"/>
      <c r="BL717" s="27"/>
      <c r="BM717" s="27"/>
      <c r="BN717" s="28" t="str">
        <f aca="false">IF(OR(AX717="Yes",BI717="Yes"),"Yes",IF(AND(AX717="No",BI717="No"),"No",IF(AND(AX717="",BI717=""),"","Unknown")))</f>
        <v/>
      </c>
      <c r="BO717" s="31" t="str">
        <f aca="false">IF(COUNT(AY717,BJ717)=0,"",MIN(AY717,BJ717))</f>
        <v/>
      </c>
      <c r="BP717" s="29"/>
      <c r="BQ717" s="29"/>
      <c r="BR717" s="29"/>
      <c r="BS717" s="28" t="str">
        <f aca="false">IF(AND(N(BP717)&gt;0,N(BR717)&gt;0),BR717-BP717,"")</f>
        <v/>
      </c>
      <c r="BT717" s="28" t="str">
        <f aca="false">IF(BS717="","",ROUND(BS717/365.25,2))</f>
        <v/>
      </c>
      <c r="BU717" s="28" t="str">
        <f aca="false">IF(BS717="","",IF(BS717&gt;=730.5,"Yes","No"))</f>
        <v/>
      </c>
      <c r="BV717" s="27"/>
      <c r="BW717" s="29"/>
      <c r="BX717" s="27"/>
      <c r="BY717" s="27"/>
      <c r="BZ717" s="28" t="str">
        <f aca="false">IF(N(E717)=0,"",IF(E717&lt;65,"Under 65","≥65"))</f>
        <v/>
      </c>
      <c r="CA717" s="28" t="str">
        <f aca="false">IF(OR(AC717="Yes",AC717="No"),AC717,"")</f>
        <v/>
      </c>
      <c r="CB717" s="28" t="str">
        <f aca="false">IF(OR(AD717="Yes",AD717="No"),AD717,"")</f>
        <v/>
      </c>
      <c r="CC717" s="28" t="str">
        <f aca="false">IF(F717="","",F717)</f>
        <v/>
      </c>
      <c r="CD717" s="27"/>
      <c r="CE717" s="27"/>
    </row>
    <row r="718" customFormat="false" ht="15" hidden="false" customHeight="false" outlineLevel="0" collapsed="false">
      <c r="A718" s="27"/>
      <c r="B718" s="27"/>
      <c r="C718" s="27"/>
      <c r="D718" s="27"/>
      <c r="E718" s="27"/>
      <c r="F718" s="27"/>
      <c r="G718" s="27"/>
      <c r="H718" s="27"/>
      <c r="I718" s="27"/>
      <c r="J718" s="28" t="str">
        <f aca="false">IF(AND(N(H718)&gt;0,N(I718)&gt;0),ROUND(I718/(H718/100)^2,1),"")</f>
        <v/>
      </c>
      <c r="K718" s="27"/>
      <c r="L718" s="27"/>
      <c r="M718" s="27"/>
      <c r="N718" s="27"/>
      <c r="O718" s="27"/>
      <c r="P718" s="27"/>
      <c r="Q718" s="27"/>
      <c r="R718" s="29"/>
      <c r="S718" s="29"/>
      <c r="T718" s="27"/>
      <c r="U718" s="28" t="str">
        <f aca="false">IF(N(T718)=0,"",IF(T718&lt;12,"Under 12 months",IF(T718&lt;36,"12-35 months",IF(T718&lt;60,"36-59 months","≥60 months"))))</f>
        <v/>
      </c>
      <c r="V718" s="27"/>
      <c r="W718" s="30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9"/>
      <c r="AT718" s="30"/>
      <c r="AU718" s="30"/>
      <c r="AV718" s="30"/>
      <c r="AW718" s="27"/>
      <c r="AX718" s="27"/>
      <c r="AY718" s="29"/>
      <c r="AZ718" s="27"/>
      <c r="BA718" s="27"/>
      <c r="BB718" s="29"/>
      <c r="BC718" s="30"/>
      <c r="BD718" s="30"/>
      <c r="BE718" s="30"/>
      <c r="BF718" s="27"/>
      <c r="BG718" s="27"/>
      <c r="BH718" s="28" t="str">
        <f aca="false">IF(COUNT(BC718:BE718)=0,"",IF(MIN(BC718:BE718)&lt;=-2.5,"Yes","No"))</f>
        <v/>
      </c>
      <c r="BI718" s="27"/>
      <c r="BJ718" s="29"/>
      <c r="BK718" s="27"/>
      <c r="BL718" s="27"/>
      <c r="BM718" s="27"/>
      <c r="BN718" s="28" t="str">
        <f aca="false">IF(OR(AX718="Yes",BI718="Yes"),"Yes",IF(AND(AX718="No",BI718="No"),"No",IF(AND(AX718="",BI718=""),"","Unknown")))</f>
        <v/>
      </c>
      <c r="BO718" s="31" t="str">
        <f aca="false">IF(COUNT(AY718,BJ718)=0,"",MIN(AY718,BJ718))</f>
        <v/>
      </c>
      <c r="BP718" s="29"/>
      <c r="BQ718" s="29"/>
      <c r="BR718" s="29"/>
      <c r="BS718" s="28" t="str">
        <f aca="false">IF(AND(N(BP718)&gt;0,N(BR718)&gt;0),BR718-BP718,"")</f>
        <v/>
      </c>
      <c r="BT718" s="28" t="str">
        <f aca="false">IF(BS718="","",ROUND(BS718/365.25,2))</f>
        <v/>
      </c>
      <c r="BU718" s="28" t="str">
        <f aca="false">IF(BS718="","",IF(BS718&gt;=730.5,"Yes","No"))</f>
        <v/>
      </c>
      <c r="BV718" s="27"/>
      <c r="BW718" s="29"/>
      <c r="BX718" s="27"/>
      <c r="BY718" s="27"/>
      <c r="BZ718" s="28" t="str">
        <f aca="false">IF(N(E718)=0,"",IF(E718&lt;65,"Under 65","≥65"))</f>
        <v/>
      </c>
      <c r="CA718" s="28" t="str">
        <f aca="false">IF(OR(AC718="Yes",AC718="No"),AC718,"")</f>
        <v/>
      </c>
      <c r="CB718" s="28" t="str">
        <f aca="false">IF(OR(AD718="Yes",AD718="No"),AD718,"")</f>
        <v/>
      </c>
      <c r="CC718" s="28" t="str">
        <f aca="false">IF(F718="","",F718)</f>
        <v/>
      </c>
      <c r="CD718" s="27"/>
      <c r="CE718" s="27"/>
    </row>
    <row r="719" customFormat="false" ht="15" hidden="false" customHeight="false" outlineLevel="0" collapsed="false">
      <c r="A719" s="27"/>
      <c r="B719" s="27"/>
      <c r="C719" s="27"/>
      <c r="D719" s="27"/>
      <c r="E719" s="27"/>
      <c r="F719" s="27"/>
      <c r="G719" s="27"/>
      <c r="H719" s="27"/>
      <c r="I719" s="27"/>
      <c r="J719" s="28" t="str">
        <f aca="false">IF(AND(N(H719)&gt;0,N(I719)&gt;0),ROUND(I719/(H719/100)^2,1),"")</f>
        <v/>
      </c>
      <c r="K719" s="27"/>
      <c r="L719" s="27"/>
      <c r="M719" s="27"/>
      <c r="N719" s="27"/>
      <c r="O719" s="27"/>
      <c r="P719" s="27"/>
      <c r="Q719" s="27"/>
      <c r="R719" s="29"/>
      <c r="S719" s="29"/>
      <c r="T719" s="27"/>
      <c r="U719" s="28" t="str">
        <f aca="false">IF(N(T719)=0,"",IF(T719&lt;12,"Under 12 months",IF(T719&lt;36,"12-35 months",IF(T719&lt;60,"36-59 months","≥60 months"))))</f>
        <v/>
      </c>
      <c r="V719" s="27"/>
      <c r="W719" s="30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9"/>
      <c r="AT719" s="30"/>
      <c r="AU719" s="30"/>
      <c r="AV719" s="30"/>
      <c r="AW719" s="27"/>
      <c r="AX719" s="27"/>
      <c r="AY719" s="29"/>
      <c r="AZ719" s="27"/>
      <c r="BA719" s="27"/>
      <c r="BB719" s="29"/>
      <c r="BC719" s="30"/>
      <c r="BD719" s="30"/>
      <c r="BE719" s="30"/>
      <c r="BF719" s="27"/>
      <c r="BG719" s="27"/>
      <c r="BH719" s="28" t="str">
        <f aca="false">IF(COUNT(BC719:BE719)=0,"",IF(MIN(BC719:BE719)&lt;=-2.5,"Yes","No"))</f>
        <v/>
      </c>
      <c r="BI719" s="27"/>
      <c r="BJ719" s="29"/>
      <c r="BK719" s="27"/>
      <c r="BL719" s="27"/>
      <c r="BM719" s="27"/>
      <c r="BN719" s="28" t="str">
        <f aca="false">IF(OR(AX719="Yes",BI719="Yes"),"Yes",IF(AND(AX719="No",BI719="No"),"No",IF(AND(AX719="",BI719=""),"","Unknown")))</f>
        <v/>
      </c>
      <c r="BO719" s="31" t="str">
        <f aca="false">IF(COUNT(AY719,BJ719)=0,"",MIN(AY719,BJ719))</f>
        <v/>
      </c>
      <c r="BP719" s="29"/>
      <c r="BQ719" s="29"/>
      <c r="BR719" s="29"/>
      <c r="BS719" s="28" t="str">
        <f aca="false">IF(AND(N(BP719)&gt;0,N(BR719)&gt;0),BR719-BP719,"")</f>
        <v/>
      </c>
      <c r="BT719" s="28" t="str">
        <f aca="false">IF(BS719="","",ROUND(BS719/365.25,2))</f>
        <v/>
      </c>
      <c r="BU719" s="28" t="str">
        <f aca="false">IF(BS719="","",IF(BS719&gt;=730.5,"Yes","No"))</f>
        <v/>
      </c>
      <c r="BV719" s="27"/>
      <c r="BW719" s="29"/>
      <c r="BX719" s="27"/>
      <c r="BY719" s="27"/>
      <c r="BZ719" s="28" t="str">
        <f aca="false">IF(N(E719)=0,"",IF(E719&lt;65,"Under 65","≥65"))</f>
        <v/>
      </c>
      <c r="CA719" s="28" t="str">
        <f aca="false">IF(OR(AC719="Yes",AC719="No"),AC719,"")</f>
        <v/>
      </c>
      <c r="CB719" s="28" t="str">
        <f aca="false">IF(OR(AD719="Yes",AD719="No"),AD719,"")</f>
        <v/>
      </c>
      <c r="CC719" s="28" t="str">
        <f aca="false">IF(F719="","",F719)</f>
        <v/>
      </c>
      <c r="CD719" s="27"/>
      <c r="CE719" s="27"/>
    </row>
    <row r="720" customFormat="false" ht="15" hidden="false" customHeight="false" outlineLevel="0" collapsed="false">
      <c r="A720" s="27"/>
      <c r="B720" s="27"/>
      <c r="C720" s="27"/>
      <c r="D720" s="27"/>
      <c r="E720" s="27"/>
      <c r="F720" s="27"/>
      <c r="G720" s="27"/>
      <c r="H720" s="27"/>
      <c r="I720" s="27"/>
      <c r="J720" s="28" t="str">
        <f aca="false">IF(AND(N(H720)&gt;0,N(I720)&gt;0),ROUND(I720/(H720/100)^2,1),"")</f>
        <v/>
      </c>
      <c r="K720" s="27"/>
      <c r="L720" s="27"/>
      <c r="M720" s="27"/>
      <c r="N720" s="27"/>
      <c r="O720" s="27"/>
      <c r="P720" s="27"/>
      <c r="Q720" s="27"/>
      <c r="R720" s="29"/>
      <c r="S720" s="29"/>
      <c r="T720" s="27"/>
      <c r="U720" s="28" t="str">
        <f aca="false">IF(N(T720)=0,"",IF(T720&lt;12,"Under 12 months",IF(T720&lt;36,"12-35 months",IF(T720&lt;60,"36-59 months","≥60 months"))))</f>
        <v/>
      </c>
      <c r="V720" s="27"/>
      <c r="W720" s="30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9"/>
      <c r="AT720" s="30"/>
      <c r="AU720" s="30"/>
      <c r="AV720" s="30"/>
      <c r="AW720" s="27"/>
      <c r="AX720" s="27"/>
      <c r="AY720" s="29"/>
      <c r="AZ720" s="27"/>
      <c r="BA720" s="27"/>
      <c r="BB720" s="29"/>
      <c r="BC720" s="30"/>
      <c r="BD720" s="30"/>
      <c r="BE720" s="30"/>
      <c r="BF720" s="27"/>
      <c r="BG720" s="27"/>
      <c r="BH720" s="28" t="str">
        <f aca="false">IF(COUNT(BC720:BE720)=0,"",IF(MIN(BC720:BE720)&lt;=-2.5,"Yes","No"))</f>
        <v/>
      </c>
      <c r="BI720" s="27"/>
      <c r="BJ720" s="29"/>
      <c r="BK720" s="27"/>
      <c r="BL720" s="27"/>
      <c r="BM720" s="27"/>
      <c r="BN720" s="28" t="str">
        <f aca="false">IF(OR(AX720="Yes",BI720="Yes"),"Yes",IF(AND(AX720="No",BI720="No"),"No",IF(AND(AX720="",BI720=""),"","Unknown")))</f>
        <v/>
      </c>
      <c r="BO720" s="31" t="str">
        <f aca="false">IF(COUNT(AY720,BJ720)=0,"",MIN(AY720,BJ720))</f>
        <v/>
      </c>
      <c r="BP720" s="29"/>
      <c r="BQ720" s="29"/>
      <c r="BR720" s="29"/>
      <c r="BS720" s="28" t="str">
        <f aca="false">IF(AND(N(BP720)&gt;0,N(BR720)&gt;0),BR720-BP720,"")</f>
        <v/>
      </c>
      <c r="BT720" s="28" t="str">
        <f aca="false">IF(BS720="","",ROUND(BS720/365.25,2))</f>
        <v/>
      </c>
      <c r="BU720" s="28" t="str">
        <f aca="false">IF(BS720="","",IF(BS720&gt;=730.5,"Yes","No"))</f>
        <v/>
      </c>
      <c r="BV720" s="27"/>
      <c r="BW720" s="29"/>
      <c r="BX720" s="27"/>
      <c r="BY720" s="27"/>
      <c r="BZ720" s="28" t="str">
        <f aca="false">IF(N(E720)=0,"",IF(E720&lt;65,"Under 65","≥65"))</f>
        <v/>
      </c>
      <c r="CA720" s="28" t="str">
        <f aca="false">IF(OR(AC720="Yes",AC720="No"),AC720,"")</f>
        <v/>
      </c>
      <c r="CB720" s="28" t="str">
        <f aca="false">IF(OR(AD720="Yes",AD720="No"),AD720,"")</f>
        <v/>
      </c>
      <c r="CC720" s="28" t="str">
        <f aca="false">IF(F720="","",F720)</f>
        <v/>
      </c>
      <c r="CD720" s="27"/>
      <c r="CE720" s="27"/>
    </row>
    <row r="721" customFormat="false" ht="15" hidden="false" customHeight="false" outlineLevel="0" collapsed="false">
      <c r="A721" s="27"/>
      <c r="B721" s="27"/>
      <c r="C721" s="27"/>
      <c r="D721" s="27"/>
      <c r="E721" s="27"/>
      <c r="F721" s="27"/>
      <c r="G721" s="27"/>
      <c r="H721" s="27"/>
      <c r="I721" s="27"/>
      <c r="J721" s="28" t="str">
        <f aca="false">IF(AND(N(H721)&gt;0,N(I721)&gt;0),ROUND(I721/(H721/100)^2,1),"")</f>
        <v/>
      </c>
      <c r="K721" s="27"/>
      <c r="L721" s="27"/>
      <c r="M721" s="27"/>
      <c r="N721" s="27"/>
      <c r="O721" s="27"/>
      <c r="P721" s="27"/>
      <c r="Q721" s="27"/>
      <c r="R721" s="29"/>
      <c r="S721" s="29"/>
      <c r="T721" s="27"/>
      <c r="U721" s="28" t="str">
        <f aca="false">IF(N(T721)=0,"",IF(T721&lt;12,"Under 12 months",IF(T721&lt;36,"12-35 months",IF(T721&lt;60,"36-59 months","≥60 months"))))</f>
        <v/>
      </c>
      <c r="V721" s="27"/>
      <c r="W721" s="30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9"/>
      <c r="AT721" s="30"/>
      <c r="AU721" s="30"/>
      <c r="AV721" s="30"/>
      <c r="AW721" s="27"/>
      <c r="AX721" s="27"/>
      <c r="AY721" s="29"/>
      <c r="AZ721" s="27"/>
      <c r="BA721" s="27"/>
      <c r="BB721" s="29"/>
      <c r="BC721" s="30"/>
      <c r="BD721" s="30"/>
      <c r="BE721" s="30"/>
      <c r="BF721" s="27"/>
      <c r="BG721" s="27"/>
      <c r="BH721" s="28" t="str">
        <f aca="false">IF(COUNT(BC721:BE721)=0,"",IF(MIN(BC721:BE721)&lt;=-2.5,"Yes","No"))</f>
        <v/>
      </c>
      <c r="BI721" s="27"/>
      <c r="BJ721" s="29"/>
      <c r="BK721" s="27"/>
      <c r="BL721" s="27"/>
      <c r="BM721" s="27"/>
      <c r="BN721" s="28" t="str">
        <f aca="false">IF(OR(AX721="Yes",BI721="Yes"),"Yes",IF(AND(AX721="No",BI721="No"),"No",IF(AND(AX721="",BI721=""),"","Unknown")))</f>
        <v/>
      </c>
      <c r="BO721" s="31" t="str">
        <f aca="false">IF(COUNT(AY721,BJ721)=0,"",MIN(AY721,BJ721))</f>
        <v/>
      </c>
      <c r="BP721" s="29"/>
      <c r="BQ721" s="29"/>
      <c r="BR721" s="29"/>
      <c r="BS721" s="28" t="str">
        <f aca="false">IF(AND(N(BP721)&gt;0,N(BR721)&gt;0),BR721-BP721,"")</f>
        <v/>
      </c>
      <c r="BT721" s="28" t="str">
        <f aca="false">IF(BS721="","",ROUND(BS721/365.25,2))</f>
        <v/>
      </c>
      <c r="BU721" s="28" t="str">
        <f aca="false">IF(BS721="","",IF(BS721&gt;=730.5,"Yes","No"))</f>
        <v/>
      </c>
      <c r="BV721" s="27"/>
      <c r="BW721" s="29"/>
      <c r="BX721" s="27"/>
      <c r="BY721" s="27"/>
      <c r="BZ721" s="28" t="str">
        <f aca="false">IF(N(E721)=0,"",IF(E721&lt;65,"Under 65","≥65"))</f>
        <v/>
      </c>
      <c r="CA721" s="28" t="str">
        <f aca="false">IF(OR(AC721="Yes",AC721="No"),AC721,"")</f>
        <v/>
      </c>
      <c r="CB721" s="28" t="str">
        <f aca="false">IF(OR(AD721="Yes",AD721="No"),AD721,"")</f>
        <v/>
      </c>
      <c r="CC721" s="28" t="str">
        <f aca="false">IF(F721="","",F721)</f>
        <v/>
      </c>
      <c r="CD721" s="27"/>
      <c r="CE721" s="27"/>
    </row>
    <row r="722" customFormat="false" ht="15" hidden="false" customHeight="false" outlineLevel="0" collapsed="false">
      <c r="A722" s="27"/>
      <c r="B722" s="27"/>
      <c r="C722" s="27"/>
      <c r="D722" s="27"/>
      <c r="E722" s="27"/>
      <c r="F722" s="27"/>
      <c r="G722" s="27"/>
      <c r="H722" s="27"/>
      <c r="I722" s="27"/>
      <c r="J722" s="28" t="str">
        <f aca="false">IF(AND(N(H722)&gt;0,N(I722)&gt;0),ROUND(I722/(H722/100)^2,1),"")</f>
        <v/>
      </c>
      <c r="K722" s="27"/>
      <c r="L722" s="27"/>
      <c r="M722" s="27"/>
      <c r="N722" s="27"/>
      <c r="O722" s="27"/>
      <c r="P722" s="27"/>
      <c r="Q722" s="27"/>
      <c r="R722" s="29"/>
      <c r="S722" s="29"/>
      <c r="T722" s="27"/>
      <c r="U722" s="28" t="str">
        <f aca="false">IF(N(T722)=0,"",IF(T722&lt;12,"Under 12 months",IF(T722&lt;36,"12-35 months",IF(T722&lt;60,"36-59 months","≥60 months"))))</f>
        <v/>
      </c>
      <c r="V722" s="27"/>
      <c r="W722" s="30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9"/>
      <c r="AT722" s="30"/>
      <c r="AU722" s="30"/>
      <c r="AV722" s="30"/>
      <c r="AW722" s="27"/>
      <c r="AX722" s="27"/>
      <c r="AY722" s="29"/>
      <c r="AZ722" s="27"/>
      <c r="BA722" s="27"/>
      <c r="BB722" s="29"/>
      <c r="BC722" s="30"/>
      <c r="BD722" s="30"/>
      <c r="BE722" s="30"/>
      <c r="BF722" s="27"/>
      <c r="BG722" s="27"/>
      <c r="BH722" s="28" t="str">
        <f aca="false">IF(COUNT(BC722:BE722)=0,"",IF(MIN(BC722:BE722)&lt;=-2.5,"Yes","No"))</f>
        <v/>
      </c>
      <c r="BI722" s="27"/>
      <c r="BJ722" s="29"/>
      <c r="BK722" s="27"/>
      <c r="BL722" s="27"/>
      <c r="BM722" s="27"/>
      <c r="BN722" s="28" t="str">
        <f aca="false">IF(OR(AX722="Yes",BI722="Yes"),"Yes",IF(AND(AX722="No",BI722="No"),"No",IF(AND(AX722="",BI722=""),"","Unknown")))</f>
        <v/>
      </c>
      <c r="BO722" s="31" t="str">
        <f aca="false">IF(COUNT(AY722,BJ722)=0,"",MIN(AY722,BJ722))</f>
        <v/>
      </c>
      <c r="BP722" s="29"/>
      <c r="BQ722" s="29"/>
      <c r="BR722" s="29"/>
      <c r="BS722" s="28" t="str">
        <f aca="false">IF(AND(N(BP722)&gt;0,N(BR722)&gt;0),BR722-BP722,"")</f>
        <v/>
      </c>
      <c r="BT722" s="28" t="str">
        <f aca="false">IF(BS722="","",ROUND(BS722/365.25,2))</f>
        <v/>
      </c>
      <c r="BU722" s="28" t="str">
        <f aca="false">IF(BS722="","",IF(BS722&gt;=730.5,"Yes","No"))</f>
        <v/>
      </c>
      <c r="BV722" s="27"/>
      <c r="BW722" s="29"/>
      <c r="BX722" s="27"/>
      <c r="BY722" s="27"/>
      <c r="BZ722" s="28" t="str">
        <f aca="false">IF(N(E722)=0,"",IF(E722&lt;65,"Under 65","≥65"))</f>
        <v/>
      </c>
      <c r="CA722" s="28" t="str">
        <f aca="false">IF(OR(AC722="Yes",AC722="No"),AC722,"")</f>
        <v/>
      </c>
      <c r="CB722" s="28" t="str">
        <f aca="false">IF(OR(AD722="Yes",AD722="No"),AD722,"")</f>
        <v/>
      </c>
      <c r="CC722" s="28" t="str">
        <f aca="false">IF(F722="","",F722)</f>
        <v/>
      </c>
      <c r="CD722" s="27"/>
      <c r="CE722" s="27"/>
    </row>
    <row r="723" customFormat="false" ht="15" hidden="false" customHeight="false" outlineLevel="0" collapsed="false">
      <c r="A723" s="27"/>
      <c r="B723" s="27"/>
      <c r="C723" s="27"/>
      <c r="D723" s="27"/>
      <c r="E723" s="27"/>
      <c r="F723" s="27"/>
      <c r="G723" s="27"/>
      <c r="H723" s="27"/>
      <c r="I723" s="27"/>
      <c r="J723" s="28" t="str">
        <f aca="false">IF(AND(N(H723)&gt;0,N(I723)&gt;0),ROUND(I723/(H723/100)^2,1),"")</f>
        <v/>
      </c>
      <c r="K723" s="27"/>
      <c r="L723" s="27"/>
      <c r="M723" s="27"/>
      <c r="N723" s="27"/>
      <c r="O723" s="27"/>
      <c r="P723" s="27"/>
      <c r="Q723" s="27"/>
      <c r="R723" s="29"/>
      <c r="S723" s="29"/>
      <c r="T723" s="27"/>
      <c r="U723" s="28" t="str">
        <f aca="false">IF(N(T723)=0,"",IF(T723&lt;12,"Under 12 months",IF(T723&lt;36,"12-35 months",IF(T723&lt;60,"36-59 months","≥60 months"))))</f>
        <v/>
      </c>
      <c r="V723" s="27"/>
      <c r="W723" s="30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9"/>
      <c r="AT723" s="30"/>
      <c r="AU723" s="30"/>
      <c r="AV723" s="30"/>
      <c r="AW723" s="27"/>
      <c r="AX723" s="27"/>
      <c r="AY723" s="29"/>
      <c r="AZ723" s="27"/>
      <c r="BA723" s="27"/>
      <c r="BB723" s="29"/>
      <c r="BC723" s="30"/>
      <c r="BD723" s="30"/>
      <c r="BE723" s="30"/>
      <c r="BF723" s="27"/>
      <c r="BG723" s="27"/>
      <c r="BH723" s="28" t="str">
        <f aca="false">IF(COUNT(BC723:BE723)=0,"",IF(MIN(BC723:BE723)&lt;=-2.5,"Yes","No"))</f>
        <v/>
      </c>
      <c r="BI723" s="27"/>
      <c r="BJ723" s="29"/>
      <c r="BK723" s="27"/>
      <c r="BL723" s="27"/>
      <c r="BM723" s="27"/>
      <c r="BN723" s="28" t="str">
        <f aca="false">IF(OR(AX723="Yes",BI723="Yes"),"Yes",IF(AND(AX723="No",BI723="No"),"No",IF(AND(AX723="",BI723=""),"","Unknown")))</f>
        <v/>
      </c>
      <c r="BO723" s="31" t="str">
        <f aca="false">IF(COUNT(AY723,BJ723)=0,"",MIN(AY723,BJ723))</f>
        <v/>
      </c>
      <c r="BP723" s="29"/>
      <c r="BQ723" s="29"/>
      <c r="BR723" s="29"/>
      <c r="BS723" s="28" t="str">
        <f aca="false">IF(AND(N(BP723)&gt;0,N(BR723)&gt;0),BR723-BP723,"")</f>
        <v/>
      </c>
      <c r="BT723" s="28" t="str">
        <f aca="false">IF(BS723="","",ROUND(BS723/365.25,2))</f>
        <v/>
      </c>
      <c r="BU723" s="28" t="str">
        <f aca="false">IF(BS723="","",IF(BS723&gt;=730.5,"Yes","No"))</f>
        <v/>
      </c>
      <c r="BV723" s="27"/>
      <c r="BW723" s="29"/>
      <c r="BX723" s="27"/>
      <c r="BY723" s="27"/>
      <c r="BZ723" s="28" t="str">
        <f aca="false">IF(N(E723)=0,"",IF(E723&lt;65,"Under 65","≥65"))</f>
        <v/>
      </c>
      <c r="CA723" s="28" t="str">
        <f aca="false">IF(OR(AC723="Yes",AC723="No"),AC723,"")</f>
        <v/>
      </c>
      <c r="CB723" s="28" t="str">
        <f aca="false">IF(OR(AD723="Yes",AD723="No"),AD723,"")</f>
        <v/>
      </c>
      <c r="CC723" s="28" t="str">
        <f aca="false">IF(F723="","",F723)</f>
        <v/>
      </c>
      <c r="CD723" s="27"/>
      <c r="CE723" s="27"/>
    </row>
    <row r="724" customFormat="false" ht="15" hidden="false" customHeight="false" outlineLevel="0" collapsed="false">
      <c r="A724" s="27"/>
      <c r="B724" s="27"/>
      <c r="C724" s="27"/>
      <c r="D724" s="27"/>
      <c r="E724" s="27"/>
      <c r="F724" s="27"/>
      <c r="G724" s="27"/>
      <c r="H724" s="27"/>
      <c r="I724" s="27"/>
      <c r="J724" s="28" t="str">
        <f aca="false">IF(AND(N(H724)&gt;0,N(I724)&gt;0),ROUND(I724/(H724/100)^2,1),"")</f>
        <v/>
      </c>
      <c r="K724" s="27"/>
      <c r="L724" s="27"/>
      <c r="M724" s="27"/>
      <c r="N724" s="27"/>
      <c r="O724" s="27"/>
      <c r="P724" s="27"/>
      <c r="Q724" s="27"/>
      <c r="R724" s="29"/>
      <c r="S724" s="29"/>
      <c r="T724" s="27"/>
      <c r="U724" s="28" t="str">
        <f aca="false">IF(N(T724)=0,"",IF(T724&lt;12,"Under 12 months",IF(T724&lt;36,"12-35 months",IF(T724&lt;60,"36-59 months","≥60 months"))))</f>
        <v/>
      </c>
      <c r="V724" s="27"/>
      <c r="W724" s="30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9"/>
      <c r="AT724" s="30"/>
      <c r="AU724" s="30"/>
      <c r="AV724" s="30"/>
      <c r="AW724" s="27"/>
      <c r="AX724" s="27"/>
      <c r="AY724" s="29"/>
      <c r="AZ724" s="27"/>
      <c r="BA724" s="27"/>
      <c r="BB724" s="29"/>
      <c r="BC724" s="30"/>
      <c r="BD724" s="30"/>
      <c r="BE724" s="30"/>
      <c r="BF724" s="27"/>
      <c r="BG724" s="27"/>
      <c r="BH724" s="28" t="str">
        <f aca="false">IF(COUNT(BC724:BE724)=0,"",IF(MIN(BC724:BE724)&lt;=-2.5,"Yes","No"))</f>
        <v/>
      </c>
      <c r="BI724" s="27"/>
      <c r="BJ724" s="29"/>
      <c r="BK724" s="27"/>
      <c r="BL724" s="27"/>
      <c r="BM724" s="27"/>
      <c r="BN724" s="28" t="str">
        <f aca="false">IF(OR(AX724="Yes",BI724="Yes"),"Yes",IF(AND(AX724="No",BI724="No"),"No",IF(AND(AX724="",BI724=""),"","Unknown")))</f>
        <v/>
      </c>
      <c r="BO724" s="31" t="str">
        <f aca="false">IF(COUNT(AY724,BJ724)=0,"",MIN(AY724,BJ724))</f>
        <v/>
      </c>
      <c r="BP724" s="29"/>
      <c r="BQ724" s="29"/>
      <c r="BR724" s="29"/>
      <c r="BS724" s="28" t="str">
        <f aca="false">IF(AND(N(BP724)&gt;0,N(BR724)&gt;0),BR724-BP724,"")</f>
        <v/>
      </c>
      <c r="BT724" s="28" t="str">
        <f aca="false">IF(BS724="","",ROUND(BS724/365.25,2))</f>
        <v/>
      </c>
      <c r="BU724" s="28" t="str">
        <f aca="false">IF(BS724="","",IF(BS724&gt;=730.5,"Yes","No"))</f>
        <v/>
      </c>
      <c r="BV724" s="27"/>
      <c r="BW724" s="29"/>
      <c r="BX724" s="27"/>
      <c r="BY724" s="27"/>
      <c r="BZ724" s="28" t="str">
        <f aca="false">IF(N(E724)=0,"",IF(E724&lt;65,"Under 65","≥65"))</f>
        <v/>
      </c>
      <c r="CA724" s="28" t="str">
        <f aca="false">IF(OR(AC724="Yes",AC724="No"),AC724,"")</f>
        <v/>
      </c>
      <c r="CB724" s="28" t="str">
        <f aca="false">IF(OR(AD724="Yes",AD724="No"),AD724,"")</f>
        <v/>
      </c>
      <c r="CC724" s="28" t="str">
        <f aca="false">IF(F724="","",F724)</f>
        <v/>
      </c>
      <c r="CD724" s="27"/>
      <c r="CE724" s="27"/>
    </row>
    <row r="725" customFormat="false" ht="15" hidden="false" customHeight="false" outlineLevel="0" collapsed="false">
      <c r="A725" s="27"/>
      <c r="B725" s="27"/>
      <c r="C725" s="27"/>
      <c r="D725" s="27"/>
      <c r="E725" s="27"/>
      <c r="F725" s="27"/>
      <c r="G725" s="27"/>
      <c r="H725" s="27"/>
      <c r="I725" s="27"/>
      <c r="J725" s="28" t="str">
        <f aca="false">IF(AND(N(H725)&gt;0,N(I725)&gt;0),ROUND(I725/(H725/100)^2,1),"")</f>
        <v/>
      </c>
      <c r="K725" s="27"/>
      <c r="L725" s="27"/>
      <c r="M725" s="27"/>
      <c r="N725" s="27"/>
      <c r="O725" s="27"/>
      <c r="P725" s="27"/>
      <c r="Q725" s="27"/>
      <c r="R725" s="29"/>
      <c r="S725" s="29"/>
      <c r="T725" s="27"/>
      <c r="U725" s="28" t="str">
        <f aca="false">IF(N(T725)=0,"",IF(T725&lt;12,"Under 12 months",IF(T725&lt;36,"12-35 months",IF(T725&lt;60,"36-59 months","≥60 months"))))</f>
        <v/>
      </c>
      <c r="V725" s="27"/>
      <c r="W725" s="30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9"/>
      <c r="AT725" s="30"/>
      <c r="AU725" s="30"/>
      <c r="AV725" s="30"/>
      <c r="AW725" s="27"/>
      <c r="AX725" s="27"/>
      <c r="AY725" s="29"/>
      <c r="AZ725" s="27"/>
      <c r="BA725" s="27"/>
      <c r="BB725" s="29"/>
      <c r="BC725" s="30"/>
      <c r="BD725" s="30"/>
      <c r="BE725" s="30"/>
      <c r="BF725" s="27"/>
      <c r="BG725" s="27"/>
      <c r="BH725" s="28" t="str">
        <f aca="false">IF(COUNT(BC725:BE725)=0,"",IF(MIN(BC725:BE725)&lt;=-2.5,"Yes","No"))</f>
        <v/>
      </c>
      <c r="BI725" s="27"/>
      <c r="BJ725" s="29"/>
      <c r="BK725" s="27"/>
      <c r="BL725" s="27"/>
      <c r="BM725" s="27"/>
      <c r="BN725" s="28" t="str">
        <f aca="false">IF(OR(AX725="Yes",BI725="Yes"),"Yes",IF(AND(AX725="No",BI725="No"),"No",IF(AND(AX725="",BI725=""),"","Unknown")))</f>
        <v/>
      </c>
      <c r="BO725" s="31" t="str">
        <f aca="false">IF(COUNT(AY725,BJ725)=0,"",MIN(AY725,BJ725))</f>
        <v/>
      </c>
      <c r="BP725" s="29"/>
      <c r="BQ725" s="29"/>
      <c r="BR725" s="29"/>
      <c r="BS725" s="28" t="str">
        <f aca="false">IF(AND(N(BP725)&gt;0,N(BR725)&gt;0),BR725-BP725,"")</f>
        <v/>
      </c>
      <c r="BT725" s="28" t="str">
        <f aca="false">IF(BS725="","",ROUND(BS725/365.25,2))</f>
        <v/>
      </c>
      <c r="BU725" s="28" t="str">
        <f aca="false">IF(BS725="","",IF(BS725&gt;=730.5,"Yes","No"))</f>
        <v/>
      </c>
      <c r="BV725" s="27"/>
      <c r="BW725" s="29"/>
      <c r="BX725" s="27"/>
      <c r="BY725" s="27"/>
      <c r="BZ725" s="28" t="str">
        <f aca="false">IF(N(E725)=0,"",IF(E725&lt;65,"Under 65","≥65"))</f>
        <v/>
      </c>
      <c r="CA725" s="28" t="str">
        <f aca="false">IF(OR(AC725="Yes",AC725="No"),AC725,"")</f>
        <v/>
      </c>
      <c r="CB725" s="28" t="str">
        <f aca="false">IF(OR(AD725="Yes",AD725="No"),AD725,"")</f>
        <v/>
      </c>
      <c r="CC725" s="28" t="str">
        <f aca="false">IF(F725="","",F725)</f>
        <v/>
      </c>
      <c r="CD725" s="27"/>
      <c r="CE725" s="27"/>
    </row>
    <row r="726" customFormat="false" ht="15" hidden="false" customHeight="false" outlineLevel="0" collapsed="false">
      <c r="A726" s="27"/>
      <c r="B726" s="27"/>
      <c r="C726" s="27"/>
      <c r="D726" s="27"/>
      <c r="E726" s="27"/>
      <c r="F726" s="27"/>
      <c r="G726" s="27"/>
      <c r="H726" s="27"/>
      <c r="I726" s="27"/>
      <c r="J726" s="28" t="str">
        <f aca="false">IF(AND(N(H726)&gt;0,N(I726)&gt;0),ROUND(I726/(H726/100)^2,1),"")</f>
        <v/>
      </c>
      <c r="K726" s="27"/>
      <c r="L726" s="27"/>
      <c r="M726" s="27"/>
      <c r="N726" s="27"/>
      <c r="O726" s="27"/>
      <c r="P726" s="27"/>
      <c r="Q726" s="27"/>
      <c r="R726" s="29"/>
      <c r="S726" s="29"/>
      <c r="T726" s="27"/>
      <c r="U726" s="28" t="str">
        <f aca="false">IF(N(T726)=0,"",IF(T726&lt;12,"Under 12 months",IF(T726&lt;36,"12-35 months",IF(T726&lt;60,"36-59 months","≥60 months"))))</f>
        <v/>
      </c>
      <c r="V726" s="27"/>
      <c r="W726" s="30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9"/>
      <c r="AT726" s="30"/>
      <c r="AU726" s="30"/>
      <c r="AV726" s="30"/>
      <c r="AW726" s="27"/>
      <c r="AX726" s="27"/>
      <c r="AY726" s="29"/>
      <c r="AZ726" s="27"/>
      <c r="BA726" s="27"/>
      <c r="BB726" s="29"/>
      <c r="BC726" s="30"/>
      <c r="BD726" s="30"/>
      <c r="BE726" s="30"/>
      <c r="BF726" s="27"/>
      <c r="BG726" s="27"/>
      <c r="BH726" s="28" t="str">
        <f aca="false">IF(COUNT(BC726:BE726)=0,"",IF(MIN(BC726:BE726)&lt;=-2.5,"Yes","No"))</f>
        <v/>
      </c>
      <c r="BI726" s="27"/>
      <c r="BJ726" s="29"/>
      <c r="BK726" s="27"/>
      <c r="BL726" s="27"/>
      <c r="BM726" s="27"/>
      <c r="BN726" s="28" t="str">
        <f aca="false">IF(OR(AX726="Yes",BI726="Yes"),"Yes",IF(AND(AX726="No",BI726="No"),"No",IF(AND(AX726="",BI726=""),"","Unknown")))</f>
        <v/>
      </c>
      <c r="BO726" s="31" t="str">
        <f aca="false">IF(COUNT(AY726,BJ726)=0,"",MIN(AY726,BJ726))</f>
        <v/>
      </c>
      <c r="BP726" s="29"/>
      <c r="BQ726" s="29"/>
      <c r="BR726" s="29"/>
      <c r="BS726" s="28" t="str">
        <f aca="false">IF(AND(N(BP726)&gt;0,N(BR726)&gt;0),BR726-BP726,"")</f>
        <v/>
      </c>
      <c r="BT726" s="28" t="str">
        <f aca="false">IF(BS726="","",ROUND(BS726/365.25,2))</f>
        <v/>
      </c>
      <c r="BU726" s="28" t="str">
        <f aca="false">IF(BS726="","",IF(BS726&gt;=730.5,"Yes","No"))</f>
        <v/>
      </c>
      <c r="BV726" s="27"/>
      <c r="BW726" s="29"/>
      <c r="BX726" s="27"/>
      <c r="BY726" s="27"/>
      <c r="BZ726" s="28" t="str">
        <f aca="false">IF(N(E726)=0,"",IF(E726&lt;65,"Under 65","≥65"))</f>
        <v/>
      </c>
      <c r="CA726" s="28" t="str">
        <f aca="false">IF(OR(AC726="Yes",AC726="No"),AC726,"")</f>
        <v/>
      </c>
      <c r="CB726" s="28" t="str">
        <f aca="false">IF(OR(AD726="Yes",AD726="No"),AD726,"")</f>
        <v/>
      </c>
      <c r="CC726" s="28" t="str">
        <f aca="false">IF(F726="","",F726)</f>
        <v/>
      </c>
      <c r="CD726" s="27"/>
      <c r="CE726" s="27"/>
    </row>
    <row r="727" customFormat="false" ht="15" hidden="false" customHeight="false" outlineLevel="0" collapsed="false">
      <c r="A727" s="27"/>
      <c r="B727" s="27"/>
      <c r="C727" s="27"/>
      <c r="D727" s="27"/>
      <c r="E727" s="27"/>
      <c r="F727" s="27"/>
      <c r="G727" s="27"/>
      <c r="H727" s="27"/>
      <c r="I727" s="27"/>
      <c r="J727" s="28" t="str">
        <f aca="false">IF(AND(N(H727)&gt;0,N(I727)&gt;0),ROUND(I727/(H727/100)^2,1),"")</f>
        <v/>
      </c>
      <c r="K727" s="27"/>
      <c r="L727" s="27"/>
      <c r="M727" s="27"/>
      <c r="N727" s="27"/>
      <c r="O727" s="27"/>
      <c r="P727" s="27"/>
      <c r="Q727" s="27"/>
      <c r="R727" s="29"/>
      <c r="S727" s="29"/>
      <c r="T727" s="27"/>
      <c r="U727" s="28" t="str">
        <f aca="false">IF(N(T727)=0,"",IF(T727&lt;12,"Under 12 months",IF(T727&lt;36,"12-35 months",IF(T727&lt;60,"36-59 months","≥60 months"))))</f>
        <v/>
      </c>
      <c r="V727" s="27"/>
      <c r="W727" s="30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9"/>
      <c r="AT727" s="30"/>
      <c r="AU727" s="30"/>
      <c r="AV727" s="30"/>
      <c r="AW727" s="27"/>
      <c r="AX727" s="27"/>
      <c r="AY727" s="29"/>
      <c r="AZ727" s="27"/>
      <c r="BA727" s="27"/>
      <c r="BB727" s="29"/>
      <c r="BC727" s="30"/>
      <c r="BD727" s="30"/>
      <c r="BE727" s="30"/>
      <c r="BF727" s="27"/>
      <c r="BG727" s="27"/>
      <c r="BH727" s="28" t="str">
        <f aca="false">IF(COUNT(BC727:BE727)=0,"",IF(MIN(BC727:BE727)&lt;=-2.5,"Yes","No"))</f>
        <v/>
      </c>
      <c r="BI727" s="27"/>
      <c r="BJ727" s="29"/>
      <c r="BK727" s="27"/>
      <c r="BL727" s="27"/>
      <c r="BM727" s="27"/>
      <c r="BN727" s="28" t="str">
        <f aca="false">IF(OR(AX727="Yes",BI727="Yes"),"Yes",IF(AND(AX727="No",BI727="No"),"No",IF(AND(AX727="",BI727=""),"","Unknown")))</f>
        <v/>
      </c>
      <c r="BO727" s="31" t="str">
        <f aca="false">IF(COUNT(AY727,BJ727)=0,"",MIN(AY727,BJ727))</f>
        <v/>
      </c>
      <c r="BP727" s="29"/>
      <c r="BQ727" s="29"/>
      <c r="BR727" s="29"/>
      <c r="BS727" s="28" t="str">
        <f aca="false">IF(AND(N(BP727)&gt;0,N(BR727)&gt;0),BR727-BP727,"")</f>
        <v/>
      </c>
      <c r="BT727" s="28" t="str">
        <f aca="false">IF(BS727="","",ROUND(BS727/365.25,2))</f>
        <v/>
      </c>
      <c r="BU727" s="28" t="str">
        <f aca="false">IF(BS727="","",IF(BS727&gt;=730.5,"Yes","No"))</f>
        <v/>
      </c>
      <c r="BV727" s="27"/>
      <c r="BW727" s="29"/>
      <c r="BX727" s="27"/>
      <c r="BY727" s="27"/>
      <c r="BZ727" s="28" t="str">
        <f aca="false">IF(N(E727)=0,"",IF(E727&lt;65,"Under 65","≥65"))</f>
        <v/>
      </c>
      <c r="CA727" s="28" t="str">
        <f aca="false">IF(OR(AC727="Yes",AC727="No"),AC727,"")</f>
        <v/>
      </c>
      <c r="CB727" s="28" t="str">
        <f aca="false">IF(OR(AD727="Yes",AD727="No"),AD727,"")</f>
        <v/>
      </c>
      <c r="CC727" s="28" t="str">
        <f aca="false">IF(F727="","",F727)</f>
        <v/>
      </c>
      <c r="CD727" s="27"/>
      <c r="CE727" s="27"/>
    </row>
    <row r="728" customFormat="false" ht="15" hidden="false" customHeight="false" outlineLevel="0" collapsed="false">
      <c r="A728" s="27"/>
      <c r="B728" s="27"/>
      <c r="C728" s="27"/>
      <c r="D728" s="27"/>
      <c r="E728" s="27"/>
      <c r="F728" s="27"/>
      <c r="G728" s="27"/>
      <c r="H728" s="27"/>
      <c r="I728" s="27"/>
      <c r="J728" s="28" t="str">
        <f aca="false">IF(AND(N(H728)&gt;0,N(I728)&gt;0),ROUND(I728/(H728/100)^2,1),"")</f>
        <v/>
      </c>
      <c r="K728" s="27"/>
      <c r="L728" s="27"/>
      <c r="M728" s="27"/>
      <c r="N728" s="27"/>
      <c r="O728" s="27"/>
      <c r="P728" s="27"/>
      <c r="Q728" s="27"/>
      <c r="R728" s="29"/>
      <c r="S728" s="29"/>
      <c r="T728" s="27"/>
      <c r="U728" s="28" t="str">
        <f aca="false">IF(N(T728)=0,"",IF(T728&lt;12,"Under 12 months",IF(T728&lt;36,"12-35 months",IF(T728&lt;60,"36-59 months","≥60 months"))))</f>
        <v/>
      </c>
      <c r="V728" s="27"/>
      <c r="W728" s="30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9"/>
      <c r="AT728" s="30"/>
      <c r="AU728" s="30"/>
      <c r="AV728" s="30"/>
      <c r="AW728" s="27"/>
      <c r="AX728" s="27"/>
      <c r="AY728" s="29"/>
      <c r="AZ728" s="27"/>
      <c r="BA728" s="27"/>
      <c r="BB728" s="29"/>
      <c r="BC728" s="30"/>
      <c r="BD728" s="30"/>
      <c r="BE728" s="30"/>
      <c r="BF728" s="27"/>
      <c r="BG728" s="27"/>
      <c r="BH728" s="28" t="str">
        <f aca="false">IF(COUNT(BC728:BE728)=0,"",IF(MIN(BC728:BE728)&lt;=-2.5,"Yes","No"))</f>
        <v/>
      </c>
      <c r="BI728" s="27"/>
      <c r="BJ728" s="29"/>
      <c r="BK728" s="27"/>
      <c r="BL728" s="27"/>
      <c r="BM728" s="27"/>
      <c r="BN728" s="28" t="str">
        <f aca="false">IF(OR(AX728="Yes",BI728="Yes"),"Yes",IF(AND(AX728="No",BI728="No"),"No",IF(AND(AX728="",BI728=""),"","Unknown")))</f>
        <v/>
      </c>
      <c r="BO728" s="31" t="str">
        <f aca="false">IF(COUNT(AY728,BJ728)=0,"",MIN(AY728,BJ728))</f>
        <v/>
      </c>
      <c r="BP728" s="29"/>
      <c r="BQ728" s="29"/>
      <c r="BR728" s="29"/>
      <c r="BS728" s="28" t="str">
        <f aca="false">IF(AND(N(BP728)&gt;0,N(BR728)&gt;0),BR728-BP728,"")</f>
        <v/>
      </c>
      <c r="BT728" s="28" t="str">
        <f aca="false">IF(BS728="","",ROUND(BS728/365.25,2))</f>
        <v/>
      </c>
      <c r="BU728" s="28" t="str">
        <f aca="false">IF(BS728="","",IF(BS728&gt;=730.5,"Yes","No"))</f>
        <v/>
      </c>
      <c r="BV728" s="27"/>
      <c r="BW728" s="29"/>
      <c r="BX728" s="27"/>
      <c r="BY728" s="27"/>
      <c r="BZ728" s="28" t="str">
        <f aca="false">IF(N(E728)=0,"",IF(E728&lt;65,"Under 65","≥65"))</f>
        <v/>
      </c>
      <c r="CA728" s="28" t="str">
        <f aca="false">IF(OR(AC728="Yes",AC728="No"),AC728,"")</f>
        <v/>
      </c>
      <c r="CB728" s="28" t="str">
        <f aca="false">IF(OR(AD728="Yes",AD728="No"),AD728,"")</f>
        <v/>
      </c>
      <c r="CC728" s="28" t="str">
        <f aca="false">IF(F728="","",F728)</f>
        <v/>
      </c>
      <c r="CD728" s="27"/>
      <c r="CE728" s="27"/>
    </row>
    <row r="729" customFormat="false" ht="15" hidden="false" customHeight="false" outlineLevel="0" collapsed="false">
      <c r="A729" s="27"/>
      <c r="B729" s="27"/>
      <c r="C729" s="27"/>
      <c r="D729" s="27"/>
      <c r="E729" s="27"/>
      <c r="F729" s="27"/>
      <c r="G729" s="27"/>
      <c r="H729" s="27"/>
      <c r="I729" s="27"/>
      <c r="J729" s="28" t="str">
        <f aca="false">IF(AND(N(H729)&gt;0,N(I729)&gt;0),ROUND(I729/(H729/100)^2,1),"")</f>
        <v/>
      </c>
      <c r="K729" s="27"/>
      <c r="L729" s="27"/>
      <c r="M729" s="27"/>
      <c r="N729" s="27"/>
      <c r="O729" s="27"/>
      <c r="P729" s="27"/>
      <c r="Q729" s="27"/>
      <c r="R729" s="29"/>
      <c r="S729" s="29"/>
      <c r="T729" s="27"/>
      <c r="U729" s="28" t="str">
        <f aca="false">IF(N(T729)=0,"",IF(T729&lt;12,"Under 12 months",IF(T729&lt;36,"12-35 months",IF(T729&lt;60,"36-59 months","≥60 months"))))</f>
        <v/>
      </c>
      <c r="V729" s="27"/>
      <c r="W729" s="30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9"/>
      <c r="AT729" s="30"/>
      <c r="AU729" s="30"/>
      <c r="AV729" s="30"/>
      <c r="AW729" s="27"/>
      <c r="AX729" s="27"/>
      <c r="AY729" s="29"/>
      <c r="AZ729" s="27"/>
      <c r="BA729" s="27"/>
      <c r="BB729" s="29"/>
      <c r="BC729" s="30"/>
      <c r="BD729" s="30"/>
      <c r="BE729" s="30"/>
      <c r="BF729" s="27"/>
      <c r="BG729" s="27"/>
      <c r="BH729" s="28" t="str">
        <f aca="false">IF(COUNT(BC729:BE729)=0,"",IF(MIN(BC729:BE729)&lt;=-2.5,"Yes","No"))</f>
        <v/>
      </c>
      <c r="BI729" s="27"/>
      <c r="BJ729" s="29"/>
      <c r="BK729" s="27"/>
      <c r="BL729" s="27"/>
      <c r="BM729" s="27"/>
      <c r="BN729" s="28" t="str">
        <f aca="false">IF(OR(AX729="Yes",BI729="Yes"),"Yes",IF(AND(AX729="No",BI729="No"),"No",IF(AND(AX729="",BI729=""),"","Unknown")))</f>
        <v/>
      </c>
      <c r="BO729" s="31" t="str">
        <f aca="false">IF(COUNT(AY729,BJ729)=0,"",MIN(AY729,BJ729))</f>
        <v/>
      </c>
      <c r="BP729" s="29"/>
      <c r="BQ729" s="29"/>
      <c r="BR729" s="29"/>
      <c r="BS729" s="28" t="str">
        <f aca="false">IF(AND(N(BP729)&gt;0,N(BR729)&gt;0),BR729-BP729,"")</f>
        <v/>
      </c>
      <c r="BT729" s="28" t="str">
        <f aca="false">IF(BS729="","",ROUND(BS729/365.25,2))</f>
        <v/>
      </c>
      <c r="BU729" s="28" t="str">
        <f aca="false">IF(BS729="","",IF(BS729&gt;=730.5,"Yes","No"))</f>
        <v/>
      </c>
      <c r="BV729" s="27"/>
      <c r="BW729" s="29"/>
      <c r="BX729" s="27"/>
      <c r="BY729" s="27"/>
      <c r="BZ729" s="28" t="str">
        <f aca="false">IF(N(E729)=0,"",IF(E729&lt;65,"Under 65","≥65"))</f>
        <v/>
      </c>
      <c r="CA729" s="28" t="str">
        <f aca="false">IF(OR(AC729="Yes",AC729="No"),AC729,"")</f>
        <v/>
      </c>
      <c r="CB729" s="28" t="str">
        <f aca="false">IF(OR(AD729="Yes",AD729="No"),AD729,"")</f>
        <v/>
      </c>
      <c r="CC729" s="28" t="str">
        <f aca="false">IF(F729="","",F729)</f>
        <v/>
      </c>
      <c r="CD729" s="27"/>
      <c r="CE729" s="27"/>
    </row>
    <row r="730" customFormat="false" ht="15" hidden="false" customHeight="false" outlineLevel="0" collapsed="false">
      <c r="A730" s="27"/>
      <c r="B730" s="27"/>
      <c r="C730" s="27"/>
      <c r="D730" s="27"/>
      <c r="E730" s="27"/>
      <c r="F730" s="27"/>
      <c r="G730" s="27"/>
      <c r="H730" s="27"/>
      <c r="I730" s="27"/>
      <c r="J730" s="28" t="str">
        <f aca="false">IF(AND(N(H730)&gt;0,N(I730)&gt;0),ROUND(I730/(H730/100)^2,1),"")</f>
        <v/>
      </c>
      <c r="K730" s="27"/>
      <c r="L730" s="27"/>
      <c r="M730" s="27"/>
      <c r="N730" s="27"/>
      <c r="O730" s="27"/>
      <c r="P730" s="27"/>
      <c r="Q730" s="27"/>
      <c r="R730" s="29"/>
      <c r="S730" s="29"/>
      <c r="T730" s="27"/>
      <c r="U730" s="28" t="str">
        <f aca="false">IF(N(T730)=0,"",IF(T730&lt;12,"Under 12 months",IF(T730&lt;36,"12-35 months",IF(T730&lt;60,"36-59 months","≥60 months"))))</f>
        <v/>
      </c>
      <c r="V730" s="27"/>
      <c r="W730" s="30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9"/>
      <c r="AT730" s="30"/>
      <c r="AU730" s="30"/>
      <c r="AV730" s="30"/>
      <c r="AW730" s="27"/>
      <c r="AX730" s="27"/>
      <c r="AY730" s="29"/>
      <c r="AZ730" s="27"/>
      <c r="BA730" s="27"/>
      <c r="BB730" s="29"/>
      <c r="BC730" s="30"/>
      <c r="BD730" s="30"/>
      <c r="BE730" s="30"/>
      <c r="BF730" s="27"/>
      <c r="BG730" s="27"/>
      <c r="BH730" s="28" t="str">
        <f aca="false">IF(COUNT(BC730:BE730)=0,"",IF(MIN(BC730:BE730)&lt;=-2.5,"Yes","No"))</f>
        <v/>
      </c>
      <c r="BI730" s="27"/>
      <c r="BJ730" s="29"/>
      <c r="BK730" s="27"/>
      <c r="BL730" s="27"/>
      <c r="BM730" s="27"/>
      <c r="BN730" s="28" t="str">
        <f aca="false">IF(OR(AX730="Yes",BI730="Yes"),"Yes",IF(AND(AX730="No",BI730="No"),"No",IF(AND(AX730="",BI730=""),"","Unknown")))</f>
        <v/>
      </c>
      <c r="BO730" s="31" t="str">
        <f aca="false">IF(COUNT(AY730,BJ730)=0,"",MIN(AY730,BJ730))</f>
        <v/>
      </c>
      <c r="BP730" s="29"/>
      <c r="BQ730" s="29"/>
      <c r="BR730" s="29"/>
      <c r="BS730" s="28" t="str">
        <f aca="false">IF(AND(N(BP730)&gt;0,N(BR730)&gt;0),BR730-BP730,"")</f>
        <v/>
      </c>
      <c r="BT730" s="28" t="str">
        <f aca="false">IF(BS730="","",ROUND(BS730/365.25,2))</f>
        <v/>
      </c>
      <c r="BU730" s="28" t="str">
        <f aca="false">IF(BS730="","",IF(BS730&gt;=730.5,"Yes","No"))</f>
        <v/>
      </c>
      <c r="BV730" s="27"/>
      <c r="BW730" s="29"/>
      <c r="BX730" s="27"/>
      <c r="BY730" s="27"/>
      <c r="BZ730" s="28" t="str">
        <f aca="false">IF(N(E730)=0,"",IF(E730&lt;65,"Under 65","≥65"))</f>
        <v/>
      </c>
      <c r="CA730" s="28" t="str">
        <f aca="false">IF(OR(AC730="Yes",AC730="No"),AC730,"")</f>
        <v/>
      </c>
      <c r="CB730" s="28" t="str">
        <f aca="false">IF(OR(AD730="Yes",AD730="No"),AD730,"")</f>
        <v/>
      </c>
      <c r="CC730" s="28" t="str">
        <f aca="false">IF(F730="","",F730)</f>
        <v/>
      </c>
      <c r="CD730" s="27"/>
      <c r="CE730" s="27"/>
    </row>
    <row r="731" customFormat="false" ht="15" hidden="false" customHeight="false" outlineLevel="0" collapsed="false">
      <c r="A731" s="27"/>
      <c r="B731" s="27"/>
      <c r="C731" s="27"/>
      <c r="D731" s="27"/>
      <c r="E731" s="27"/>
      <c r="F731" s="27"/>
      <c r="G731" s="27"/>
      <c r="H731" s="27"/>
      <c r="I731" s="27"/>
      <c r="J731" s="28" t="str">
        <f aca="false">IF(AND(N(H731)&gt;0,N(I731)&gt;0),ROUND(I731/(H731/100)^2,1),"")</f>
        <v/>
      </c>
      <c r="K731" s="27"/>
      <c r="L731" s="27"/>
      <c r="M731" s="27"/>
      <c r="N731" s="27"/>
      <c r="O731" s="27"/>
      <c r="P731" s="27"/>
      <c r="Q731" s="27"/>
      <c r="R731" s="29"/>
      <c r="S731" s="29"/>
      <c r="T731" s="27"/>
      <c r="U731" s="28" t="str">
        <f aca="false">IF(N(T731)=0,"",IF(T731&lt;12,"Under 12 months",IF(T731&lt;36,"12-35 months",IF(T731&lt;60,"36-59 months","≥60 months"))))</f>
        <v/>
      </c>
      <c r="V731" s="27"/>
      <c r="W731" s="30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9"/>
      <c r="AT731" s="30"/>
      <c r="AU731" s="30"/>
      <c r="AV731" s="30"/>
      <c r="AW731" s="27"/>
      <c r="AX731" s="27"/>
      <c r="AY731" s="29"/>
      <c r="AZ731" s="27"/>
      <c r="BA731" s="27"/>
      <c r="BB731" s="29"/>
      <c r="BC731" s="30"/>
      <c r="BD731" s="30"/>
      <c r="BE731" s="30"/>
      <c r="BF731" s="27"/>
      <c r="BG731" s="27"/>
      <c r="BH731" s="28" t="str">
        <f aca="false">IF(COUNT(BC731:BE731)=0,"",IF(MIN(BC731:BE731)&lt;=-2.5,"Yes","No"))</f>
        <v/>
      </c>
      <c r="BI731" s="27"/>
      <c r="BJ731" s="29"/>
      <c r="BK731" s="27"/>
      <c r="BL731" s="27"/>
      <c r="BM731" s="27"/>
      <c r="BN731" s="28" t="str">
        <f aca="false">IF(OR(AX731="Yes",BI731="Yes"),"Yes",IF(AND(AX731="No",BI731="No"),"No",IF(AND(AX731="",BI731=""),"","Unknown")))</f>
        <v/>
      </c>
      <c r="BO731" s="31" t="str">
        <f aca="false">IF(COUNT(AY731,BJ731)=0,"",MIN(AY731,BJ731))</f>
        <v/>
      </c>
      <c r="BP731" s="29"/>
      <c r="BQ731" s="29"/>
      <c r="BR731" s="29"/>
      <c r="BS731" s="28" t="str">
        <f aca="false">IF(AND(N(BP731)&gt;0,N(BR731)&gt;0),BR731-BP731,"")</f>
        <v/>
      </c>
      <c r="BT731" s="28" t="str">
        <f aca="false">IF(BS731="","",ROUND(BS731/365.25,2))</f>
        <v/>
      </c>
      <c r="BU731" s="28" t="str">
        <f aca="false">IF(BS731="","",IF(BS731&gt;=730.5,"Yes","No"))</f>
        <v/>
      </c>
      <c r="BV731" s="27"/>
      <c r="BW731" s="29"/>
      <c r="BX731" s="27"/>
      <c r="BY731" s="27"/>
      <c r="BZ731" s="28" t="str">
        <f aca="false">IF(N(E731)=0,"",IF(E731&lt;65,"Under 65","≥65"))</f>
        <v/>
      </c>
      <c r="CA731" s="28" t="str">
        <f aca="false">IF(OR(AC731="Yes",AC731="No"),AC731,"")</f>
        <v/>
      </c>
      <c r="CB731" s="28" t="str">
        <f aca="false">IF(OR(AD731="Yes",AD731="No"),AD731,"")</f>
        <v/>
      </c>
      <c r="CC731" s="28" t="str">
        <f aca="false">IF(F731="","",F731)</f>
        <v/>
      </c>
      <c r="CD731" s="27"/>
      <c r="CE731" s="27"/>
    </row>
    <row r="732" customFormat="false" ht="15" hidden="false" customHeight="false" outlineLevel="0" collapsed="false">
      <c r="A732" s="27"/>
      <c r="B732" s="27"/>
      <c r="C732" s="27"/>
      <c r="D732" s="27"/>
      <c r="E732" s="27"/>
      <c r="F732" s="27"/>
      <c r="G732" s="27"/>
      <c r="H732" s="27"/>
      <c r="I732" s="27"/>
      <c r="J732" s="28" t="str">
        <f aca="false">IF(AND(N(H732)&gt;0,N(I732)&gt;0),ROUND(I732/(H732/100)^2,1),"")</f>
        <v/>
      </c>
      <c r="K732" s="27"/>
      <c r="L732" s="27"/>
      <c r="M732" s="27"/>
      <c r="N732" s="27"/>
      <c r="O732" s="27"/>
      <c r="P732" s="27"/>
      <c r="Q732" s="27"/>
      <c r="R732" s="29"/>
      <c r="S732" s="29"/>
      <c r="T732" s="27"/>
      <c r="U732" s="28" t="str">
        <f aca="false">IF(N(T732)=0,"",IF(T732&lt;12,"Under 12 months",IF(T732&lt;36,"12-35 months",IF(T732&lt;60,"36-59 months","≥60 months"))))</f>
        <v/>
      </c>
      <c r="V732" s="27"/>
      <c r="W732" s="30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9"/>
      <c r="AT732" s="30"/>
      <c r="AU732" s="30"/>
      <c r="AV732" s="30"/>
      <c r="AW732" s="27"/>
      <c r="AX732" s="27"/>
      <c r="AY732" s="29"/>
      <c r="AZ732" s="27"/>
      <c r="BA732" s="27"/>
      <c r="BB732" s="29"/>
      <c r="BC732" s="30"/>
      <c r="BD732" s="30"/>
      <c r="BE732" s="30"/>
      <c r="BF732" s="27"/>
      <c r="BG732" s="27"/>
      <c r="BH732" s="28" t="str">
        <f aca="false">IF(COUNT(BC732:BE732)=0,"",IF(MIN(BC732:BE732)&lt;=-2.5,"Yes","No"))</f>
        <v/>
      </c>
      <c r="BI732" s="27"/>
      <c r="BJ732" s="29"/>
      <c r="BK732" s="27"/>
      <c r="BL732" s="27"/>
      <c r="BM732" s="27"/>
      <c r="BN732" s="28" t="str">
        <f aca="false">IF(OR(AX732="Yes",BI732="Yes"),"Yes",IF(AND(AX732="No",BI732="No"),"No",IF(AND(AX732="",BI732=""),"","Unknown")))</f>
        <v/>
      </c>
      <c r="BO732" s="31" t="str">
        <f aca="false">IF(COUNT(AY732,BJ732)=0,"",MIN(AY732,BJ732))</f>
        <v/>
      </c>
      <c r="BP732" s="29"/>
      <c r="BQ732" s="29"/>
      <c r="BR732" s="29"/>
      <c r="BS732" s="28" t="str">
        <f aca="false">IF(AND(N(BP732)&gt;0,N(BR732)&gt;0),BR732-BP732,"")</f>
        <v/>
      </c>
      <c r="BT732" s="28" t="str">
        <f aca="false">IF(BS732="","",ROUND(BS732/365.25,2))</f>
        <v/>
      </c>
      <c r="BU732" s="28" t="str">
        <f aca="false">IF(BS732="","",IF(BS732&gt;=730.5,"Yes","No"))</f>
        <v/>
      </c>
      <c r="BV732" s="27"/>
      <c r="BW732" s="29"/>
      <c r="BX732" s="27"/>
      <c r="BY732" s="27"/>
      <c r="BZ732" s="28" t="str">
        <f aca="false">IF(N(E732)=0,"",IF(E732&lt;65,"Under 65","≥65"))</f>
        <v/>
      </c>
      <c r="CA732" s="28" t="str">
        <f aca="false">IF(OR(AC732="Yes",AC732="No"),AC732,"")</f>
        <v/>
      </c>
      <c r="CB732" s="28" t="str">
        <f aca="false">IF(OR(AD732="Yes",AD732="No"),AD732,"")</f>
        <v/>
      </c>
      <c r="CC732" s="28" t="str">
        <f aca="false">IF(F732="","",F732)</f>
        <v/>
      </c>
      <c r="CD732" s="27"/>
      <c r="CE732" s="27"/>
    </row>
    <row r="733" customFormat="false" ht="15" hidden="false" customHeight="false" outlineLevel="0" collapsed="false">
      <c r="A733" s="27"/>
      <c r="B733" s="27"/>
      <c r="C733" s="27"/>
      <c r="D733" s="27"/>
      <c r="E733" s="27"/>
      <c r="F733" s="27"/>
      <c r="G733" s="27"/>
      <c r="H733" s="27"/>
      <c r="I733" s="27"/>
      <c r="J733" s="28" t="str">
        <f aca="false">IF(AND(N(H733)&gt;0,N(I733)&gt;0),ROUND(I733/(H733/100)^2,1),"")</f>
        <v/>
      </c>
      <c r="K733" s="27"/>
      <c r="L733" s="27"/>
      <c r="M733" s="27"/>
      <c r="N733" s="27"/>
      <c r="O733" s="27"/>
      <c r="P733" s="27"/>
      <c r="Q733" s="27"/>
      <c r="R733" s="29"/>
      <c r="S733" s="29"/>
      <c r="T733" s="27"/>
      <c r="U733" s="28" t="str">
        <f aca="false">IF(N(T733)=0,"",IF(T733&lt;12,"Under 12 months",IF(T733&lt;36,"12-35 months",IF(T733&lt;60,"36-59 months","≥60 months"))))</f>
        <v/>
      </c>
      <c r="V733" s="27"/>
      <c r="W733" s="30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9"/>
      <c r="AT733" s="30"/>
      <c r="AU733" s="30"/>
      <c r="AV733" s="30"/>
      <c r="AW733" s="27"/>
      <c r="AX733" s="27"/>
      <c r="AY733" s="29"/>
      <c r="AZ733" s="27"/>
      <c r="BA733" s="27"/>
      <c r="BB733" s="29"/>
      <c r="BC733" s="30"/>
      <c r="BD733" s="30"/>
      <c r="BE733" s="30"/>
      <c r="BF733" s="27"/>
      <c r="BG733" s="27"/>
      <c r="BH733" s="28" t="str">
        <f aca="false">IF(COUNT(BC733:BE733)=0,"",IF(MIN(BC733:BE733)&lt;=-2.5,"Yes","No"))</f>
        <v/>
      </c>
      <c r="BI733" s="27"/>
      <c r="BJ733" s="29"/>
      <c r="BK733" s="27"/>
      <c r="BL733" s="27"/>
      <c r="BM733" s="27"/>
      <c r="BN733" s="28" t="str">
        <f aca="false">IF(OR(AX733="Yes",BI733="Yes"),"Yes",IF(AND(AX733="No",BI733="No"),"No",IF(AND(AX733="",BI733=""),"","Unknown")))</f>
        <v/>
      </c>
      <c r="BO733" s="31" t="str">
        <f aca="false">IF(COUNT(AY733,BJ733)=0,"",MIN(AY733,BJ733))</f>
        <v/>
      </c>
      <c r="BP733" s="29"/>
      <c r="BQ733" s="29"/>
      <c r="BR733" s="29"/>
      <c r="BS733" s="28" t="str">
        <f aca="false">IF(AND(N(BP733)&gt;0,N(BR733)&gt;0),BR733-BP733,"")</f>
        <v/>
      </c>
      <c r="BT733" s="28" t="str">
        <f aca="false">IF(BS733="","",ROUND(BS733/365.25,2))</f>
        <v/>
      </c>
      <c r="BU733" s="28" t="str">
        <f aca="false">IF(BS733="","",IF(BS733&gt;=730.5,"Yes","No"))</f>
        <v/>
      </c>
      <c r="BV733" s="27"/>
      <c r="BW733" s="29"/>
      <c r="BX733" s="27"/>
      <c r="BY733" s="27"/>
      <c r="BZ733" s="28" t="str">
        <f aca="false">IF(N(E733)=0,"",IF(E733&lt;65,"Under 65","≥65"))</f>
        <v/>
      </c>
      <c r="CA733" s="28" t="str">
        <f aca="false">IF(OR(AC733="Yes",AC733="No"),AC733,"")</f>
        <v/>
      </c>
      <c r="CB733" s="28" t="str">
        <f aca="false">IF(OR(AD733="Yes",AD733="No"),AD733,"")</f>
        <v/>
      </c>
      <c r="CC733" s="28" t="str">
        <f aca="false">IF(F733="","",F733)</f>
        <v/>
      </c>
      <c r="CD733" s="27"/>
      <c r="CE733" s="27"/>
    </row>
    <row r="734" customFormat="false" ht="15" hidden="false" customHeight="false" outlineLevel="0" collapsed="false">
      <c r="A734" s="27"/>
      <c r="B734" s="27"/>
      <c r="C734" s="27"/>
      <c r="D734" s="27"/>
      <c r="E734" s="27"/>
      <c r="F734" s="27"/>
      <c r="G734" s="27"/>
      <c r="H734" s="27"/>
      <c r="I734" s="27"/>
      <c r="J734" s="28" t="str">
        <f aca="false">IF(AND(N(H734)&gt;0,N(I734)&gt;0),ROUND(I734/(H734/100)^2,1),"")</f>
        <v/>
      </c>
      <c r="K734" s="27"/>
      <c r="L734" s="27"/>
      <c r="M734" s="27"/>
      <c r="N734" s="27"/>
      <c r="O734" s="27"/>
      <c r="P734" s="27"/>
      <c r="Q734" s="27"/>
      <c r="R734" s="29"/>
      <c r="S734" s="29"/>
      <c r="T734" s="27"/>
      <c r="U734" s="28" t="str">
        <f aca="false">IF(N(T734)=0,"",IF(T734&lt;12,"Under 12 months",IF(T734&lt;36,"12-35 months",IF(T734&lt;60,"36-59 months","≥60 months"))))</f>
        <v/>
      </c>
      <c r="V734" s="27"/>
      <c r="W734" s="30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9"/>
      <c r="AT734" s="30"/>
      <c r="AU734" s="30"/>
      <c r="AV734" s="30"/>
      <c r="AW734" s="27"/>
      <c r="AX734" s="27"/>
      <c r="AY734" s="29"/>
      <c r="AZ734" s="27"/>
      <c r="BA734" s="27"/>
      <c r="BB734" s="29"/>
      <c r="BC734" s="30"/>
      <c r="BD734" s="30"/>
      <c r="BE734" s="30"/>
      <c r="BF734" s="27"/>
      <c r="BG734" s="27"/>
      <c r="BH734" s="28" t="str">
        <f aca="false">IF(COUNT(BC734:BE734)=0,"",IF(MIN(BC734:BE734)&lt;=-2.5,"Yes","No"))</f>
        <v/>
      </c>
      <c r="BI734" s="27"/>
      <c r="BJ734" s="29"/>
      <c r="BK734" s="27"/>
      <c r="BL734" s="27"/>
      <c r="BM734" s="27"/>
      <c r="BN734" s="28" t="str">
        <f aca="false">IF(OR(AX734="Yes",BI734="Yes"),"Yes",IF(AND(AX734="No",BI734="No"),"No",IF(AND(AX734="",BI734=""),"","Unknown")))</f>
        <v/>
      </c>
      <c r="BO734" s="31" t="str">
        <f aca="false">IF(COUNT(AY734,BJ734)=0,"",MIN(AY734,BJ734))</f>
        <v/>
      </c>
      <c r="BP734" s="29"/>
      <c r="BQ734" s="29"/>
      <c r="BR734" s="29"/>
      <c r="BS734" s="28" t="str">
        <f aca="false">IF(AND(N(BP734)&gt;0,N(BR734)&gt;0),BR734-BP734,"")</f>
        <v/>
      </c>
      <c r="BT734" s="28" t="str">
        <f aca="false">IF(BS734="","",ROUND(BS734/365.25,2))</f>
        <v/>
      </c>
      <c r="BU734" s="28" t="str">
        <f aca="false">IF(BS734="","",IF(BS734&gt;=730.5,"Yes","No"))</f>
        <v/>
      </c>
      <c r="BV734" s="27"/>
      <c r="BW734" s="29"/>
      <c r="BX734" s="27"/>
      <c r="BY734" s="27"/>
      <c r="BZ734" s="28" t="str">
        <f aca="false">IF(N(E734)=0,"",IF(E734&lt;65,"Under 65","≥65"))</f>
        <v/>
      </c>
      <c r="CA734" s="28" t="str">
        <f aca="false">IF(OR(AC734="Yes",AC734="No"),AC734,"")</f>
        <v/>
      </c>
      <c r="CB734" s="28" t="str">
        <f aca="false">IF(OR(AD734="Yes",AD734="No"),AD734,"")</f>
        <v/>
      </c>
      <c r="CC734" s="28" t="str">
        <f aca="false">IF(F734="","",F734)</f>
        <v/>
      </c>
      <c r="CD734" s="27"/>
      <c r="CE734" s="27"/>
    </row>
    <row r="735" customFormat="false" ht="15" hidden="false" customHeight="false" outlineLevel="0" collapsed="false">
      <c r="A735" s="27"/>
      <c r="B735" s="27"/>
      <c r="C735" s="27"/>
      <c r="D735" s="27"/>
      <c r="E735" s="27"/>
      <c r="F735" s="27"/>
      <c r="G735" s="27"/>
      <c r="H735" s="27"/>
      <c r="I735" s="27"/>
      <c r="J735" s="28" t="str">
        <f aca="false">IF(AND(N(H735)&gt;0,N(I735)&gt;0),ROUND(I735/(H735/100)^2,1),"")</f>
        <v/>
      </c>
      <c r="K735" s="27"/>
      <c r="L735" s="27"/>
      <c r="M735" s="27"/>
      <c r="N735" s="27"/>
      <c r="O735" s="27"/>
      <c r="P735" s="27"/>
      <c r="Q735" s="27"/>
      <c r="R735" s="29"/>
      <c r="S735" s="29"/>
      <c r="T735" s="27"/>
      <c r="U735" s="28" t="str">
        <f aca="false">IF(N(T735)=0,"",IF(T735&lt;12,"Under 12 months",IF(T735&lt;36,"12-35 months",IF(T735&lt;60,"36-59 months","≥60 months"))))</f>
        <v/>
      </c>
      <c r="V735" s="27"/>
      <c r="W735" s="30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9"/>
      <c r="AT735" s="30"/>
      <c r="AU735" s="30"/>
      <c r="AV735" s="30"/>
      <c r="AW735" s="27"/>
      <c r="AX735" s="27"/>
      <c r="AY735" s="29"/>
      <c r="AZ735" s="27"/>
      <c r="BA735" s="27"/>
      <c r="BB735" s="29"/>
      <c r="BC735" s="30"/>
      <c r="BD735" s="30"/>
      <c r="BE735" s="30"/>
      <c r="BF735" s="27"/>
      <c r="BG735" s="27"/>
      <c r="BH735" s="28" t="str">
        <f aca="false">IF(COUNT(BC735:BE735)=0,"",IF(MIN(BC735:BE735)&lt;=-2.5,"Yes","No"))</f>
        <v/>
      </c>
      <c r="BI735" s="27"/>
      <c r="BJ735" s="29"/>
      <c r="BK735" s="27"/>
      <c r="BL735" s="27"/>
      <c r="BM735" s="27"/>
      <c r="BN735" s="28" t="str">
        <f aca="false">IF(OR(AX735="Yes",BI735="Yes"),"Yes",IF(AND(AX735="No",BI735="No"),"No",IF(AND(AX735="",BI735=""),"","Unknown")))</f>
        <v/>
      </c>
      <c r="BO735" s="31" t="str">
        <f aca="false">IF(COUNT(AY735,BJ735)=0,"",MIN(AY735,BJ735))</f>
        <v/>
      </c>
      <c r="BP735" s="29"/>
      <c r="BQ735" s="29"/>
      <c r="BR735" s="29"/>
      <c r="BS735" s="28" t="str">
        <f aca="false">IF(AND(N(BP735)&gt;0,N(BR735)&gt;0),BR735-BP735,"")</f>
        <v/>
      </c>
      <c r="BT735" s="28" t="str">
        <f aca="false">IF(BS735="","",ROUND(BS735/365.25,2))</f>
        <v/>
      </c>
      <c r="BU735" s="28" t="str">
        <f aca="false">IF(BS735="","",IF(BS735&gt;=730.5,"Yes","No"))</f>
        <v/>
      </c>
      <c r="BV735" s="27"/>
      <c r="BW735" s="29"/>
      <c r="BX735" s="27"/>
      <c r="BY735" s="27"/>
      <c r="BZ735" s="28" t="str">
        <f aca="false">IF(N(E735)=0,"",IF(E735&lt;65,"Under 65","≥65"))</f>
        <v/>
      </c>
      <c r="CA735" s="28" t="str">
        <f aca="false">IF(OR(AC735="Yes",AC735="No"),AC735,"")</f>
        <v/>
      </c>
      <c r="CB735" s="28" t="str">
        <f aca="false">IF(OR(AD735="Yes",AD735="No"),AD735,"")</f>
        <v/>
      </c>
      <c r="CC735" s="28" t="str">
        <f aca="false">IF(F735="","",F735)</f>
        <v/>
      </c>
      <c r="CD735" s="27"/>
      <c r="CE735" s="27"/>
    </row>
    <row r="736" customFormat="false" ht="15" hidden="false" customHeight="false" outlineLevel="0" collapsed="false">
      <c r="A736" s="27"/>
      <c r="B736" s="27"/>
      <c r="C736" s="27"/>
      <c r="D736" s="27"/>
      <c r="E736" s="27"/>
      <c r="F736" s="27"/>
      <c r="G736" s="27"/>
      <c r="H736" s="27"/>
      <c r="I736" s="27"/>
      <c r="J736" s="28" t="str">
        <f aca="false">IF(AND(N(H736)&gt;0,N(I736)&gt;0),ROUND(I736/(H736/100)^2,1),"")</f>
        <v/>
      </c>
      <c r="K736" s="27"/>
      <c r="L736" s="27"/>
      <c r="M736" s="27"/>
      <c r="N736" s="27"/>
      <c r="O736" s="27"/>
      <c r="P736" s="27"/>
      <c r="Q736" s="27"/>
      <c r="R736" s="29"/>
      <c r="S736" s="29"/>
      <c r="T736" s="27"/>
      <c r="U736" s="28" t="str">
        <f aca="false">IF(N(T736)=0,"",IF(T736&lt;12,"Under 12 months",IF(T736&lt;36,"12-35 months",IF(T736&lt;60,"36-59 months","≥60 months"))))</f>
        <v/>
      </c>
      <c r="V736" s="27"/>
      <c r="W736" s="30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9"/>
      <c r="AT736" s="30"/>
      <c r="AU736" s="30"/>
      <c r="AV736" s="30"/>
      <c r="AW736" s="27"/>
      <c r="AX736" s="27"/>
      <c r="AY736" s="29"/>
      <c r="AZ736" s="27"/>
      <c r="BA736" s="27"/>
      <c r="BB736" s="29"/>
      <c r="BC736" s="30"/>
      <c r="BD736" s="30"/>
      <c r="BE736" s="30"/>
      <c r="BF736" s="27"/>
      <c r="BG736" s="27"/>
      <c r="BH736" s="28" t="str">
        <f aca="false">IF(COUNT(BC736:BE736)=0,"",IF(MIN(BC736:BE736)&lt;=-2.5,"Yes","No"))</f>
        <v/>
      </c>
      <c r="BI736" s="27"/>
      <c r="BJ736" s="29"/>
      <c r="BK736" s="27"/>
      <c r="BL736" s="27"/>
      <c r="BM736" s="27"/>
      <c r="BN736" s="28" t="str">
        <f aca="false">IF(OR(AX736="Yes",BI736="Yes"),"Yes",IF(AND(AX736="No",BI736="No"),"No",IF(AND(AX736="",BI736=""),"","Unknown")))</f>
        <v/>
      </c>
      <c r="BO736" s="31" t="str">
        <f aca="false">IF(COUNT(AY736,BJ736)=0,"",MIN(AY736,BJ736))</f>
        <v/>
      </c>
      <c r="BP736" s="29"/>
      <c r="BQ736" s="29"/>
      <c r="BR736" s="29"/>
      <c r="BS736" s="28" t="str">
        <f aca="false">IF(AND(N(BP736)&gt;0,N(BR736)&gt;0),BR736-BP736,"")</f>
        <v/>
      </c>
      <c r="BT736" s="28" t="str">
        <f aca="false">IF(BS736="","",ROUND(BS736/365.25,2))</f>
        <v/>
      </c>
      <c r="BU736" s="28" t="str">
        <f aca="false">IF(BS736="","",IF(BS736&gt;=730.5,"Yes","No"))</f>
        <v/>
      </c>
      <c r="BV736" s="27"/>
      <c r="BW736" s="29"/>
      <c r="BX736" s="27"/>
      <c r="BY736" s="27"/>
      <c r="BZ736" s="28" t="str">
        <f aca="false">IF(N(E736)=0,"",IF(E736&lt;65,"Under 65","≥65"))</f>
        <v/>
      </c>
      <c r="CA736" s="28" t="str">
        <f aca="false">IF(OR(AC736="Yes",AC736="No"),AC736,"")</f>
        <v/>
      </c>
      <c r="CB736" s="28" t="str">
        <f aca="false">IF(OR(AD736="Yes",AD736="No"),AD736,"")</f>
        <v/>
      </c>
      <c r="CC736" s="28" t="str">
        <f aca="false">IF(F736="","",F736)</f>
        <v/>
      </c>
      <c r="CD736" s="27"/>
      <c r="CE736" s="27"/>
    </row>
    <row r="737" customFormat="false" ht="15" hidden="false" customHeight="false" outlineLevel="0" collapsed="false">
      <c r="A737" s="27"/>
      <c r="B737" s="27"/>
      <c r="C737" s="27"/>
      <c r="D737" s="27"/>
      <c r="E737" s="27"/>
      <c r="F737" s="27"/>
      <c r="G737" s="27"/>
      <c r="H737" s="27"/>
      <c r="I737" s="27"/>
      <c r="J737" s="28" t="str">
        <f aca="false">IF(AND(N(H737)&gt;0,N(I737)&gt;0),ROUND(I737/(H737/100)^2,1),"")</f>
        <v/>
      </c>
      <c r="K737" s="27"/>
      <c r="L737" s="27"/>
      <c r="M737" s="27"/>
      <c r="N737" s="27"/>
      <c r="O737" s="27"/>
      <c r="P737" s="27"/>
      <c r="Q737" s="27"/>
      <c r="R737" s="29"/>
      <c r="S737" s="29"/>
      <c r="T737" s="27"/>
      <c r="U737" s="28" t="str">
        <f aca="false">IF(N(T737)=0,"",IF(T737&lt;12,"Under 12 months",IF(T737&lt;36,"12-35 months",IF(T737&lt;60,"36-59 months","≥60 months"))))</f>
        <v/>
      </c>
      <c r="V737" s="27"/>
      <c r="W737" s="30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9"/>
      <c r="AT737" s="30"/>
      <c r="AU737" s="30"/>
      <c r="AV737" s="30"/>
      <c r="AW737" s="27"/>
      <c r="AX737" s="27"/>
      <c r="AY737" s="29"/>
      <c r="AZ737" s="27"/>
      <c r="BA737" s="27"/>
      <c r="BB737" s="29"/>
      <c r="BC737" s="30"/>
      <c r="BD737" s="30"/>
      <c r="BE737" s="30"/>
      <c r="BF737" s="27"/>
      <c r="BG737" s="27"/>
      <c r="BH737" s="28" t="str">
        <f aca="false">IF(COUNT(BC737:BE737)=0,"",IF(MIN(BC737:BE737)&lt;=-2.5,"Yes","No"))</f>
        <v/>
      </c>
      <c r="BI737" s="27"/>
      <c r="BJ737" s="29"/>
      <c r="BK737" s="27"/>
      <c r="BL737" s="27"/>
      <c r="BM737" s="27"/>
      <c r="BN737" s="28" t="str">
        <f aca="false">IF(OR(AX737="Yes",BI737="Yes"),"Yes",IF(AND(AX737="No",BI737="No"),"No",IF(AND(AX737="",BI737=""),"","Unknown")))</f>
        <v/>
      </c>
      <c r="BO737" s="31" t="str">
        <f aca="false">IF(COUNT(AY737,BJ737)=0,"",MIN(AY737,BJ737))</f>
        <v/>
      </c>
      <c r="BP737" s="29"/>
      <c r="BQ737" s="29"/>
      <c r="BR737" s="29"/>
      <c r="BS737" s="28" t="str">
        <f aca="false">IF(AND(N(BP737)&gt;0,N(BR737)&gt;0),BR737-BP737,"")</f>
        <v/>
      </c>
      <c r="BT737" s="28" t="str">
        <f aca="false">IF(BS737="","",ROUND(BS737/365.25,2))</f>
        <v/>
      </c>
      <c r="BU737" s="28" t="str">
        <f aca="false">IF(BS737="","",IF(BS737&gt;=730.5,"Yes","No"))</f>
        <v/>
      </c>
      <c r="BV737" s="27"/>
      <c r="BW737" s="29"/>
      <c r="BX737" s="27"/>
      <c r="BY737" s="27"/>
      <c r="BZ737" s="28" t="str">
        <f aca="false">IF(N(E737)=0,"",IF(E737&lt;65,"Under 65","≥65"))</f>
        <v/>
      </c>
      <c r="CA737" s="28" t="str">
        <f aca="false">IF(OR(AC737="Yes",AC737="No"),AC737,"")</f>
        <v/>
      </c>
      <c r="CB737" s="28" t="str">
        <f aca="false">IF(OR(AD737="Yes",AD737="No"),AD737,"")</f>
        <v/>
      </c>
      <c r="CC737" s="28" t="str">
        <f aca="false">IF(F737="","",F737)</f>
        <v/>
      </c>
      <c r="CD737" s="27"/>
      <c r="CE737" s="27"/>
    </row>
    <row r="738" customFormat="false" ht="15" hidden="false" customHeight="false" outlineLevel="0" collapsed="false">
      <c r="A738" s="27"/>
      <c r="B738" s="27"/>
      <c r="C738" s="27"/>
      <c r="D738" s="27"/>
      <c r="E738" s="27"/>
      <c r="F738" s="27"/>
      <c r="G738" s="27"/>
      <c r="H738" s="27"/>
      <c r="I738" s="27"/>
      <c r="J738" s="28" t="str">
        <f aca="false">IF(AND(N(H738)&gt;0,N(I738)&gt;0),ROUND(I738/(H738/100)^2,1),"")</f>
        <v/>
      </c>
      <c r="K738" s="27"/>
      <c r="L738" s="27"/>
      <c r="M738" s="27"/>
      <c r="N738" s="27"/>
      <c r="O738" s="27"/>
      <c r="P738" s="27"/>
      <c r="Q738" s="27"/>
      <c r="R738" s="29"/>
      <c r="S738" s="29"/>
      <c r="T738" s="27"/>
      <c r="U738" s="28" t="str">
        <f aca="false">IF(N(T738)=0,"",IF(T738&lt;12,"Under 12 months",IF(T738&lt;36,"12-35 months",IF(T738&lt;60,"36-59 months","≥60 months"))))</f>
        <v/>
      </c>
      <c r="V738" s="27"/>
      <c r="W738" s="30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9"/>
      <c r="AT738" s="30"/>
      <c r="AU738" s="30"/>
      <c r="AV738" s="30"/>
      <c r="AW738" s="27"/>
      <c r="AX738" s="27"/>
      <c r="AY738" s="29"/>
      <c r="AZ738" s="27"/>
      <c r="BA738" s="27"/>
      <c r="BB738" s="29"/>
      <c r="BC738" s="30"/>
      <c r="BD738" s="30"/>
      <c r="BE738" s="30"/>
      <c r="BF738" s="27"/>
      <c r="BG738" s="27"/>
      <c r="BH738" s="28" t="str">
        <f aca="false">IF(COUNT(BC738:BE738)=0,"",IF(MIN(BC738:BE738)&lt;=-2.5,"Yes","No"))</f>
        <v/>
      </c>
      <c r="BI738" s="27"/>
      <c r="BJ738" s="29"/>
      <c r="BK738" s="27"/>
      <c r="BL738" s="27"/>
      <c r="BM738" s="27"/>
      <c r="BN738" s="28" t="str">
        <f aca="false">IF(OR(AX738="Yes",BI738="Yes"),"Yes",IF(AND(AX738="No",BI738="No"),"No",IF(AND(AX738="",BI738=""),"","Unknown")))</f>
        <v/>
      </c>
      <c r="BO738" s="31" t="str">
        <f aca="false">IF(COUNT(AY738,BJ738)=0,"",MIN(AY738,BJ738))</f>
        <v/>
      </c>
      <c r="BP738" s="29"/>
      <c r="BQ738" s="29"/>
      <c r="BR738" s="29"/>
      <c r="BS738" s="28" t="str">
        <f aca="false">IF(AND(N(BP738)&gt;0,N(BR738)&gt;0),BR738-BP738,"")</f>
        <v/>
      </c>
      <c r="BT738" s="28" t="str">
        <f aca="false">IF(BS738="","",ROUND(BS738/365.25,2))</f>
        <v/>
      </c>
      <c r="BU738" s="28" t="str">
        <f aca="false">IF(BS738="","",IF(BS738&gt;=730.5,"Yes","No"))</f>
        <v/>
      </c>
      <c r="BV738" s="27"/>
      <c r="BW738" s="29"/>
      <c r="BX738" s="27"/>
      <c r="BY738" s="27"/>
      <c r="BZ738" s="28" t="str">
        <f aca="false">IF(N(E738)=0,"",IF(E738&lt;65,"Under 65","≥65"))</f>
        <v/>
      </c>
      <c r="CA738" s="28" t="str">
        <f aca="false">IF(OR(AC738="Yes",AC738="No"),AC738,"")</f>
        <v/>
      </c>
      <c r="CB738" s="28" t="str">
        <f aca="false">IF(OR(AD738="Yes",AD738="No"),AD738,"")</f>
        <v/>
      </c>
      <c r="CC738" s="28" t="str">
        <f aca="false">IF(F738="","",F738)</f>
        <v/>
      </c>
      <c r="CD738" s="27"/>
      <c r="CE738" s="27"/>
    </row>
    <row r="739" customFormat="false" ht="15" hidden="false" customHeight="false" outlineLevel="0" collapsed="false">
      <c r="A739" s="27"/>
      <c r="B739" s="27"/>
      <c r="C739" s="27"/>
      <c r="D739" s="27"/>
      <c r="E739" s="27"/>
      <c r="F739" s="27"/>
      <c r="G739" s="27"/>
      <c r="H739" s="27"/>
      <c r="I739" s="27"/>
      <c r="J739" s="28" t="str">
        <f aca="false">IF(AND(N(H739)&gt;0,N(I739)&gt;0),ROUND(I739/(H739/100)^2,1),"")</f>
        <v/>
      </c>
      <c r="K739" s="27"/>
      <c r="L739" s="27"/>
      <c r="M739" s="27"/>
      <c r="N739" s="27"/>
      <c r="O739" s="27"/>
      <c r="P739" s="27"/>
      <c r="Q739" s="27"/>
      <c r="R739" s="29"/>
      <c r="S739" s="29"/>
      <c r="T739" s="27"/>
      <c r="U739" s="28" t="str">
        <f aca="false">IF(N(T739)=0,"",IF(T739&lt;12,"Under 12 months",IF(T739&lt;36,"12-35 months",IF(T739&lt;60,"36-59 months","≥60 months"))))</f>
        <v/>
      </c>
      <c r="V739" s="27"/>
      <c r="W739" s="30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9"/>
      <c r="AT739" s="30"/>
      <c r="AU739" s="30"/>
      <c r="AV739" s="30"/>
      <c r="AW739" s="27"/>
      <c r="AX739" s="27"/>
      <c r="AY739" s="29"/>
      <c r="AZ739" s="27"/>
      <c r="BA739" s="27"/>
      <c r="BB739" s="29"/>
      <c r="BC739" s="30"/>
      <c r="BD739" s="30"/>
      <c r="BE739" s="30"/>
      <c r="BF739" s="27"/>
      <c r="BG739" s="27"/>
      <c r="BH739" s="28" t="str">
        <f aca="false">IF(COUNT(BC739:BE739)=0,"",IF(MIN(BC739:BE739)&lt;=-2.5,"Yes","No"))</f>
        <v/>
      </c>
      <c r="BI739" s="27"/>
      <c r="BJ739" s="29"/>
      <c r="BK739" s="27"/>
      <c r="BL739" s="27"/>
      <c r="BM739" s="27"/>
      <c r="BN739" s="28" t="str">
        <f aca="false">IF(OR(AX739="Yes",BI739="Yes"),"Yes",IF(AND(AX739="No",BI739="No"),"No",IF(AND(AX739="",BI739=""),"","Unknown")))</f>
        <v/>
      </c>
      <c r="BO739" s="31" t="str">
        <f aca="false">IF(COUNT(AY739,BJ739)=0,"",MIN(AY739,BJ739))</f>
        <v/>
      </c>
      <c r="BP739" s="29"/>
      <c r="BQ739" s="29"/>
      <c r="BR739" s="29"/>
      <c r="BS739" s="28" t="str">
        <f aca="false">IF(AND(N(BP739)&gt;0,N(BR739)&gt;0),BR739-BP739,"")</f>
        <v/>
      </c>
      <c r="BT739" s="28" t="str">
        <f aca="false">IF(BS739="","",ROUND(BS739/365.25,2))</f>
        <v/>
      </c>
      <c r="BU739" s="28" t="str">
        <f aca="false">IF(BS739="","",IF(BS739&gt;=730.5,"Yes","No"))</f>
        <v/>
      </c>
      <c r="BV739" s="27"/>
      <c r="BW739" s="29"/>
      <c r="BX739" s="27"/>
      <c r="BY739" s="27"/>
      <c r="BZ739" s="28" t="str">
        <f aca="false">IF(N(E739)=0,"",IF(E739&lt;65,"Under 65","≥65"))</f>
        <v/>
      </c>
      <c r="CA739" s="28" t="str">
        <f aca="false">IF(OR(AC739="Yes",AC739="No"),AC739,"")</f>
        <v/>
      </c>
      <c r="CB739" s="28" t="str">
        <f aca="false">IF(OR(AD739="Yes",AD739="No"),AD739,"")</f>
        <v/>
      </c>
      <c r="CC739" s="28" t="str">
        <f aca="false">IF(F739="","",F739)</f>
        <v/>
      </c>
      <c r="CD739" s="27"/>
      <c r="CE739" s="27"/>
    </row>
    <row r="740" customFormat="false" ht="15" hidden="false" customHeight="false" outlineLevel="0" collapsed="false">
      <c r="A740" s="27"/>
      <c r="B740" s="27"/>
      <c r="C740" s="27"/>
      <c r="D740" s="27"/>
      <c r="E740" s="27"/>
      <c r="F740" s="27"/>
      <c r="G740" s="27"/>
      <c r="H740" s="27"/>
      <c r="I740" s="27"/>
      <c r="J740" s="28" t="str">
        <f aca="false">IF(AND(N(H740)&gt;0,N(I740)&gt;0),ROUND(I740/(H740/100)^2,1),"")</f>
        <v/>
      </c>
      <c r="K740" s="27"/>
      <c r="L740" s="27"/>
      <c r="M740" s="27"/>
      <c r="N740" s="27"/>
      <c r="O740" s="27"/>
      <c r="P740" s="27"/>
      <c r="Q740" s="27"/>
      <c r="R740" s="29"/>
      <c r="S740" s="29"/>
      <c r="T740" s="27"/>
      <c r="U740" s="28" t="str">
        <f aca="false">IF(N(T740)=0,"",IF(T740&lt;12,"Under 12 months",IF(T740&lt;36,"12-35 months",IF(T740&lt;60,"36-59 months","≥60 months"))))</f>
        <v/>
      </c>
      <c r="V740" s="27"/>
      <c r="W740" s="30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9"/>
      <c r="AT740" s="30"/>
      <c r="AU740" s="30"/>
      <c r="AV740" s="30"/>
      <c r="AW740" s="27"/>
      <c r="AX740" s="27"/>
      <c r="AY740" s="29"/>
      <c r="AZ740" s="27"/>
      <c r="BA740" s="27"/>
      <c r="BB740" s="29"/>
      <c r="BC740" s="30"/>
      <c r="BD740" s="30"/>
      <c r="BE740" s="30"/>
      <c r="BF740" s="27"/>
      <c r="BG740" s="27"/>
      <c r="BH740" s="28" t="str">
        <f aca="false">IF(COUNT(BC740:BE740)=0,"",IF(MIN(BC740:BE740)&lt;=-2.5,"Yes","No"))</f>
        <v/>
      </c>
      <c r="BI740" s="27"/>
      <c r="BJ740" s="29"/>
      <c r="BK740" s="27"/>
      <c r="BL740" s="27"/>
      <c r="BM740" s="27"/>
      <c r="BN740" s="28" t="str">
        <f aca="false">IF(OR(AX740="Yes",BI740="Yes"),"Yes",IF(AND(AX740="No",BI740="No"),"No",IF(AND(AX740="",BI740=""),"","Unknown")))</f>
        <v/>
      </c>
      <c r="BO740" s="31" t="str">
        <f aca="false">IF(COUNT(AY740,BJ740)=0,"",MIN(AY740,BJ740))</f>
        <v/>
      </c>
      <c r="BP740" s="29"/>
      <c r="BQ740" s="29"/>
      <c r="BR740" s="29"/>
      <c r="BS740" s="28" t="str">
        <f aca="false">IF(AND(N(BP740)&gt;0,N(BR740)&gt;0),BR740-BP740,"")</f>
        <v/>
      </c>
      <c r="BT740" s="28" t="str">
        <f aca="false">IF(BS740="","",ROUND(BS740/365.25,2))</f>
        <v/>
      </c>
      <c r="BU740" s="28" t="str">
        <f aca="false">IF(BS740="","",IF(BS740&gt;=730.5,"Yes","No"))</f>
        <v/>
      </c>
      <c r="BV740" s="27"/>
      <c r="BW740" s="29"/>
      <c r="BX740" s="27"/>
      <c r="BY740" s="27"/>
      <c r="BZ740" s="28" t="str">
        <f aca="false">IF(N(E740)=0,"",IF(E740&lt;65,"Under 65","≥65"))</f>
        <v/>
      </c>
      <c r="CA740" s="28" t="str">
        <f aca="false">IF(OR(AC740="Yes",AC740="No"),AC740,"")</f>
        <v/>
      </c>
      <c r="CB740" s="28" t="str">
        <f aca="false">IF(OR(AD740="Yes",AD740="No"),AD740,"")</f>
        <v/>
      </c>
      <c r="CC740" s="28" t="str">
        <f aca="false">IF(F740="","",F740)</f>
        <v/>
      </c>
      <c r="CD740" s="27"/>
      <c r="CE740" s="27"/>
    </row>
    <row r="741" customFormat="false" ht="15" hidden="false" customHeight="false" outlineLevel="0" collapsed="false">
      <c r="A741" s="27"/>
      <c r="B741" s="27"/>
      <c r="C741" s="27"/>
      <c r="D741" s="27"/>
      <c r="E741" s="27"/>
      <c r="F741" s="27"/>
      <c r="G741" s="27"/>
      <c r="H741" s="27"/>
      <c r="I741" s="27"/>
      <c r="J741" s="28" t="str">
        <f aca="false">IF(AND(N(H741)&gt;0,N(I741)&gt;0),ROUND(I741/(H741/100)^2,1),"")</f>
        <v/>
      </c>
      <c r="K741" s="27"/>
      <c r="L741" s="27"/>
      <c r="M741" s="27"/>
      <c r="N741" s="27"/>
      <c r="O741" s="27"/>
      <c r="P741" s="27"/>
      <c r="Q741" s="27"/>
      <c r="R741" s="29"/>
      <c r="S741" s="29"/>
      <c r="T741" s="27"/>
      <c r="U741" s="28" t="str">
        <f aca="false">IF(N(T741)=0,"",IF(T741&lt;12,"Under 12 months",IF(T741&lt;36,"12-35 months",IF(T741&lt;60,"36-59 months","≥60 months"))))</f>
        <v/>
      </c>
      <c r="V741" s="27"/>
      <c r="W741" s="30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9"/>
      <c r="AT741" s="30"/>
      <c r="AU741" s="30"/>
      <c r="AV741" s="30"/>
      <c r="AW741" s="27"/>
      <c r="AX741" s="27"/>
      <c r="AY741" s="29"/>
      <c r="AZ741" s="27"/>
      <c r="BA741" s="27"/>
      <c r="BB741" s="29"/>
      <c r="BC741" s="30"/>
      <c r="BD741" s="30"/>
      <c r="BE741" s="30"/>
      <c r="BF741" s="27"/>
      <c r="BG741" s="27"/>
      <c r="BH741" s="28" t="str">
        <f aca="false">IF(COUNT(BC741:BE741)=0,"",IF(MIN(BC741:BE741)&lt;=-2.5,"Yes","No"))</f>
        <v/>
      </c>
      <c r="BI741" s="27"/>
      <c r="BJ741" s="29"/>
      <c r="BK741" s="27"/>
      <c r="BL741" s="27"/>
      <c r="BM741" s="27"/>
      <c r="BN741" s="28" t="str">
        <f aca="false">IF(OR(AX741="Yes",BI741="Yes"),"Yes",IF(AND(AX741="No",BI741="No"),"No",IF(AND(AX741="",BI741=""),"","Unknown")))</f>
        <v/>
      </c>
      <c r="BO741" s="31" t="str">
        <f aca="false">IF(COUNT(AY741,BJ741)=0,"",MIN(AY741,BJ741))</f>
        <v/>
      </c>
      <c r="BP741" s="29"/>
      <c r="BQ741" s="29"/>
      <c r="BR741" s="29"/>
      <c r="BS741" s="28" t="str">
        <f aca="false">IF(AND(N(BP741)&gt;0,N(BR741)&gt;0),BR741-BP741,"")</f>
        <v/>
      </c>
      <c r="BT741" s="28" t="str">
        <f aca="false">IF(BS741="","",ROUND(BS741/365.25,2))</f>
        <v/>
      </c>
      <c r="BU741" s="28" t="str">
        <f aca="false">IF(BS741="","",IF(BS741&gt;=730.5,"Yes","No"))</f>
        <v/>
      </c>
      <c r="BV741" s="27"/>
      <c r="BW741" s="29"/>
      <c r="BX741" s="27"/>
      <c r="BY741" s="27"/>
      <c r="BZ741" s="28" t="str">
        <f aca="false">IF(N(E741)=0,"",IF(E741&lt;65,"Under 65","≥65"))</f>
        <v/>
      </c>
      <c r="CA741" s="28" t="str">
        <f aca="false">IF(OR(AC741="Yes",AC741="No"),AC741,"")</f>
        <v/>
      </c>
      <c r="CB741" s="28" t="str">
        <f aca="false">IF(OR(AD741="Yes",AD741="No"),AD741,"")</f>
        <v/>
      </c>
      <c r="CC741" s="28" t="str">
        <f aca="false">IF(F741="","",F741)</f>
        <v/>
      </c>
      <c r="CD741" s="27"/>
      <c r="CE741" s="27"/>
    </row>
    <row r="742" customFormat="false" ht="15" hidden="false" customHeight="false" outlineLevel="0" collapsed="false">
      <c r="A742" s="27"/>
      <c r="B742" s="27"/>
      <c r="C742" s="27"/>
      <c r="D742" s="27"/>
      <c r="E742" s="27"/>
      <c r="F742" s="27"/>
      <c r="G742" s="27"/>
      <c r="H742" s="27"/>
      <c r="I742" s="27"/>
      <c r="J742" s="28" t="str">
        <f aca="false">IF(AND(N(H742)&gt;0,N(I742)&gt;0),ROUND(I742/(H742/100)^2,1),"")</f>
        <v/>
      </c>
      <c r="K742" s="27"/>
      <c r="L742" s="27"/>
      <c r="M742" s="27"/>
      <c r="N742" s="27"/>
      <c r="O742" s="27"/>
      <c r="P742" s="27"/>
      <c r="Q742" s="27"/>
      <c r="R742" s="29"/>
      <c r="S742" s="29"/>
      <c r="T742" s="27"/>
      <c r="U742" s="28" t="str">
        <f aca="false">IF(N(T742)=0,"",IF(T742&lt;12,"Under 12 months",IF(T742&lt;36,"12-35 months",IF(T742&lt;60,"36-59 months","≥60 months"))))</f>
        <v/>
      </c>
      <c r="V742" s="27"/>
      <c r="W742" s="30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9"/>
      <c r="AT742" s="30"/>
      <c r="AU742" s="30"/>
      <c r="AV742" s="30"/>
      <c r="AW742" s="27"/>
      <c r="AX742" s="27"/>
      <c r="AY742" s="29"/>
      <c r="AZ742" s="27"/>
      <c r="BA742" s="27"/>
      <c r="BB742" s="29"/>
      <c r="BC742" s="30"/>
      <c r="BD742" s="30"/>
      <c r="BE742" s="30"/>
      <c r="BF742" s="27"/>
      <c r="BG742" s="27"/>
      <c r="BH742" s="28" t="str">
        <f aca="false">IF(COUNT(BC742:BE742)=0,"",IF(MIN(BC742:BE742)&lt;=-2.5,"Yes","No"))</f>
        <v/>
      </c>
      <c r="BI742" s="27"/>
      <c r="BJ742" s="29"/>
      <c r="BK742" s="27"/>
      <c r="BL742" s="27"/>
      <c r="BM742" s="27"/>
      <c r="BN742" s="28" t="str">
        <f aca="false">IF(OR(AX742="Yes",BI742="Yes"),"Yes",IF(AND(AX742="No",BI742="No"),"No",IF(AND(AX742="",BI742=""),"","Unknown")))</f>
        <v/>
      </c>
      <c r="BO742" s="31" t="str">
        <f aca="false">IF(COUNT(AY742,BJ742)=0,"",MIN(AY742,BJ742))</f>
        <v/>
      </c>
      <c r="BP742" s="29"/>
      <c r="BQ742" s="29"/>
      <c r="BR742" s="29"/>
      <c r="BS742" s="28" t="str">
        <f aca="false">IF(AND(N(BP742)&gt;0,N(BR742)&gt;0),BR742-BP742,"")</f>
        <v/>
      </c>
      <c r="BT742" s="28" t="str">
        <f aca="false">IF(BS742="","",ROUND(BS742/365.25,2))</f>
        <v/>
      </c>
      <c r="BU742" s="28" t="str">
        <f aca="false">IF(BS742="","",IF(BS742&gt;=730.5,"Yes","No"))</f>
        <v/>
      </c>
      <c r="BV742" s="27"/>
      <c r="BW742" s="29"/>
      <c r="BX742" s="27"/>
      <c r="BY742" s="27"/>
      <c r="BZ742" s="28" t="str">
        <f aca="false">IF(N(E742)=0,"",IF(E742&lt;65,"Under 65","≥65"))</f>
        <v/>
      </c>
      <c r="CA742" s="28" t="str">
        <f aca="false">IF(OR(AC742="Yes",AC742="No"),AC742,"")</f>
        <v/>
      </c>
      <c r="CB742" s="28" t="str">
        <f aca="false">IF(OR(AD742="Yes",AD742="No"),AD742,"")</f>
        <v/>
      </c>
      <c r="CC742" s="28" t="str">
        <f aca="false">IF(F742="","",F742)</f>
        <v/>
      </c>
      <c r="CD742" s="27"/>
      <c r="CE742" s="27"/>
    </row>
    <row r="743" customFormat="false" ht="15" hidden="false" customHeight="false" outlineLevel="0" collapsed="false">
      <c r="A743" s="27"/>
      <c r="B743" s="27"/>
      <c r="C743" s="27"/>
      <c r="D743" s="27"/>
      <c r="E743" s="27"/>
      <c r="F743" s="27"/>
      <c r="G743" s="27"/>
      <c r="H743" s="27"/>
      <c r="I743" s="27"/>
      <c r="J743" s="28" t="str">
        <f aca="false">IF(AND(N(H743)&gt;0,N(I743)&gt;0),ROUND(I743/(H743/100)^2,1),"")</f>
        <v/>
      </c>
      <c r="K743" s="27"/>
      <c r="L743" s="27"/>
      <c r="M743" s="27"/>
      <c r="N743" s="27"/>
      <c r="O743" s="27"/>
      <c r="P743" s="27"/>
      <c r="Q743" s="27"/>
      <c r="R743" s="29"/>
      <c r="S743" s="29"/>
      <c r="T743" s="27"/>
      <c r="U743" s="28" t="str">
        <f aca="false">IF(N(T743)=0,"",IF(T743&lt;12,"Under 12 months",IF(T743&lt;36,"12-35 months",IF(T743&lt;60,"36-59 months","≥60 months"))))</f>
        <v/>
      </c>
      <c r="V743" s="27"/>
      <c r="W743" s="30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9"/>
      <c r="AT743" s="30"/>
      <c r="AU743" s="30"/>
      <c r="AV743" s="30"/>
      <c r="AW743" s="27"/>
      <c r="AX743" s="27"/>
      <c r="AY743" s="29"/>
      <c r="AZ743" s="27"/>
      <c r="BA743" s="27"/>
      <c r="BB743" s="29"/>
      <c r="BC743" s="30"/>
      <c r="BD743" s="30"/>
      <c r="BE743" s="30"/>
      <c r="BF743" s="27"/>
      <c r="BG743" s="27"/>
      <c r="BH743" s="28" t="str">
        <f aca="false">IF(COUNT(BC743:BE743)=0,"",IF(MIN(BC743:BE743)&lt;=-2.5,"Yes","No"))</f>
        <v/>
      </c>
      <c r="BI743" s="27"/>
      <c r="BJ743" s="29"/>
      <c r="BK743" s="27"/>
      <c r="BL743" s="27"/>
      <c r="BM743" s="27"/>
      <c r="BN743" s="28" t="str">
        <f aca="false">IF(OR(AX743="Yes",BI743="Yes"),"Yes",IF(AND(AX743="No",BI743="No"),"No",IF(AND(AX743="",BI743=""),"","Unknown")))</f>
        <v/>
      </c>
      <c r="BO743" s="31" t="str">
        <f aca="false">IF(COUNT(AY743,BJ743)=0,"",MIN(AY743,BJ743))</f>
        <v/>
      </c>
      <c r="BP743" s="29"/>
      <c r="BQ743" s="29"/>
      <c r="BR743" s="29"/>
      <c r="BS743" s="28" t="str">
        <f aca="false">IF(AND(N(BP743)&gt;0,N(BR743)&gt;0),BR743-BP743,"")</f>
        <v/>
      </c>
      <c r="BT743" s="28" t="str">
        <f aca="false">IF(BS743="","",ROUND(BS743/365.25,2))</f>
        <v/>
      </c>
      <c r="BU743" s="28" t="str">
        <f aca="false">IF(BS743="","",IF(BS743&gt;=730.5,"Yes","No"))</f>
        <v/>
      </c>
      <c r="BV743" s="27"/>
      <c r="BW743" s="29"/>
      <c r="BX743" s="27"/>
      <c r="BY743" s="27"/>
      <c r="BZ743" s="28" t="str">
        <f aca="false">IF(N(E743)=0,"",IF(E743&lt;65,"Under 65","≥65"))</f>
        <v/>
      </c>
      <c r="CA743" s="28" t="str">
        <f aca="false">IF(OR(AC743="Yes",AC743="No"),AC743,"")</f>
        <v/>
      </c>
      <c r="CB743" s="28" t="str">
        <f aca="false">IF(OR(AD743="Yes",AD743="No"),AD743,"")</f>
        <v/>
      </c>
      <c r="CC743" s="28" t="str">
        <f aca="false">IF(F743="","",F743)</f>
        <v/>
      </c>
      <c r="CD743" s="27"/>
      <c r="CE743" s="27"/>
    </row>
    <row r="744" customFormat="false" ht="15" hidden="false" customHeight="false" outlineLevel="0" collapsed="false">
      <c r="A744" s="27"/>
      <c r="B744" s="27"/>
      <c r="C744" s="27"/>
      <c r="D744" s="27"/>
      <c r="E744" s="27"/>
      <c r="F744" s="27"/>
      <c r="G744" s="27"/>
      <c r="H744" s="27"/>
      <c r="I744" s="27"/>
      <c r="J744" s="28" t="str">
        <f aca="false">IF(AND(N(H744)&gt;0,N(I744)&gt;0),ROUND(I744/(H744/100)^2,1),"")</f>
        <v/>
      </c>
      <c r="K744" s="27"/>
      <c r="L744" s="27"/>
      <c r="M744" s="27"/>
      <c r="N744" s="27"/>
      <c r="O744" s="27"/>
      <c r="P744" s="27"/>
      <c r="Q744" s="27"/>
      <c r="R744" s="29"/>
      <c r="S744" s="29"/>
      <c r="T744" s="27"/>
      <c r="U744" s="28" t="str">
        <f aca="false">IF(N(T744)=0,"",IF(T744&lt;12,"Under 12 months",IF(T744&lt;36,"12-35 months",IF(T744&lt;60,"36-59 months","≥60 months"))))</f>
        <v/>
      </c>
      <c r="V744" s="27"/>
      <c r="W744" s="30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9"/>
      <c r="AT744" s="30"/>
      <c r="AU744" s="30"/>
      <c r="AV744" s="30"/>
      <c r="AW744" s="27"/>
      <c r="AX744" s="27"/>
      <c r="AY744" s="29"/>
      <c r="AZ744" s="27"/>
      <c r="BA744" s="27"/>
      <c r="BB744" s="29"/>
      <c r="BC744" s="30"/>
      <c r="BD744" s="30"/>
      <c r="BE744" s="30"/>
      <c r="BF744" s="27"/>
      <c r="BG744" s="27"/>
      <c r="BH744" s="28" t="str">
        <f aca="false">IF(COUNT(BC744:BE744)=0,"",IF(MIN(BC744:BE744)&lt;=-2.5,"Yes","No"))</f>
        <v/>
      </c>
      <c r="BI744" s="27"/>
      <c r="BJ744" s="29"/>
      <c r="BK744" s="27"/>
      <c r="BL744" s="27"/>
      <c r="BM744" s="27"/>
      <c r="BN744" s="28" t="str">
        <f aca="false">IF(OR(AX744="Yes",BI744="Yes"),"Yes",IF(AND(AX744="No",BI744="No"),"No",IF(AND(AX744="",BI744=""),"","Unknown")))</f>
        <v/>
      </c>
      <c r="BO744" s="31" t="str">
        <f aca="false">IF(COUNT(AY744,BJ744)=0,"",MIN(AY744,BJ744))</f>
        <v/>
      </c>
      <c r="BP744" s="29"/>
      <c r="BQ744" s="29"/>
      <c r="BR744" s="29"/>
      <c r="BS744" s="28" t="str">
        <f aca="false">IF(AND(N(BP744)&gt;0,N(BR744)&gt;0),BR744-BP744,"")</f>
        <v/>
      </c>
      <c r="BT744" s="28" t="str">
        <f aca="false">IF(BS744="","",ROUND(BS744/365.25,2))</f>
        <v/>
      </c>
      <c r="BU744" s="28" t="str">
        <f aca="false">IF(BS744="","",IF(BS744&gt;=730.5,"Yes","No"))</f>
        <v/>
      </c>
      <c r="BV744" s="27"/>
      <c r="BW744" s="29"/>
      <c r="BX744" s="27"/>
      <c r="BY744" s="27"/>
      <c r="BZ744" s="28" t="str">
        <f aca="false">IF(N(E744)=0,"",IF(E744&lt;65,"Under 65","≥65"))</f>
        <v/>
      </c>
      <c r="CA744" s="28" t="str">
        <f aca="false">IF(OR(AC744="Yes",AC744="No"),AC744,"")</f>
        <v/>
      </c>
      <c r="CB744" s="28" t="str">
        <f aca="false">IF(OR(AD744="Yes",AD744="No"),AD744,"")</f>
        <v/>
      </c>
      <c r="CC744" s="28" t="str">
        <f aca="false">IF(F744="","",F744)</f>
        <v/>
      </c>
      <c r="CD744" s="27"/>
      <c r="CE744" s="27"/>
    </row>
    <row r="745" customFormat="false" ht="15" hidden="false" customHeight="false" outlineLevel="0" collapsed="false">
      <c r="A745" s="27"/>
      <c r="B745" s="27"/>
      <c r="C745" s="27"/>
      <c r="D745" s="27"/>
      <c r="E745" s="27"/>
      <c r="F745" s="27"/>
      <c r="G745" s="27"/>
      <c r="H745" s="27"/>
      <c r="I745" s="27"/>
      <c r="J745" s="28" t="str">
        <f aca="false">IF(AND(N(H745)&gt;0,N(I745)&gt;0),ROUND(I745/(H745/100)^2,1),"")</f>
        <v/>
      </c>
      <c r="K745" s="27"/>
      <c r="L745" s="27"/>
      <c r="M745" s="27"/>
      <c r="N745" s="27"/>
      <c r="O745" s="27"/>
      <c r="P745" s="27"/>
      <c r="Q745" s="27"/>
      <c r="R745" s="29"/>
      <c r="S745" s="29"/>
      <c r="T745" s="27"/>
      <c r="U745" s="28" t="str">
        <f aca="false">IF(N(T745)=0,"",IF(T745&lt;12,"Under 12 months",IF(T745&lt;36,"12-35 months",IF(T745&lt;60,"36-59 months","≥60 months"))))</f>
        <v/>
      </c>
      <c r="V745" s="27"/>
      <c r="W745" s="30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9"/>
      <c r="AT745" s="30"/>
      <c r="AU745" s="30"/>
      <c r="AV745" s="30"/>
      <c r="AW745" s="27"/>
      <c r="AX745" s="27"/>
      <c r="AY745" s="29"/>
      <c r="AZ745" s="27"/>
      <c r="BA745" s="27"/>
      <c r="BB745" s="29"/>
      <c r="BC745" s="30"/>
      <c r="BD745" s="30"/>
      <c r="BE745" s="30"/>
      <c r="BF745" s="27"/>
      <c r="BG745" s="27"/>
      <c r="BH745" s="28" t="str">
        <f aca="false">IF(COUNT(BC745:BE745)=0,"",IF(MIN(BC745:BE745)&lt;=-2.5,"Yes","No"))</f>
        <v/>
      </c>
      <c r="BI745" s="27"/>
      <c r="BJ745" s="29"/>
      <c r="BK745" s="27"/>
      <c r="BL745" s="27"/>
      <c r="BM745" s="27"/>
      <c r="BN745" s="28" t="str">
        <f aca="false">IF(OR(AX745="Yes",BI745="Yes"),"Yes",IF(AND(AX745="No",BI745="No"),"No",IF(AND(AX745="",BI745=""),"","Unknown")))</f>
        <v/>
      </c>
      <c r="BO745" s="31" t="str">
        <f aca="false">IF(COUNT(AY745,BJ745)=0,"",MIN(AY745,BJ745))</f>
        <v/>
      </c>
      <c r="BP745" s="29"/>
      <c r="BQ745" s="29"/>
      <c r="BR745" s="29"/>
      <c r="BS745" s="28" t="str">
        <f aca="false">IF(AND(N(BP745)&gt;0,N(BR745)&gt;0),BR745-BP745,"")</f>
        <v/>
      </c>
      <c r="BT745" s="28" t="str">
        <f aca="false">IF(BS745="","",ROUND(BS745/365.25,2))</f>
        <v/>
      </c>
      <c r="BU745" s="28" t="str">
        <f aca="false">IF(BS745="","",IF(BS745&gt;=730.5,"Yes","No"))</f>
        <v/>
      </c>
      <c r="BV745" s="27"/>
      <c r="BW745" s="29"/>
      <c r="BX745" s="27"/>
      <c r="BY745" s="27"/>
      <c r="BZ745" s="28" t="str">
        <f aca="false">IF(N(E745)=0,"",IF(E745&lt;65,"Under 65","≥65"))</f>
        <v/>
      </c>
      <c r="CA745" s="28" t="str">
        <f aca="false">IF(OR(AC745="Yes",AC745="No"),AC745,"")</f>
        <v/>
      </c>
      <c r="CB745" s="28" t="str">
        <f aca="false">IF(OR(AD745="Yes",AD745="No"),AD745,"")</f>
        <v/>
      </c>
      <c r="CC745" s="28" t="str">
        <f aca="false">IF(F745="","",F745)</f>
        <v/>
      </c>
      <c r="CD745" s="27"/>
      <c r="CE745" s="27"/>
    </row>
    <row r="746" customFormat="false" ht="15" hidden="false" customHeight="false" outlineLevel="0" collapsed="false">
      <c r="A746" s="27"/>
      <c r="B746" s="27"/>
      <c r="C746" s="27"/>
      <c r="D746" s="27"/>
      <c r="E746" s="27"/>
      <c r="F746" s="27"/>
      <c r="G746" s="27"/>
      <c r="H746" s="27"/>
      <c r="I746" s="27"/>
      <c r="J746" s="28" t="str">
        <f aca="false">IF(AND(N(H746)&gt;0,N(I746)&gt;0),ROUND(I746/(H746/100)^2,1),"")</f>
        <v/>
      </c>
      <c r="K746" s="27"/>
      <c r="L746" s="27"/>
      <c r="M746" s="27"/>
      <c r="N746" s="27"/>
      <c r="O746" s="27"/>
      <c r="P746" s="27"/>
      <c r="Q746" s="27"/>
      <c r="R746" s="29"/>
      <c r="S746" s="29"/>
      <c r="T746" s="27"/>
      <c r="U746" s="28" t="str">
        <f aca="false">IF(N(T746)=0,"",IF(T746&lt;12,"Under 12 months",IF(T746&lt;36,"12-35 months",IF(T746&lt;60,"36-59 months","≥60 months"))))</f>
        <v/>
      </c>
      <c r="V746" s="27"/>
      <c r="W746" s="30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9"/>
      <c r="AT746" s="30"/>
      <c r="AU746" s="30"/>
      <c r="AV746" s="30"/>
      <c r="AW746" s="27"/>
      <c r="AX746" s="27"/>
      <c r="AY746" s="29"/>
      <c r="AZ746" s="27"/>
      <c r="BA746" s="27"/>
      <c r="BB746" s="29"/>
      <c r="BC746" s="30"/>
      <c r="BD746" s="30"/>
      <c r="BE746" s="30"/>
      <c r="BF746" s="27"/>
      <c r="BG746" s="27"/>
      <c r="BH746" s="28" t="str">
        <f aca="false">IF(COUNT(BC746:BE746)=0,"",IF(MIN(BC746:BE746)&lt;=-2.5,"Yes","No"))</f>
        <v/>
      </c>
      <c r="BI746" s="27"/>
      <c r="BJ746" s="29"/>
      <c r="BK746" s="27"/>
      <c r="BL746" s="27"/>
      <c r="BM746" s="27"/>
      <c r="BN746" s="28" t="str">
        <f aca="false">IF(OR(AX746="Yes",BI746="Yes"),"Yes",IF(AND(AX746="No",BI746="No"),"No",IF(AND(AX746="",BI746=""),"","Unknown")))</f>
        <v/>
      </c>
      <c r="BO746" s="31" t="str">
        <f aca="false">IF(COUNT(AY746,BJ746)=0,"",MIN(AY746,BJ746))</f>
        <v/>
      </c>
      <c r="BP746" s="29"/>
      <c r="BQ746" s="29"/>
      <c r="BR746" s="29"/>
      <c r="BS746" s="28" t="str">
        <f aca="false">IF(AND(N(BP746)&gt;0,N(BR746)&gt;0),BR746-BP746,"")</f>
        <v/>
      </c>
      <c r="BT746" s="28" t="str">
        <f aca="false">IF(BS746="","",ROUND(BS746/365.25,2))</f>
        <v/>
      </c>
      <c r="BU746" s="28" t="str">
        <f aca="false">IF(BS746="","",IF(BS746&gt;=730.5,"Yes","No"))</f>
        <v/>
      </c>
      <c r="BV746" s="27"/>
      <c r="BW746" s="29"/>
      <c r="BX746" s="27"/>
      <c r="BY746" s="27"/>
      <c r="BZ746" s="28" t="str">
        <f aca="false">IF(N(E746)=0,"",IF(E746&lt;65,"Under 65","≥65"))</f>
        <v/>
      </c>
      <c r="CA746" s="28" t="str">
        <f aca="false">IF(OR(AC746="Yes",AC746="No"),AC746,"")</f>
        <v/>
      </c>
      <c r="CB746" s="28" t="str">
        <f aca="false">IF(OR(AD746="Yes",AD746="No"),AD746,"")</f>
        <v/>
      </c>
      <c r="CC746" s="28" t="str">
        <f aca="false">IF(F746="","",F746)</f>
        <v/>
      </c>
      <c r="CD746" s="27"/>
      <c r="CE746" s="27"/>
    </row>
    <row r="747" customFormat="false" ht="15" hidden="false" customHeight="false" outlineLevel="0" collapsed="false">
      <c r="A747" s="27"/>
      <c r="B747" s="27"/>
      <c r="C747" s="27"/>
      <c r="D747" s="27"/>
      <c r="E747" s="27"/>
      <c r="F747" s="27"/>
      <c r="G747" s="27"/>
      <c r="H747" s="27"/>
      <c r="I747" s="27"/>
      <c r="J747" s="28" t="str">
        <f aca="false">IF(AND(N(H747)&gt;0,N(I747)&gt;0),ROUND(I747/(H747/100)^2,1),"")</f>
        <v/>
      </c>
      <c r="K747" s="27"/>
      <c r="L747" s="27"/>
      <c r="M747" s="27"/>
      <c r="N747" s="27"/>
      <c r="O747" s="27"/>
      <c r="P747" s="27"/>
      <c r="Q747" s="27"/>
      <c r="R747" s="29"/>
      <c r="S747" s="29"/>
      <c r="T747" s="27"/>
      <c r="U747" s="28" t="str">
        <f aca="false">IF(N(T747)=0,"",IF(T747&lt;12,"Under 12 months",IF(T747&lt;36,"12-35 months",IF(T747&lt;60,"36-59 months","≥60 months"))))</f>
        <v/>
      </c>
      <c r="V747" s="27"/>
      <c r="W747" s="30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9"/>
      <c r="AT747" s="30"/>
      <c r="AU747" s="30"/>
      <c r="AV747" s="30"/>
      <c r="AW747" s="27"/>
      <c r="AX747" s="27"/>
      <c r="AY747" s="29"/>
      <c r="AZ747" s="27"/>
      <c r="BA747" s="27"/>
      <c r="BB747" s="29"/>
      <c r="BC747" s="30"/>
      <c r="BD747" s="30"/>
      <c r="BE747" s="30"/>
      <c r="BF747" s="27"/>
      <c r="BG747" s="27"/>
      <c r="BH747" s="28" t="str">
        <f aca="false">IF(COUNT(BC747:BE747)=0,"",IF(MIN(BC747:BE747)&lt;=-2.5,"Yes","No"))</f>
        <v/>
      </c>
      <c r="BI747" s="27"/>
      <c r="BJ747" s="29"/>
      <c r="BK747" s="27"/>
      <c r="BL747" s="27"/>
      <c r="BM747" s="27"/>
      <c r="BN747" s="28" t="str">
        <f aca="false">IF(OR(AX747="Yes",BI747="Yes"),"Yes",IF(AND(AX747="No",BI747="No"),"No",IF(AND(AX747="",BI747=""),"","Unknown")))</f>
        <v/>
      </c>
      <c r="BO747" s="31" t="str">
        <f aca="false">IF(COUNT(AY747,BJ747)=0,"",MIN(AY747,BJ747))</f>
        <v/>
      </c>
      <c r="BP747" s="29"/>
      <c r="BQ747" s="29"/>
      <c r="BR747" s="29"/>
      <c r="BS747" s="28" t="str">
        <f aca="false">IF(AND(N(BP747)&gt;0,N(BR747)&gt;0),BR747-BP747,"")</f>
        <v/>
      </c>
      <c r="BT747" s="28" t="str">
        <f aca="false">IF(BS747="","",ROUND(BS747/365.25,2))</f>
        <v/>
      </c>
      <c r="BU747" s="28" t="str">
        <f aca="false">IF(BS747="","",IF(BS747&gt;=730.5,"Yes","No"))</f>
        <v/>
      </c>
      <c r="BV747" s="27"/>
      <c r="BW747" s="29"/>
      <c r="BX747" s="27"/>
      <c r="BY747" s="27"/>
      <c r="BZ747" s="28" t="str">
        <f aca="false">IF(N(E747)=0,"",IF(E747&lt;65,"Under 65","≥65"))</f>
        <v/>
      </c>
      <c r="CA747" s="28" t="str">
        <f aca="false">IF(OR(AC747="Yes",AC747="No"),AC747,"")</f>
        <v/>
      </c>
      <c r="CB747" s="28" t="str">
        <f aca="false">IF(OR(AD747="Yes",AD747="No"),AD747,"")</f>
        <v/>
      </c>
      <c r="CC747" s="28" t="str">
        <f aca="false">IF(F747="","",F747)</f>
        <v/>
      </c>
      <c r="CD747" s="27"/>
      <c r="CE747" s="27"/>
    </row>
    <row r="748" customFormat="false" ht="15" hidden="false" customHeight="false" outlineLevel="0" collapsed="false">
      <c r="A748" s="27"/>
      <c r="B748" s="27"/>
      <c r="C748" s="27"/>
      <c r="D748" s="27"/>
      <c r="E748" s="27"/>
      <c r="F748" s="27"/>
      <c r="G748" s="27"/>
      <c r="H748" s="27"/>
      <c r="I748" s="27"/>
      <c r="J748" s="28" t="str">
        <f aca="false">IF(AND(N(H748)&gt;0,N(I748)&gt;0),ROUND(I748/(H748/100)^2,1),"")</f>
        <v/>
      </c>
      <c r="K748" s="27"/>
      <c r="L748" s="27"/>
      <c r="M748" s="27"/>
      <c r="N748" s="27"/>
      <c r="O748" s="27"/>
      <c r="P748" s="27"/>
      <c r="Q748" s="27"/>
      <c r="R748" s="29"/>
      <c r="S748" s="29"/>
      <c r="T748" s="27"/>
      <c r="U748" s="28" t="str">
        <f aca="false">IF(N(T748)=0,"",IF(T748&lt;12,"Under 12 months",IF(T748&lt;36,"12-35 months",IF(T748&lt;60,"36-59 months","≥60 months"))))</f>
        <v/>
      </c>
      <c r="V748" s="27"/>
      <c r="W748" s="30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9"/>
      <c r="AT748" s="30"/>
      <c r="AU748" s="30"/>
      <c r="AV748" s="30"/>
      <c r="AW748" s="27"/>
      <c r="AX748" s="27"/>
      <c r="AY748" s="29"/>
      <c r="AZ748" s="27"/>
      <c r="BA748" s="27"/>
      <c r="BB748" s="29"/>
      <c r="BC748" s="30"/>
      <c r="BD748" s="30"/>
      <c r="BE748" s="30"/>
      <c r="BF748" s="27"/>
      <c r="BG748" s="27"/>
      <c r="BH748" s="28" t="str">
        <f aca="false">IF(COUNT(BC748:BE748)=0,"",IF(MIN(BC748:BE748)&lt;=-2.5,"Yes","No"))</f>
        <v/>
      </c>
      <c r="BI748" s="27"/>
      <c r="BJ748" s="29"/>
      <c r="BK748" s="27"/>
      <c r="BL748" s="27"/>
      <c r="BM748" s="27"/>
      <c r="BN748" s="28" t="str">
        <f aca="false">IF(OR(AX748="Yes",BI748="Yes"),"Yes",IF(AND(AX748="No",BI748="No"),"No",IF(AND(AX748="",BI748=""),"","Unknown")))</f>
        <v/>
      </c>
      <c r="BO748" s="31" t="str">
        <f aca="false">IF(COUNT(AY748,BJ748)=0,"",MIN(AY748,BJ748))</f>
        <v/>
      </c>
      <c r="BP748" s="29"/>
      <c r="BQ748" s="29"/>
      <c r="BR748" s="29"/>
      <c r="BS748" s="28" t="str">
        <f aca="false">IF(AND(N(BP748)&gt;0,N(BR748)&gt;0),BR748-BP748,"")</f>
        <v/>
      </c>
      <c r="BT748" s="28" t="str">
        <f aca="false">IF(BS748="","",ROUND(BS748/365.25,2))</f>
        <v/>
      </c>
      <c r="BU748" s="28" t="str">
        <f aca="false">IF(BS748="","",IF(BS748&gt;=730.5,"Yes","No"))</f>
        <v/>
      </c>
      <c r="BV748" s="27"/>
      <c r="BW748" s="29"/>
      <c r="BX748" s="27"/>
      <c r="BY748" s="27"/>
      <c r="BZ748" s="28" t="str">
        <f aca="false">IF(N(E748)=0,"",IF(E748&lt;65,"Under 65","≥65"))</f>
        <v/>
      </c>
      <c r="CA748" s="28" t="str">
        <f aca="false">IF(OR(AC748="Yes",AC748="No"),AC748,"")</f>
        <v/>
      </c>
      <c r="CB748" s="28" t="str">
        <f aca="false">IF(OR(AD748="Yes",AD748="No"),AD748,"")</f>
        <v/>
      </c>
      <c r="CC748" s="28" t="str">
        <f aca="false">IF(F748="","",F748)</f>
        <v/>
      </c>
      <c r="CD748" s="27"/>
      <c r="CE748" s="27"/>
    </row>
    <row r="749" customFormat="false" ht="15" hidden="false" customHeight="false" outlineLevel="0" collapsed="false">
      <c r="A749" s="27"/>
      <c r="B749" s="27"/>
      <c r="C749" s="27"/>
      <c r="D749" s="27"/>
      <c r="E749" s="27"/>
      <c r="F749" s="27"/>
      <c r="G749" s="27"/>
      <c r="H749" s="27"/>
      <c r="I749" s="27"/>
      <c r="J749" s="28" t="str">
        <f aca="false">IF(AND(N(H749)&gt;0,N(I749)&gt;0),ROUND(I749/(H749/100)^2,1),"")</f>
        <v/>
      </c>
      <c r="K749" s="27"/>
      <c r="L749" s="27"/>
      <c r="M749" s="27"/>
      <c r="N749" s="27"/>
      <c r="O749" s="27"/>
      <c r="P749" s="27"/>
      <c r="Q749" s="27"/>
      <c r="R749" s="29"/>
      <c r="S749" s="29"/>
      <c r="T749" s="27"/>
      <c r="U749" s="28" t="str">
        <f aca="false">IF(N(T749)=0,"",IF(T749&lt;12,"Under 12 months",IF(T749&lt;36,"12-35 months",IF(T749&lt;60,"36-59 months","≥60 months"))))</f>
        <v/>
      </c>
      <c r="V749" s="27"/>
      <c r="W749" s="30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9"/>
      <c r="AT749" s="30"/>
      <c r="AU749" s="30"/>
      <c r="AV749" s="30"/>
      <c r="AW749" s="27"/>
      <c r="AX749" s="27"/>
      <c r="AY749" s="29"/>
      <c r="AZ749" s="27"/>
      <c r="BA749" s="27"/>
      <c r="BB749" s="29"/>
      <c r="BC749" s="30"/>
      <c r="BD749" s="30"/>
      <c r="BE749" s="30"/>
      <c r="BF749" s="27"/>
      <c r="BG749" s="27"/>
      <c r="BH749" s="28" t="str">
        <f aca="false">IF(COUNT(BC749:BE749)=0,"",IF(MIN(BC749:BE749)&lt;=-2.5,"Yes","No"))</f>
        <v/>
      </c>
      <c r="BI749" s="27"/>
      <c r="BJ749" s="29"/>
      <c r="BK749" s="27"/>
      <c r="BL749" s="27"/>
      <c r="BM749" s="27"/>
      <c r="BN749" s="28" t="str">
        <f aca="false">IF(OR(AX749="Yes",BI749="Yes"),"Yes",IF(AND(AX749="No",BI749="No"),"No",IF(AND(AX749="",BI749=""),"","Unknown")))</f>
        <v/>
      </c>
      <c r="BO749" s="31" t="str">
        <f aca="false">IF(COUNT(AY749,BJ749)=0,"",MIN(AY749,BJ749))</f>
        <v/>
      </c>
      <c r="BP749" s="29"/>
      <c r="BQ749" s="29"/>
      <c r="BR749" s="29"/>
      <c r="BS749" s="28" t="str">
        <f aca="false">IF(AND(N(BP749)&gt;0,N(BR749)&gt;0),BR749-BP749,"")</f>
        <v/>
      </c>
      <c r="BT749" s="28" t="str">
        <f aca="false">IF(BS749="","",ROUND(BS749/365.25,2))</f>
        <v/>
      </c>
      <c r="BU749" s="28" t="str">
        <f aca="false">IF(BS749="","",IF(BS749&gt;=730.5,"Yes","No"))</f>
        <v/>
      </c>
      <c r="BV749" s="27"/>
      <c r="BW749" s="29"/>
      <c r="BX749" s="27"/>
      <c r="BY749" s="27"/>
      <c r="BZ749" s="28" t="str">
        <f aca="false">IF(N(E749)=0,"",IF(E749&lt;65,"Under 65","≥65"))</f>
        <v/>
      </c>
      <c r="CA749" s="28" t="str">
        <f aca="false">IF(OR(AC749="Yes",AC749="No"),AC749,"")</f>
        <v/>
      </c>
      <c r="CB749" s="28" t="str">
        <f aca="false">IF(OR(AD749="Yes",AD749="No"),AD749,"")</f>
        <v/>
      </c>
      <c r="CC749" s="28" t="str">
        <f aca="false">IF(F749="","",F749)</f>
        <v/>
      </c>
      <c r="CD749" s="27"/>
      <c r="CE749" s="27"/>
    </row>
    <row r="750" customFormat="false" ht="15" hidden="false" customHeight="false" outlineLevel="0" collapsed="false">
      <c r="A750" s="27"/>
      <c r="B750" s="27"/>
      <c r="C750" s="27"/>
      <c r="D750" s="27"/>
      <c r="E750" s="27"/>
      <c r="F750" s="27"/>
      <c r="G750" s="27"/>
      <c r="H750" s="27"/>
      <c r="I750" s="27"/>
      <c r="J750" s="28" t="str">
        <f aca="false">IF(AND(N(H750)&gt;0,N(I750)&gt;0),ROUND(I750/(H750/100)^2,1),"")</f>
        <v/>
      </c>
      <c r="K750" s="27"/>
      <c r="L750" s="27"/>
      <c r="M750" s="27"/>
      <c r="N750" s="27"/>
      <c r="O750" s="27"/>
      <c r="P750" s="27"/>
      <c r="Q750" s="27"/>
      <c r="R750" s="29"/>
      <c r="S750" s="29"/>
      <c r="T750" s="27"/>
      <c r="U750" s="28" t="str">
        <f aca="false">IF(N(T750)=0,"",IF(T750&lt;12,"Under 12 months",IF(T750&lt;36,"12-35 months",IF(T750&lt;60,"36-59 months","≥60 months"))))</f>
        <v/>
      </c>
      <c r="V750" s="27"/>
      <c r="W750" s="30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9"/>
      <c r="AT750" s="30"/>
      <c r="AU750" s="30"/>
      <c r="AV750" s="30"/>
      <c r="AW750" s="27"/>
      <c r="AX750" s="27"/>
      <c r="AY750" s="29"/>
      <c r="AZ750" s="27"/>
      <c r="BA750" s="27"/>
      <c r="BB750" s="29"/>
      <c r="BC750" s="30"/>
      <c r="BD750" s="30"/>
      <c r="BE750" s="30"/>
      <c r="BF750" s="27"/>
      <c r="BG750" s="27"/>
      <c r="BH750" s="28" t="str">
        <f aca="false">IF(COUNT(BC750:BE750)=0,"",IF(MIN(BC750:BE750)&lt;=-2.5,"Yes","No"))</f>
        <v/>
      </c>
      <c r="BI750" s="27"/>
      <c r="BJ750" s="29"/>
      <c r="BK750" s="27"/>
      <c r="BL750" s="27"/>
      <c r="BM750" s="27"/>
      <c r="BN750" s="28" t="str">
        <f aca="false">IF(OR(AX750="Yes",BI750="Yes"),"Yes",IF(AND(AX750="No",BI750="No"),"No",IF(AND(AX750="",BI750=""),"","Unknown")))</f>
        <v/>
      </c>
      <c r="BO750" s="31" t="str">
        <f aca="false">IF(COUNT(AY750,BJ750)=0,"",MIN(AY750,BJ750))</f>
        <v/>
      </c>
      <c r="BP750" s="29"/>
      <c r="BQ750" s="29"/>
      <c r="BR750" s="29"/>
      <c r="BS750" s="28" t="str">
        <f aca="false">IF(AND(N(BP750)&gt;0,N(BR750)&gt;0),BR750-BP750,"")</f>
        <v/>
      </c>
      <c r="BT750" s="28" t="str">
        <f aca="false">IF(BS750="","",ROUND(BS750/365.25,2))</f>
        <v/>
      </c>
      <c r="BU750" s="28" t="str">
        <f aca="false">IF(BS750="","",IF(BS750&gt;=730.5,"Yes","No"))</f>
        <v/>
      </c>
      <c r="BV750" s="27"/>
      <c r="BW750" s="29"/>
      <c r="BX750" s="27"/>
      <c r="BY750" s="27"/>
      <c r="BZ750" s="28" t="str">
        <f aca="false">IF(N(E750)=0,"",IF(E750&lt;65,"Under 65","≥65"))</f>
        <v/>
      </c>
      <c r="CA750" s="28" t="str">
        <f aca="false">IF(OR(AC750="Yes",AC750="No"),AC750,"")</f>
        <v/>
      </c>
      <c r="CB750" s="28" t="str">
        <f aca="false">IF(OR(AD750="Yes",AD750="No"),AD750,"")</f>
        <v/>
      </c>
      <c r="CC750" s="28" t="str">
        <f aca="false">IF(F750="","",F750)</f>
        <v/>
      </c>
      <c r="CD750" s="27"/>
      <c r="CE750" s="27"/>
    </row>
    <row r="751" customFormat="false" ht="15" hidden="false" customHeight="false" outlineLevel="0" collapsed="false">
      <c r="A751" s="27"/>
      <c r="B751" s="27"/>
      <c r="C751" s="27"/>
      <c r="D751" s="27"/>
      <c r="E751" s="27"/>
      <c r="F751" s="27"/>
      <c r="G751" s="27"/>
      <c r="H751" s="27"/>
      <c r="I751" s="27"/>
      <c r="J751" s="28" t="str">
        <f aca="false">IF(AND(N(H751)&gt;0,N(I751)&gt;0),ROUND(I751/(H751/100)^2,1),"")</f>
        <v/>
      </c>
      <c r="K751" s="27"/>
      <c r="L751" s="27"/>
      <c r="M751" s="27"/>
      <c r="N751" s="27"/>
      <c r="O751" s="27"/>
      <c r="P751" s="27"/>
      <c r="Q751" s="27"/>
      <c r="R751" s="29"/>
      <c r="S751" s="29"/>
      <c r="T751" s="27"/>
      <c r="U751" s="28" t="str">
        <f aca="false">IF(N(T751)=0,"",IF(T751&lt;12,"Under 12 months",IF(T751&lt;36,"12-35 months",IF(T751&lt;60,"36-59 months","≥60 months"))))</f>
        <v/>
      </c>
      <c r="V751" s="27"/>
      <c r="W751" s="30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9"/>
      <c r="AT751" s="30"/>
      <c r="AU751" s="30"/>
      <c r="AV751" s="30"/>
      <c r="AW751" s="27"/>
      <c r="AX751" s="27"/>
      <c r="AY751" s="29"/>
      <c r="AZ751" s="27"/>
      <c r="BA751" s="27"/>
      <c r="BB751" s="29"/>
      <c r="BC751" s="30"/>
      <c r="BD751" s="30"/>
      <c r="BE751" s="30"/>
      <c r="BF751" s="27"/>
      <c r="BG751" s="27"/>
      <c r="BH751" s="28" t="str">
        <f aca="false">IF(COUNT(BC751:BE751)=0,"",IF(MIN(BC751:BE751)&lt;=-2.5,"Yes","No"))</f>
        <v/>
      </c>
      <c r="BI751" s="27"/>
      <c r="BJ751" s="29"/>
      <c r="BK751" s="27"/>
      <c r="BL751" s="27"/>
      <c r="BM751" s="27"/>
      <c r="BN751" s="28" t="str">
        <f aca="false">IF(OR(AX751="Yes",BI751="Yes"),"Yes",IF(AND(AX751="No",BI751="No"),"No",IF(AND(AX751="",BI751=""),"","Unknown")))</f>
        <v/>
      </c>
      <c r="BO751" s="31" t="str">
        <f aca="false">IF(COUNT(AY751,BJ751)=0,"",MIN(AY751,BJ751))</f>
        <v/>
      </c>
      <c r="BP751" s="29"/>
      <c r="BQ751" s="29"/>
      <c r="BR751" s="29"/>
      <c r="BS751" s="28" t="str">
        <f aca="false">IF(AND(N(BP751)&gt;0,N(BR751)&gt;0),BR751-BP751,"")</f>
        <v/>
      </c>
      <c r="BT751" s="28" t="str">
        <f aca="false">IF(BS751="","",ROUND(BS751/365.25,2))</f>
        <v/>
      </c>
      <c r="BU751" s="28" t="str">
        <f aca="false">IF(BS751="","",IF(BS751&gt;=730.5,"Yes","No"))</f>
        <v/>
      </c>
      <c r="BV751" s="27"/>
      <c r="BW751" s="29"/>
      <c r="BX751" s="27"/>
      <c r="BY751" s="27"/>
      <c r="BZ751" s="28" t="str">
        <f aca="false">IF(N(E751)=0,"",IF(E751&lt;65,"Under 65","≥65"))</f>
        <v/>
      </c>
      <c r="CA751" s="28" t="str">
        <f aca="false">IF(OR(AC751="Yes",AC751="No"),AC751,"")</f>
        <v/>
      </c>
      <c r="CB751" s="28" t="str">
        <f aca="false">IF(OR(AD751="Yes",AD751="No"),AD751,"")</f>
        <v/>
      </c>
      <c r="CC751" s="28" t="str">
        <f aca="false">IF(F751="","",F751)</f>
        <v/>
      </c>
      <c r="CD751" s="27"/>
      <c r="CE751" s="27"/>
    </row>
    <row r="752" customFormat="false" ht="15" hidden="false" customHeight="false" outlineLevel="0" collapsed="false">
      <c r="A752" s="27"/>
      <c r="B752" s="27"/>
      <c r="C752" s="27"/>
      <c r="D752" s="27"/>
      <c r="E752" s="27"/>
      <c r="F752" s="27"/>
      <c r="G752" s="27"/>
      <c r="H752" s="27"/>
      <c r="I752" s="27"/>
      <c r="J752" s="28" t="str">
        <f aca="false">IF(AND(N(H752)&gt;0,N(I752)&gt;0),ROUND(I752/(H752/100)^2,1),"")</f>
        <v/>
      </c>
      <c r="K752" s="27"/>
      <c r="L752" s="27"/>
      <c r="M752" s="27"/>
      <c r="N752" s="27"/>
      <c r="O752" s="27"/>
      <c r="P752" s="27"/>
      <c r="Q752" s="27"/>
      <c r="R752" s="29"/>
      <c r="S752" s="29"/>
      <c r="T752" s="27"/>
      <c r="U752" s="28" t="str">
        <f aca="false">IF(N(T752)=0,"",IF(T752&lt;12,"Under 12 months",IF(T752&lt;36,"12-35 months",IF(T752&lt;60,"36-59 months","≥60 months"))))</f>
        <v/>
      </c>
      <c r="V752" s="27"/>
      <c r="W752" s="30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9"/>
      <c r="AT752" s="30"/>
      <c r="AU752" s="30"/>
      <c r="AV752" s="30"/>
      <c r="AW752" s="27"/>
      <c r="AX752" s="27"/>
      <c r="AY752" s="29"/>
      <c r="AZ752" s="27"/>
      <c r="BA752" s="27"/>
      <c r="BB752" s="29"/>
      <c r="BC752" s="30"/>
      <c r="BD752" s="30"/>
      <c r="BE752" s="30"/>
      <c r="BF752" s="27"/>
      <c r="BG752" s="27"/>
      <c r="BH752" s="28" t="str">
        <f aca="false">IF(COUNT(BC752:BE752)=0,"",IF(MIN(BC752:BE752)&lt;=-2.5,"Yes","No"))</f>
        <v/>
      </c>
      <c r="BI752" s="27"/>
      <c r="BJ752" s="29"/>
      <c r="BK752" s="27"/>
      <c r="BL752" s="27"/>
      <c r="BM752" s="27"/>
      <c r="BN752" s="28" t="str">
        <f aca="false">IF(OR(AX752="Yes",BI752="Yes"),"Yes",IF(AND(AX752="No",BI752="No"),"No",IF(AND(AX752="",BI752=""),"","Unknown")))</f>
        <v/>
      </c>
      <c r="BO752" s="31" t="str">
        <f aca="false">IF(COUNT(AY752,BJ752)=0,"",MIN(AY752,BJ752))</f>
        <v/>
      </c>
      <c r="BP752" s="29"/>
      <c r="BQ752" s="29"/>
      <c r="BR752" s="29"/>
      <c r="BS752" s="28" t="str">
        <f aca="false">IF(AND(N(BP752)&gt;0,N(BR752)&gt;0),BR752-BP752,"")</f>
        <v/>
      </c>
      <c r="BT752" s="28" t="str">
        <f aca="false">IF(BS752="","",ROUND(BS752/365.25,2))</f>
        <v/>
      </c>
      <c r="BU752" s="28" t="str">
        <f aca="false">IF(BS752="","",IF(BS752&gt;=730.5,"Yes","No"))</f>
        <v/>
      </c>
      <c r="BV752" s="27"/>
      <c r="BW752" s="29"/>
      <c r="BX752" s="27"/>
      <c r="BY752" s="27"/>
      <c r="BZ752" s="28" t="str">
        <f aca="false">IF(N(E752)=0,"",IF(E752&lt;65,"Under 65","≥65"))</f>
        <v/>
      </c>
      <c r="CA752" s="28" t="str">
        <f aca="false">IF(OR(AC752="Yes",AC752="No"),AC752,"")</f>
        <v/>
      </c>
      <c r="CB752" s="28" t="str">
        <f aca="false">IF(OR(AD752="Yes",AD752="No"),AD752,"")</f>
        <v/>
      </c>
      <c r="CC752" s="28" t="str">
        <f aca="false">IF(F752="","",F752)</f>
        <v/>
      </c>
      <c r="CD752" s="27"/>
      <c r="CE752" s="27"/>
    </row>
    <row r="753" customFormat="false" ht="15" hidden="false" customHeight="false" outlineLevel="0" collapsed="false">
      <c r="A753" s="27"/>
      <c r="B753" s="27"/>
      <c r="C753" s="27"/>
      <c r="D753" s="27"/>
      <c r="E753" s="27"/>
      <c r="F753" s="27"/>
      <c r="G753" s="27"/>
      <c r="H753" s="27"/>
      <c r="I753" s="27"/>
      <c r="J753" s="28" t="str">
        <f aca="false">IF(AND(N(H753)&gt;0,N(I753)&gt;0),ROUND(I753/(H753/100)^2,1),"")</f>
        <v/>
      </c>
      <c r="K753" s="27"/>
      <c r="L753" s="27"/>
      <c r="M753" s="27"/>
      <c r="N753" s="27"/>
      <c r="O753" s="27"/>
      <c r="P753" s="27"/>
      <c r="Q753" s="27"/>
      <c r="R753" s="29"/>
      <c r="S753" s="29"/>
      <c r="T753" s="27"/>
      <c r="U753" s="28" t="str">
        <f aca="false">IF(N(T753)=0,"",IF(T753&lt;12,"Under 12 months",IF(T753&lt;36,"12-35 months",IF(T753&lt;60,"36-59 months","≥60 months"))))</f>
        <v/>
      </c>
      <c r="V753" s="27"/>
      <c r="W753" s="30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9"/>
      <c r="AT753" s="30"/>
      <c r="AU753" s="30"/>
      <c r="AV753" s="30"/>
      <c r="AW753" s="27"/>
      <c r="AX753" s="27"/>
      <c r="AY753" s="29"/>
      <c r="AZ753" s="27"/>
      <c r="BA753" s="27"/>
      <c r="BB753" s="29"/>
      <c r="BC753" s="30"/>
      <c r="BD753" s="30"/>
      <c r="BE753" s="30"/>
      <c r="BF753" s="27"/>
      <c r="BG753" s="27"/>
      <c r="BH753" s="28" t="str">
        <f aca="false">IF(COUNT(BC753:BE753)=0,"",IF(MIN(BC753:BE753)&lt;=-2.5,"Yes","No"))</f>
        <v/>
      </c>
      <c r="BI753" s="27"/>
      <c r="BJ753" s="29"/>
      <c r="BK753" s="27"/>
      <c r="BL753" s="27"/>
      <c r="BM753" s="27"/>
      <c r="BN753" s="28" t="str">
        <f aca="false">IF(OR(AX753="Yes",BI753="Yes"),"Yes",IF(AND(AX753="No",BI753="No"),"No",IF(AND(AX753="",BI753=""),"","Unknown")))</f>
        <v/>
      </c>
      <c r="BO753" s="31" t="str">
        <f aca="false">IF(COUNT(AY753,BJ753)=0,"",MIN(AY753,BJ753))</f>
        <v/>
      </c>
      <c r="BP753" s="29"/>
      <c r="BQ753" s="29"/>
      <c r="BR753" s="29"/>
      <c r="BS753" s="28" t="str">
        <f aca="false">IF(AND(N(BP753)&gt;0,N(BR753)&gt;0),BR753-BP753,"")</f>
        <v/>
      </c>
      <c r="BT753" s="28" t="str">
        <f aca="false">IF(BS753="","",ROUND(BS753/365.25,2))</f>
        <v/>
      </c>
      <c r="BU753" s="28" t="str">
        <f aca="false">IF(BS753="","",IF(BS753&gt;=730.5,"Yes","No"))</f>
        <v/>
      </c>
      <c r="BV753" s="27"/>
      <c r="BW753" s="29"/>
      <c r="BX753" s="27"/>
      <c r="BY753" s="27"/>
      <c r="BZ753" s="28" t="str">
        <f aca="false">IF(N(E753)=0,"",IF(E753&lt;65,"Under 65","≥65"))</f>
        <v/>
      </c>
      <c r="CA753" s="28" t="str">
        <f aca="false">IF(OR(AC753="Yes",AC753="No"),AC753,"")</f>
        <v/>
      </c>
      <c r="CB753" s="28" t="str">
        <f aca="false">IF(OR(AD753="Yes",AD753="No"),AD753,"")</f>
        <v/>
      </c>
      <c r="CC753" s="28" t="str">
        <f aca="false">IF(F753="","",F753)</f>
        <v/>
      </c>
      <c r="CD753" s="27"/>
      <c r="CE753" s="27"/>
    </row>
    <row r="754" customFormat="false" ht="15" hidden="false" customHeight="false" outlineLevel="0" collapsed="false">
      <c r="A754" s="27"/>
      <c r="B754" s="27"/>
      <c r="C754" s="27"/>
      <c r="D754" s="27"/>
      <c r="E754" s="27"/>
      <c r="F754" s="27"/>
      <c r="G754" s="27"/>
      <c r="H754" s="27"/>
      <c r="I754" s="27"/>
      <c r="J754" s="28" t="str">
        <f aca="false">IF(AND(N(H754)&gt;0,N(I754)&gt;0),ROUND(I754/(H754/100)^2,1),"")</f>
        <v/>
      </c>
      <c r="K754" s="27"/>
      <c r="L754" s="27"/>
      <c r="M754" s="27"/>
      <c r="N754" s="27"/>
      <c r="O754" s="27"/>
      <c r="P754" s="27"/>
      <c r="Q754" s="27"/>
      <c r="R754" s="29"/>
      <c r="S754" s="29"/>
      <c r="T754" s="27"/>
      <c r="U754" s="28" t="str">
        <f aca="false">IF(N(T754)=0,"",IF(T754&lt;12,"Under 12 months",IF(T754&lt;36,"12-35 months",IF(T754&lt;60,"36-59 months","≥60 months"))))</f>
        <v/>
      </c>
      <c r="V754" s="27"/>
      <c r="W754" s="30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9"/>
      <c r="AT754" s="30"/>
      <c r="AU754" s="30"/>
      <c r="AV754" s="30"/>
      <c r="AW754" s="27"/>
      <c r="AX754" s="27"/>
      <c r="AY754" s="29"/>
      <c r="AZ754" s="27"/>
      <c r="BA754" s="27"/>
      <c r="BB754" s="29"/>
      <c r="BC754" s="30"/>
      <c r="BD754" s="30"/>
      <c r="BE754" s="30"/>
      <c r="BF754" s="27"/>
      <c r="BG754" s="27"/>
      <c r="BH754" s="28" t="str">
        <f aca="false">IF(COUNT(BC754:BE754)=0,"",IF(MIN(BC754:BE754)&lt;=-2.5,"Yes","No"))</f>
        <v/>
      </c>
      <c r="BI754" s="27"/>
      <c r="BJ754" s="29"/>
      <c r="BK754" s="27"/>
      <c r="BL754" s="27"/>
      <c r="BM754" s="27"/>
      <c r="BN754" s="28" t="str">
        <f aca="false">IF(OR(AX754="Yes",BI754="Yes"),"Yes",IF(AND(AX754="No",BI754="No"),"No",IF(AND(AX754="",BI754=""),"","Unknown")))</f>
        <v/>
      </c>
      <c r="BO754" s="31" t="str">
        <f aca="false">IF(COUNT(AY754,BJ754)=0,"",MIN(AY754,BJ754))</f>
        <v/>
      </c>
      <c r="BP754" s="29"/>
      <c r="BQ754" s="29"/>
      <c r="BR754" s="29"/>
      <c r="BS754" s="28" t="str">
        <f aca="false">IF(AND(N(BP754)&gt;0,N(BR754)&gt;0),BR754-BP754,"")</f>
        <v/>
      </c>
      <c r="BT754" s="28" t="str">
        <f aca="false">IF(BS754="","",ROUND(BS754/365.25,2))</f>
        <v/>
      </c>
      <c r="BU754" s="28" t="str">
        <f aca="false">IF(BS754="","",IF(BS754&gt;=730.5,"Yes","No"))</f>
        <v/>
      </c>
      <c r="BV754" s="27"/>
      <c r="BW754" s="29"/>
      <c r="BX754" s="27"/>
      <c r="BY754" s="27"/>
      <c r="BZ754" s="28" t="str">
        <f aca="false">IF(N(E754)=0,"",IF(E754&lt;65,"Under 65","≥65"))</f>
        <v/>
      </c>
      <c r="CA754" s="28" t="str">
        <f aca="false">IF(OR(AC754="Yes",AC754="No"),AC754,"")</f>
        <v/>
      </c>
      <c r="CB754" s="28" t="str">
        <f aca="false">IF(OR(AD754="Yes",AD754="No"),AD754,"")</f>
        <v/>
      </c>
      <c r="CC754" s="28" t="str">
        <f aca="false">IF(F754="","",F754)</f>
        <v/>
      </c>
      <c r="CD754" s="27"/>
      <c r="CE754" s="27"/>
    </row>
    <row r="755" customFormat="false" ht="15" hidden="false" customHeight="false" outlineLevel="0" collapsed="false">
      <c r="A755" s="27"/>
      <c r="B755" s="27"/>
      <c r="C755" s="27"/>
      <c r="D755" s="27"/>
      <c r="E755" s="27"/>
      <c r="F755" s="27"/>
      <c r="G755" s="27"/>
      <c r="H755" s="27"/>
      <c r="I755" s="27"/>
      <c r="J755" s="28" t="str">
        <f aca="false">IF(AND(N(H755)&gt;0,N(I755)&gt;0),ROUND(I755/(H755/100)^2,1),"")</f>
        <v/>
      </c>
      <c r="K755" s="27"/>
      <c r="L755" s="27"/>
      <c r="M755" s="27"/>
      <c r="N755" s="27"/>
      <c r="O755" s="27"/>
      <c r="P755" s="27"/>
      <c r="Q755" s="27"/>
      <c r="R755" s="29"/>
      <c r="S755" s="29"/>
      <c r="T755" s="27"/>
      <c r="U755" s="28" t="str">
        <f aca="false">IF(N(T755)=0,"",IF(T755&lt;12,"Under 12 months",IF(T755&lt;36,"12-35 months",IF(T755&lt;60,"36-59 months","≥60 months"))))</f>
        <v/>
      </c>
      <c r="V755" s="27"/>
      <c r="W755" s="30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9"/>
      <c r="AT755" s="30"/>
      <c r="AU755" s="30"/>
      <c r="AV755" s="30"/>
      <c r="AW755" s="27"/>
      <c r="AX755" s="27"/>
      <c r="AY755" s="29"/>
      <c r="AZ755" s="27"/>
      <c r="BA755" s="27"/>
      <c r="BB755" s="29"/>
      <c r="BC755" s="30"/>
      <c r="BD755" s="30"/>
      <c r="BE755" s="30"/>
      <c r="BF755" s="27"/>
      <c r="BG755" s="27"/>
      <c r="BH755" s="28" t="str">
        <f aca="false">IF(COUNT(BC755:BE755)=0,"",IF(MIN(BC755:BE755)&lt;=-2.5,"Yes","No"))</f>
        <v/>
      </c>
      <c r="BI755" s="27"/>
      <c r="BJ755" s="29"/>
      <c r="BK755" s="27"/>
      <c r="BL755" s="27"/>
      <c r="BM755" s="27"/>
      <c r="BN755" s="28" t="str">
        <f aca="false">IF(OR(AX755="Yes",BI755="Yes"),"Yes",IF(AND(AX755="No",BI755="No"),"No",IF(AND(AX755="",BI755=""),"","Unknown")))</f>
        <v/>
      </c>
      <c r="BO755" s="31" t="str">
        <f aca="false">IF(COUNT(AY755,BJ755)=0,"",MIN(AY755,BJ755))</f>
        <v/>
      </c>
      <c r="BP755" s="29"/>
      <c r="BQ755" s="29"/>
      <c r="BR755" s="29"/>
      <c r="BS755" s="28" t="str">
        <f aca="false">IF(AND(N(BP755)&gt;0,N(BR755)&gt;0),BR755-BP755,"")</f>
        <v/>
      </c>
      <c r="BT755" s="28" t="str">
        <f aca="false">IF(BS755="","",ROUND(BS755/365.25,2))</f>
        <v/>
      </c>
      <c r="BU755" s="28" t="str">
        <f aca="false">IF(BS755="","",IF(BS755&gt;=730.5,"Yes","No"))</f>
        <v/>
      </c>
      <c r="BV755" s="27"/>
      <c r="BW755" s="29"/>
      <c r="BX755" s="27"/>
      <c r="BY755" s="27"/>
      <c r="BZ755" s="28" t="str">
        <f aca="false">IF(N(E755)=0,"",IF(E755&lt;65,"Under 65","≥65"))</f>
        <v/>
      </c>
      <c r="CA755" s="28" t="str">
        <f aca="false">IF(OR(AC755="Yes",AC755="No"),AC755,"")</f>
        <v/>
      </c>
      <c r="CB755" s="28" t="str">
        <f aca="false">IF(OR(AD755="Yes",AD755="No"),AD755,"")</f>
        <v/>
      </c>
      <c r="CC755" s="28" t="str">
        <f aca="false">IF(F755="","",F755)</f>
        <v/>
      </c>
      <c r="CD755" s="27"/>
      <c r="CE755" s="27"/>
    </row>
    <row r="756" customFormat="false" ht="15" hidden="false" customHeight="false" outlineLevel="0" collapsed="false">
      <c r="A756" s="27"/>
      <c r="B756" s="27"/>
      <c r="C756" s="27"/>
      <c r="D756" s="27"/>
      <c r="E756" s="27"/>
      <c r="F756" s="27"/>
      <c r="G756" s="27"/>
      <c r="H756" s="27"/>
      <c r="I756" s="27"/>
      <c r="J756" s="28" t="str">
        <f aca="false">IF(AND(N(H756)&gt;0,N(I756)&gt;0),ROUND(I756/(H756/100)^2,1),"")</f>
        <v/>
      </c>
      <c r="K756" s="27"/>
      <c r="L756" s="27"/>
      <c r="M756" s="27"/>
      <c r="N756" s="27"/>
      <c r="O756" s="27"/>
      <c r="P756" s="27"/>
      <c r="Q756" s="27"/>
      <c r="R756" s="29"/>
      <c r="S756" s="29"/>
      <c r="T756" s="27"/>
      <c r="U756" s="28" t="str">
        <f aca="false">IF(N(T756)=0,"",IF(T756&lt;12,"Under 12 months",IF(T756&lt;36,"12-35 months",IF(T756&lt;60,"36-59 months","≥60 months"))))</f>
        <v/>
      </c>
      <c r="V756" s="27"/>
      <c r="W756" s="30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9"/>
      <c r="AT756" s="30"/>
      <c r="AU756" s="30"/>
      <c r="AV756" s="30"/>
      <c r="AW756" s="27"/>
      <c r="AX756" s="27"/>
      <c r="AY756" s="29"/>
      <c r="AZ756" s="27"/>
      <c r="BA756" s="27"/>
      <c r="BB756" s="29"/>
      <c r="BC756" s="30"/>
      <c r="BD756" s="30"/>
      <c r="BE756" s="30"/>
      <c r="BF756" s="27"/>
      <c r="BG756" s="27"/>
      <c r="BH756" s="28" t="str">
        <f aca="false">IF(COUNT(BC756:BE756)=0,"",IF(MIN(BC756:BE756)&lt;=-2.5,"Yes","No"))</f>
        <v/>
      </c>
      <c r="BI756" s="27"/>
      <c r="BJ756" s="29"/>
      <c r="BK756" s="27"/>
      <c r="BL756" s="27"/>
      <c r="BM756" s="27"/>
      <c r="BN756" s="28" t="str">
        <f aca="false">IF(OR(AX756="Yes",BI756="Yes"),"Yes",IF(AND(AX756="No",BI756="No"),"No",IF(AND(AX756="",BI756=""),"","Unknown")))</f>
        <v/>
      </c>
      <c r="BO756" s="31" t="str">
        <f aca="false">IF(COUNT(AY756,BJ756)=0,"",MIN(AY756,BJ756))</f>
        <v/>
      </c>
      <c r="BP756" s="29"/>
      <c r="BQ756" s="29"/>
      <c r="BR756" s="29"/>
      <c r="BS756" s="28" t="str">
        <f aca="false">IF(AND(N(BP756)&gt;0,N(BR756)&gt;0),BR756-BP756,"")</f>
        <v/>
      </c>
      <c r="BT756" s="28" t="str">
        <f aca="false">IF(BS756="","",ROUND(BS756/365.25,2))</f>
        <v/>
      </c>
      <c r="BU756" s="28" t="str">
        <f aca="false">IF(BS756="","",IF(BS756&gt;=730.5,"Yes","No"))</f>
        <v/>
      </c>
      <c r="BV756" s="27"/>
      <c r="BW756" s="29"/>
      <c r="BX756" s="27"/>
      <c r="BY756" s="27"/>
      <c r="BZ756" s="28" t="str">
        <f aca="false">IF(N(E756)=0,"",IF(E756&lt;65,"Under 65","≥65"))</f>
        <v/>
      </c>
      <c r="CA756" s="28" t="str">
        <f aca="false">IF(OR(AC756="Yes",AC756="No"),AC756,"")</f>
        <v/>
      </c>
      <c r="CB756" s="28" t="str">
        <f aca="false">IF(OR(AD756="Yes",AD756="No"),AD756,"")</f>
        <v/>
      </c>
      <c r="CC756" s="28" t="str">
        <f aca="false">IF(F756="","",F756)</f>
        <v/>
      </c>
      <c r="CD756" s="27"/>
      <c r="CE756" s="27"/>
    </row>
    <row r="757" customFormat="false" ht="15" hidden="false" customHeight="false" outlineLevel="0" collapsed="false">
      <c r="A757" s="27"/>
      <c r="B757" s="27"/>
      <c r="C757" s="27"/>
      <c r="D757" s="27"/>
      <c r="E757" s="27"/>
      <c r="F757" s="27"/>
      <c r="G757" s="27"/>
      <c r="H757" s="27"/>
      <c r="I757" s="27"/>
      <c r="J757" s="28" t="str">
        <f aca="false">IF(AND(N(H757)&gt;0,N(I757)&gt;0),ROUND(I757/(H757/100)^2,1),"")</f>
        <v/>
      </c>
      <c r="K757" s="27"/>
      <c r="L757" s="27"/>
      <c r="M757" s="27"/>
      <c r="N757" s="27"/>
      <c r="O757" s="27"/>
      <c r="P757" s="27"/>
      <c r="Q757" s="27"/>
      <c r="R757" s="29"/>
      <c r="S757" s="29"/>
      <c r="T757" s="27"/>
      <c r="U757" s="28" t="str">
        <f aca="false">IF(N(T757)=0,"",IF(T757&lt;12,"Under 12 months",IF(T757&lt;36,"12-35 months",IF(T757&lt;60,"36-59 months","≥60 months"))))</f>
        <v/>
      </c>
      <c r="V757" s="27"/>
      <c r="W757" s="30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9"/>
      <c r="AT757" s="30"/>
      <c r="AU757" s="30"/>
      <c r="AV757" s="30"/>
      <c r="AW757" s="27"/>
      <c r="AX757" s="27"/>
      <c r="AY757" s="29"/>
      <c r="AZ757" s="27"/>
      <c r="BA757" s="27"/>
      <c r="BB757" s="29"/>
      <c r="BC757" s="30"/>
      <c r="BD757" s="30"/>
      <c r="BE757" s="30"/>
      <c r="BF757" s="27"/>
      <c r="BG757" s="27"/>
      <c r="BH757" s="28" t="str">
        <f aca="false">IF(COUNT(BC757:BE757)=0,"",IF(MIN(BC757:BE757)&lt;=-2.5,"Yes","No"))</f>
        <v/>
      </c>
      <c r="BI757" s="27"/>
      <c r="BJ757" s="29"/>
      <c r="BK757" s="27"/>
      <c r="BL757" s="27"/>
      <c r="BM757" s="27"/>
      <c r="BN757" s="28" t="str">
        <f aca="false">IF(OR(AX757="Yes",BI757="Yes"),"Yes",IF(AND(AX757="No",BI757="No"),"No",IF(AND(AX757="",BI757=""),"","Unknown")))</f>
        <v/>
      </c>
      <c r="BO757" s="31" t="str">
        <f aca="false">IF(COUNT(AY757,BJ757)=0,"",MIN(AY757,BJ757))</f>
        <v/>
      </c>
      <c r="BP757" s="29"/>
      <c r="BQ757" s="29"/>
      <c r="BR757" s="29"/>
      <c r="BS757" s="28" t="str">
        <f aca="false">IF(AND(N(BP757)&gt;0,N(BR757)&gt;0),BR757-BP757,"")</f>
        <v/>
      </c>
      <c r="BT757" s="28" t="str">
        <f aca="false">IF(BS757="","",ROUND(BS757/365.25,2))</f>
        <v/>
      </c>
      <c r="BU757" s="28" t="str">
        <f aca="false">IF(BS757="","",IF(BS757&gt;=730.5,"Yes","No"))</f>
        <v/>
      </c>
      <c r="BV757" s="27"/>
      <c r="BW757" s="29"/>
      <c r="BX757" s="27"/>
      <c r="BY757" s="27"/>
      <c r="BZ757" s="28" t="str">
        <f aca="false">IF(N(E757)=0,"",IF(E757&lt;65,"Under 65","≥65"))</f>
        <v/>
      </c>
      <c r="CA757" s="28" t="str">
        <f aca="false">IF(OR(AC757="Yes",AC757="No"),AC757,"")</f>
        <v/>
      </c>
      <c r="CB757" s="28" t="str">
        <f aca="false">IF(OR(AD757="Yes",AD757="No"),AD757,"")</f>
        <v/>
      </c>
      <c r="CC757" s="28" t="str">
        <f aca="false">IF(F757="","",F757)</f>
        <v/>
      </c>
      <c r="CD757" s="27"/>
      <c r="CE757" s="27"/>
    </row>
    <row r="758" customFormat="false" ht="15" hidden="false" customHeight="false" outlineLevel="0" collapsed="false">
      <c r="A758" s="27"/>
      <c r="B758" s="27"/>
      <c r="C758" s="27"/>
      <c r="D758" s="27"/>
      <c r="E758" s="27"/>
      <c r="F758" s="27"/>
      <c r="G758" s="27"/>
      <c r="H758" s="27"/>
      <c r="I758" s="27"/>
      <c r="J758" s="28" t="str">
        <f aca="false">IF(AND(N(H758)&gt;0,N(I758)&gt;0),ROUND(I758/(H758/100)^2,1),"")</f>
        <v/>
      </c>
      <c r="K758" s="27"/>
      <c r="L758" s="27"/>
      <c r="M758" s="27"/>
      <c r="N758" s="27"/>
      <c r="O758" s="27"/>
      <c r="P758" s="27"/>
      <c r="Q758" s="27"/>
      <c r="R758" s="29"/>
      <c r="S758" s="29"/>
      <c r="T758" s="27"/>
      <c r="U758" s="28" t="str">
        <f aca="false">IF(N(T758)=0,"",IF(T758&lt;12,"Under 12 months",IF(T758&lt;36,"12-35 months",IF(T758&lt;60,"36-59 months","≥60 months"))))</f>
        <v/>
      </c>
      <c r="V758" s="27"/>
      <c r="W758" s="30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9"/>
      <c r="AT758" s="30"/>
      <c r="AU758" s="30"/>
      <c r="AV758" s="30"/>
      <c r="AW758" s="27"/>
      <c r="AX758" s="27"/>
      <c r="AY758" s="29"/>
      <c r="AZ758" s="27"/>
      <c r="BA758" s="27"/>
      <c r="BB758" s="29"/>
      <c r="BC758" s="30"/>
      <c r="BD758" s="30"/>
      <c r="BE758" s="30"/>
      <c r="BF758" s="27"/>
      <c r="BG758" s="27"/>
      <c r="BH758" s="28" t="str">
        <f aca="false">IF(COUNT(BC758:BE758)=0,"",IF(MIN(BC758:BE758)&lt;=-2.5,"Yes","No"))</f>
        <v/>
      </c>
      <c r="BI758" s="27"/>
      <c r="BJ758" s="29"/>
      <c r="BK758" s="27"/>
      <c r="BL758" s="27"/>
      <c r="BM758" s="27"/>
      <c r="BN758" s="28" t="str">
        <f aca="false">IF(OR(AX758="Yes",BI758="Yes"),"Yes",IF(AND(AX758="No",BI758="No"),"No",IF(AND(AX758="",BI758=""),"","Unknown")))</f>
        <v/>
      </c>
      <c r="BO758" s="31" t="str">
        <f aca="false">IF(COUNT(AY758,BJ758)=0,"",MIN(AY758,BJ758))</f>
        <v/>
      </c>
      <c r="BP758" s="29"/>
      <c r="BQ758" s="29"/>
      <c r="BR758" s="29"/>
      <c r="BS758" s="28" t="str">
        <f aca="false">IF(AND(N(BP758)&gt;0,N(BR758)&gt;0),BR758-BP758,"")</f>
        <v/>
      </c>
      <c r="BT758" s="28" t="str">
        <f aca="false">IF(BS758="","",ROUND(BS758/365.25,2))</f>
        <v/>
      </c>
      <c r="BU758" s="28" t="str">
        <f aca="false">IF(BS758="","",IF(BS758&gt;=730.5,"Yes","No"))</f>
        <v/>
      </c>
      <c r="BV758" s="27"/>
      <c r="BW758" s="29"/>
      <c r="BX758" s="27"/>
      <c r="BY758" s="27"/>
      <c r="BZ758" s="28" t="str">
        <f aca="false">IF(N(E758)=0,"",IF(E758&lt;65,"Under 65","≥65"))</f>
        <v/>
      </c>
      <c r="CA758" s="28" t="str">
        <f aca="false">IF(OR(AC758="Yes",AC758="No"),AC758,"")</f>
        <v/>
      </c>
      <c r="CB758" s="28" t="str">
        <f aca="false">IF(OR(AD758="Yes",AD758="No"),AD758,"")</f>
        <v/>
      </c>
      <c r="CC758" s="28" t="str">
        <f aca="false">IF(F758="","",F758)</f>
        <v/>
      </c>
      <c r="CD758" s="27"/>
      <c r="CE758" s="27"/>
    </row>
    <row r="759" customFormat="false" ht="15" hidden="false" customHeight="false" outlineLevel="0" collapsed="false">
      <c r="A759" s="27"/>
      <c r="B759" s="27"/>
      <c r="C759" s="27"/>
      <c r="D759" s="27"/>
      <c r="E759" s="27"/>
      <c r="F759" s="27"/>
      <c r="G759" s="27"/>
      <c r="H759" s="27"/>
      <c r="I759" s="27"/>
      <c r="J759" s="28" t="str">
        <f aca="false">IF(AND(N(H759)&gt;0,N(I759)&gt;0),ROUND(I759/(H759/100)^2,1),"")</f>
        <v/>
      </c>
      <c r="K759" s="27"/>
      <c r="L759" s="27"/>
      <c r="M759" s="27"/>
      <c r="N759" s="27"/>
      <c r="O759" s="27"/>
      <c r="P759" s="27"/>
      <c r="Q759" s="27"/>
      <c r="R759" s="29"/>
      <c r="S759" s="29"/>
      <c r="T759" s="27"/>
      <c r="U759" s="28" t="str">
        <f aca="false">IF(N(T759)=0,"",IF(T759&lt;12,"Under 12 months",IF(T759&lt;36,"12-35 months",IF(T759&lt;60,"36-59 months","≥60 months"))))</f>
        <v/>
      </c>
      <c r="V759" s="27"/>
      <c r="W759" s="30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9"/>
      <c r="AT759" s="30"/>
      <c r="AU759" s="30"/>
      <c r="AV759" s="30"/>
      <c r="AW759" s="27"/>
      <c r="AX759" s="27"/>
      <c r="AY759" s="29"/>
      <c r="AZ759" s="27"/>
      <c r="BA759" s="27"/>
      <c r="BB759" s="29"/>
      <c r="BC759" s="30"/>
      <c r="BD759" s="30"/>
      <c r="BE759" s="30"/>
      <c r="BF759" s="27"/>
      <c r="BG759" s="27"/>
      <c r="BH759" s="28" t="str">
        <f aca="false">IF(COUNT(BC759:BE759)=0,"",IF(MIN(BC759:BE759)&lt;=-2.5,"Yes","No"))</f>
        <v/>
      </c>
      <c r="BI759" s="27"/>
      <c r="BJ759" s="29"/>
      <c r="BK759" s="27"/>
      <c r="BL759" s="27"/>
      <c r="BM759" s="27"/>
      <c r="BN759" s="28" t="str">
        <f aca="false">IF(OR(AX759="Yes",BI759="Yes"),"Yes",IF(AND(AX759="No",BI759="No"),"No",IF(AND(AX759="",BI759=""),"","Unknown")))</f>
        <v/>
      </c>
      <c r="BO759" s="31" t="str">
        <f aca="false">IF(COUNT(AY759,BJ759)=0,"",MIN(AY759,BJ759))</f>
        <v/>
      </c>
      <c r="BP759" s="29"/>
      <c r="BQ759" s="29"/>
      <c r="BR759" s="29"/>
      <c r="BS759" s="28" t="str">
        <f aca="false">IF(AND(N(BP759)&gt;0,N(BR759)&gt;0),BR759-BP759,"")</f>
        <v/>
      </c>
      <c r="BT759" s="28" t="str">
        <f aca="false">IF(BS759="","",ROUND(BS759/365.25,2))</f>
        <v/>
      </c>
      <c r="BU759" s="28" t="str">
        <f aca="false">IF(BS759="","",IF(BS759&gt;=730.5,"Yes","No"))</f>
        <v/>
      </c>
      <c r="BV759" s="27"/>
      <c r="BW759" s="29"/>
      <c r="BX759" s="27"/>
      <c r="BY759" s="27"/>
      <c r="BZ759" s="28" t="str">
        <f aca="false">IF(N(E759)=0,"",IF(E759&lt;65,"Under 65","≥65"))</f>
        <v/>
      </c>
      <c r="CA759" s="28" t="str">
        <f aca="false">IF(OR(AC759="Yes",AC759="No"),AC759,"")</f>
        <v/>
      </c>
      <c r="CB759" s="28" t="str">
        <f aca="false">IF(OR(AD759="Yes",AD759="No"),AD759,"")</f>
        <v/>
      </c>
      <c r="CC759" s="28" t="str">
        <f aca="false">IF(F759="","",F759)</f>
        <v/>
      </c>
      <c r="CD759" s="27"/>
      <c r="CE759" s="27"/>
    </row>
    <row r="760" customFormat="false" ht="15" hidden="false" customHeight="false" outlineLevel="0" collapsed="false">
      <c r="A760" s="27"/>
      <c r="B760" s="27"/>
      <c r="C760" s="27"/>
      <c r="D760" s="27"/>
      <c r="E760" s="27"/>
      <c r="F760" s="27"/>
      <c r="G760" s="27"/>
      <c r="H760" s="27"/>
      <c r="I760" s="27"/>
      <c r="J760" s="28" t="str">
        <f aca="false">IF(AND(N(H760)&gt;0,N(I760)&gt;0),ROUND(I760/(H760/100)^2,1),"")</f>
        <v/>
      </c>
      <c r="K760" s="27"/>
      <c r="L760" s="27"/>
      <c r="M760" s="27"/>
      <c r="N760" s="27"/>
      <c r="O760" s="27"/>
      <c r="P760" s="27"/>
      <c r="Q760" s="27"/>
      <c r="R760" s="29"/>
      <c r="S760" s="29"/>
      <c r="T760" s="27"/>
      <c r="U760" s="28" t="str">
        <f aca="false">IF(N(T760)=0,"",IF(T760&lt;12,"Under 12 months",IF(T760&lt;36,"12-35 months",IF(T760&lt;60,"36-59 months","≥60 months"))))</f>
        <v/>
      </c>
      <c r="V760" s="27"/>
      <c r="W760" s="30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9"/>
      <c r="AT760" s="30"/>
      <c r="AU760" s="30"/>
      <c r="AV760" s="30"/>
      <c r="AW760" s="27"/>
      <c r="AX760" s="27"/>
      <c r="AY760" s="29"/>
      <c r="AZ760" s="27"/>
      <c r="BA760" s="27"/>
      <c r="BB760" s="29"/>
      <c r="BC760" s="30"/>
      <c r="BD760" s="30"/>
      <c r="BE760" s="30"/>
      <c r="BF760" s="27"/>
      <c r="BG760" s="27"/>
      <c r="BH760" s="28" t="str">
        <f aca="false">IF(COUNT(BC760:BE760)=0,"",IF(MIN(BC760:BE760)&lt;=-2.5,"Yes","No"))</f>
        <v/>
      </c>
      <c r="BI760" s="27"/>
      <c r="BJ760" s="29"/>
      <c r="BK760" s="27"/>
      <c r="BL760" s="27"/>
      <c r="BM760" s="27"/>
      <c r="BN760" s="28" t="str">
        <f aca="false">IF(OR(AX760="Yes",BI760="Yes"),"Yes",IF(AND(AX760="No",BI760="No"),"No",IF(AND(AX760="",BI760=""),"","Unknown")))</f>
        <v/>
      </c>
      <c r="BO760" s="31" t="str">
        <f aca="false">IF(COUNT(AY760,BJ760)=0,"",MIN(AY760,BJ760))</f>
        <v/>
      </c>
      <c r="BP760" s="29"/>
      <c r="BQ760" s="29"/>
      <c r="BR760" s="29"/>
      <c r="BS760" s="28" t="str">
        <f aca="false">IF(AND(N(BP760)&gt;0,N(BR760)&gt;0),BR760-BP760,"")</f>
        <v/>
      </c>
      <c r="BT760" s="28" t="str">
        <f aca="false">IF(BS760="","",ROUND(BS760/365.25,2))</f>
        <v/>
      </c>
      <c r="BU760" s="28" t="str">
        <f aca="false">IF(BS760="","",IF(BS760&gt;=730.5,"Yes","No"))</f>
        <v/>
      </c>
      <c r="BV760" s="27"/>
      <c r="BW760" s="29"/>
      <c r="BX760" s="27"/>
      <c r="BY760" s="27"/>
      <c r="BZ760" s="28" t="str">
        <f aca="false">IF(N(E760)=0,"",IF(E760&lt;65,"Under 65","≥65"))</f>
        <v/>
      </c>
      <c r="CA760" s="28" t="str">
        <f aca="false">IF(OR(AC760="Yes",AC760="No"),AC760,"")</f>
        <v/>
      </c>
      <c r="CB760" s="28" t="str">
        <f aca="false">IF(OR(AD760="Yes",AD760="No"),AD760,"")</f>
        <v/>
      </c>
      <c r="CC760" s="28" t="str">
        <f aca="false">IF(F760="","",F760)</f>
        <v/>
      </c>
      <c r="CD760" s="27"/>
      <c r="CE760" s="27"/>
    </row>
    <row r="761" customFormat="false" ht="15" hidden="false" customHeight="false" outlineLevel="0" collapsed="false">
      <c r="A761" s="27"/>
      <c r="B761" s="27"/>
      <c r="C761" s="27"/>
      <c r="D761" s="27"/>
      <c r="E761" s="27"/>
      <c r="F761" s="27"/>
      <c r="G761" s="27"/>
      <c r="H761" s="27"/>
      <c r="I761" s="27"/>
      <c r="J761" s="28" t="str">
        <f aca="false">IF(AND(N(H761)&gt;0,N(I761)&gt;0),ROUND(I761/(H761/100)^2,1),"")</f>
        <v/>
      </c>
      <c r="K761" s="27"/>
      <c r="L761" s="27"/>
      <c r="M761" s="27"/>
      <c r="N761" s="27"/>
      <c r="O761" s="27"/>
      <c r="P761" s="27"/>
      <c r="Q761" s="27"/>
      <c r="R761" s="29"/>
      <c r="S761" s="29"/>
      <c r="T761" s="27"/>
      <c r="U761" s="28" t="str">
        <f aca="false">IF(N(T761)=0,"",IF(T761&lt;12,"Under 12 months",IF(T761&lt;36,"12-35 months",IF(T761&lt;60,"36-59 months","≥60 months"))))</f>
        <v/>
      </c>
      <c r="V761" s="27"/>
      <c r="W761" s="30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9"/>
      <c r="AT761" s="30"/>
      <c r="AU761" s="30"/>
      <c r="AV761" s="30"/>
      <c r="AW761" s="27"/>
      <c r="AX761" s="27"/>
      <c r="AY761" s="29"/>
      <c r="AZ761" s="27"/>
      <c r="BA761" s="27"/>
      <c r="BB761" s="29"/>
      <c r="BC761" s="30"/>
      <c r="BD761" s="30"/>
      <c r="BE761" s="30"/>
      <c r="BF761" s="27"/>
      <c r="BG761" s="27"/>
      <c r="BH761" s="28" t="str">
        <f aca="false">IF(COUNT(BC761:BE761)=0,"",IF(MIN(BC761:BE761)&lt;=-2.5,"Yes","No"))</f>
        <v/>
      </c>
      <c r="BI761" s="27"/>
      <c r="BJ761" s="29"/>
      <c r="BK761" s="27"/>
      <c r="BL761" s="27"/>
      <c r="BM761" s="27"/>
      <c r="BN761" s="28" t="str">
        <f aca="false">IF(OR(AX761="Yes",BI761="Yes"),"Yes",IF(AND(AX761="No",BI761="No"),"No",IF(AND(AX761="",BI761=""),"","Unknown")))</f>
        <v/>
      </c>
      <c r="BO761" s="31" t="str">
        <f aca="false">IF(COUNT(AY761,BJ761)=0,"",MIN(AY761,BJ761))</f>
        <v/>
      </c>
      <c r="BP761" s="29"/>
      <c r="BQ761" s="29"/>
      <c r="BR761" s="29"/>
      <c r="BS761" s="28" t="str">
        <f aca="false">IF(AND(N(BP761)&gt;0,N(BR761)&gt;0),BR761-BP761,"")</f>
        <v/>
      </c>
      <c r="BT761" s="28" t="str">
        <f aca="false">IF(BS761="","",ROUND(BS761/365.25,2))</f>
        <v/>
      </c>
      <c r="BU761" s="28" t="str">
        <f aca="false">IF(BS761="","",IF(BS761&gt;=730.5,"Yes","No"))</f>
        <v/>
      </c>
      <c r="BV761" s="27"/>
      <c r="BW761" s="29"/>
      <c r="BX761" s="27"/>
      <c r="BY761" s="27"/>
      <c r="BZ761" s="28" t="str">
        <f aca="false">IF(N(E761)=0,"",IF(E761&lt;65,"Under 65","≥65"))</f>
        <v/>
      </c>
      <c r="CA761" s="28" t="str">
        <f aca="false">IF(OR(AC761="Yes",AC761="No"),AC761,"")</f>
        <v/>
      </c>
      <c r="CB761" s="28" t="str">
        <f aca="false">IF(OR(AD761="Yes",AD761="No"),AD761,"")</f>
        <v/>
      </c>
      <c r="CC761" s="28" t="str">
        <f aca="false">IF(F761="","",F761)</f>
        <v/>
      </c>
      <c r="CD761" s="27"/>
      <c r="CE761" s="27"/>
    </row>
    <row r="762" customFormat="false" ht="15" hidden="false" customHeight="false" outlineLevel="0" collapsed="false">
      <c r="A762" s="27"/>
      <c r="B762" s="27"/>
      <c r="C762" s="27"/>
      <c r="D762" s="27"/>
      <c r="E762" s="27"/>
      <c r="F762" s="27"/>
      <c r="G762" s="27"/>
      <c r="H762" s="27"/>
      <c r="I762" s="27"/>
      <c r="J762" s="28" t="str">
        <f aca="false">IF(AND(N(H762)&gt;0,N(I762)&gt;0),ROUND(I762/(H762/100)^2,1),"")</f>
        <v/>
      </c>
      <c r="K762" s="27"/>
      <c r="L762" s="27"/>
      <c r="M762" s="27"/>
      <c r="N762" s="27"/>
      <c r="O762" s="27"/>
      <c r="P762" s="27"/>
      <c r="Q762" s="27"/>
      <c r="R762" s="29"/>
      <c r="S762" s="29"/>
      <c r="T762" s="27"/>
      <c r="U762" s="28" t="str">
        <f aca="false">IF(N(T762)=0,"",IF(T762&lt;12,"Under 12 months",IF(T762&lt;36,"12-35 months",IF(T762&lt;60,"36-59 months","≥60 months"))))</f>
        <v/>
      </c>
      <c r="V762" s="27"/>
      <c r="W762" s="30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9"/>
      <c r="AT762" s="30"/>
      <c r="AU762" s="30"/>
      <c r="AV762" s="30"/>
      <c r="AW762" s="27"/>
      <c r="AX762" s="27"/>
      <c r="AY762" s="29"/>
      <c r="AZ762" s="27"/>
      <c r="BA762" s="27"/>
      <c r="BB762" s="29"/>
      <c r="BC762" s="30"/>
      <c r="BD762" s="30"/>
      <c r="BE762" s="30"/>
      <c r="BF762" s="27"/>
      <c r="BG762" s="27"/>
      <c r="BH762" s="28" t="str">
        <f aca="false">IF(COUNT(BC762:BE762)=0,"",IF(MIN(BC762:BE762)&lt;=-2.5,"Yes","No"))</f>
        <v/>
      </c>
      <c r="BI762" s="27"/>
      <c r="BJ762" s="29"/>
      <c r="BK762" s="27"/>
      <c r="BL762" s="27"/>
      <c r="BM762" s="27"/>
      <c r="BN762" s="28" t="str">
        <f aca="false">IF(OR(AX762="Yes",BI762="Yes"),"Yes",IF(AND(AX762="No",BI762="No"),"No",IF(AND(AX762="",BI762=""),"","Unknown")))</f>
        <v/>
      </c>
      <c r="BO762" s="31" t="str">
        <f aca="false">IF(COUNT(AY762,BJ762)=0,"",MIN(AY762,BJ762))</f>
        <v/>
      </c>
      <c r="BP762" s="29"/>
      <c r="BQ762" s="29"/>
      <c r="BR762" s="29"/>
      <c r="BS762" s="28" t="str">
        <f aca="false">IF(AND(N(BP762)&gt;0,N(BR762)&gt;0),BR762-BP762,"")</f>
        <v/>
      </c>
      <c r="BT762" s="28" t="str">
        <f aca="false">IF(BS762="","",ROUND(BS762/365.25,2))</f>
        <v/>
      </c>
      <c r="BU762" s="28" t="str">
        <f aca="false">IF(BS762="","",IF(BS762&gt;=730.5,"Yes","No"))</f>
        <v/>
      </c>
      <c r="BV762" s="27"/>
      <c r="BW762" s="29"/>
      <c r="BX762" s="27"/>
      <c r="BY762" s="27"/>
      <c r="BZ762" s="28" t="str">
        <f aca="false">IF(N(E762)=0,"",IF(E762&lt;65,"Under 65","≥65"))</f>
        <v/>
      </c>
      <c r="CA762" s="28" t="str">
        <f aca="false">IF(OR(AC762="Yes",AC762="No"),AC762,"")</f>
        <v/>
      </c>
      <c r="CB762" s="28" t="str">
        <f aca="false">IF(OR(AD762="Yes",AD762="No"),AD762,"")</f>
        <v/>
      </c>
      <c r="CC762" s="28" t="str">
        <f aca="false">IF(F762="","",F762)</f>
        <v/>
      </c>
      <c r="CD762" s="27"/>
      <c r="CE762" s="27"/>
    </row>
    <row r="763" customFormat="false" ht="15" hidden="false" customHeight="false" outlineLevel="0" collapsed="false">
      <c r="A763" s="27"/>
      <c r="B763" s="27"/>
      <c r="C763" s="27"/>
      <c r="D763" s="27"/>
      <c r="E763" s="27"/>
      <c r="F763" s="27"/>
      <c r="G763" s="27"/>
      <c r="H763" s="27"/>
      <c r="I763" s="27"/>
      <c r="J763" s="28" t="str">
        <f aca="false">IF(AND(N(H763)&gt;0,N(I763)&gt;0),ROUND(I763/(H763/100)^2,1),"")</f>
        <v/>
      </c>
      <c r="K763" s="27"/>
      <c r="L763" s="27"/>
      <c r="M763" s="27"/>
      <c r="N763" s="27"/>
      <c r="O763" s="27"/>
      <c r="P763" s="27"/>
      <c r="Q763" s="27"/>
      <c r="R763" s="29"/>
      <c r="S763" s="29"/>
      <c r="T763" s="27"/>
      <c r="U763" s="28" t="str">
        <f aca="false">IF(N(T763)=0,"",IF(T763&lt;12,"Under 12 months",IF(T763&lt;36,"12-35 months",IF(T763&lt;60,"36-59 months","≥60 months"))))</f>
        <v/>
      </c>
      <c r="V763" s="27"/>
      <c r="W763" s="30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9"/>
      <c r="AT763" s="30"/>
      <c r="AU763" s="30"/>
      <c r="AV763" s="30"/>
      <c r="AW763" s="27"/>
      <c r="AX763" s="27"/>
      <c r="AY763" s="29"/>
      <c r="AZ763" s="27"/>
      <c r="BA763" s="27"/>
      <c r="BB763" s="29"/>
      <c r="BC763" s="30"/>
      <c r="BD763" s="30"/>
      <c r="BE763" s="30"/>
      <c r="BF763" s="27"/>
      <c r="BG763" s="27"/>
      <c r="BH763" s="28" t="str">
        <f aca="false">IF(COUNT(BC763:BE763)=0,"",IF(MIN(BC763:BE763)&lt;=-2.5,"Yes","No"))</f>
        <v/>
      </c>
      <c r="BI763" s="27"/>
      <c r="BJ763" s="29"/>
      <c r="BK763" s="27"/>
      <c r="BL763" s="27"/>
      <c r="BM763" s="27"/>
      <c r="BN763" s="28" t="str">
        <f aca="false">IF(OR(AX763="Yes",BI763="Yes"),"Yes",IF(AND(AX763="No",BI763="No"),"No",IF(AND(AX763="",BI763=""),"","Unknown")))</f>
        <v/>
      </c>
      <c r="BO763" s="31" t="str">
        <f aca="false">IF(COUNT(AY763,BJ763)=0,"",MIN(AY763,BJ763))</f>
        <v/>
      </c>
      <c r="BP763" s="29"/>
      <c r="BQ763" s="29"/>
      <c r="BR763" s="29"/>
      <c r="BS763" s="28" t="str">
        <f aca="false">IF(AND(N(BP763)&gt;0,N(BR763)&gt;0),BR763-BP763,"")</f>
        <v/>
      </c>
      <c r="BT763" s="28" t="str">
        <f aca="false">IF(BS763="","",ROUND(BS763/365.25,2))</f>
        <v/>
      </c>
      <c r="BU763" s="28" t="str">
        <f aca="false">IF(BS763="","",IF(BS763&gt;=730.5,"Yes","No"))</f>
        <v/>
      </c>
      <c r="BV763" s="27"/>
      <c r="BW763" s="29"/>
      <c r="BX763" s="27"/>
      <c r="BY763" s="27"/>
      <c r="BZ763" s="28" t="str">
        <f aca="false">IF(N(E763)=0,"",IF(E763&lt;65,"Under 65","≥65"))</f>
        <v/>
      </c>
      <c r="CA763" s="28" t="str">
        <f aca="false">IF(OR(AC763="Yes",AC763="No"),AC763,"")</f>
        <v/>
      </c>
      <c r="CB763" s="28" t="str">
        <f aca="false">IF(OR(AD763="Yes",AD763="No"),AD763,"")</f>
        <v/>
      </c>
      <c r="CC763" s="28" t="str">
        <f aca="false">IF(F763="","",F763)</f>
        <v/>
      </c>
      <c r="CD763" s="27"/>
      <c r="CE763" s="27"/>
    </row>
    <row r="764" customFormat="false" ht="15" hidden="false" customHeight="false" outlineLevel="0" collapsed="false">
      <c r="A764" s="27"/>
      <c r="B764" s="27"/>
      <c r="C764" s="27"/>
      <c r="D764" s="27"/>
      <c r="E764" s="27"/>
      <c r="F764" s="27"/>
      <c r="G764" s="27"/>
      <c r="H764" s="27"/>
      <c r="I764" s="27"/>
      <c r="J764" s="28" t="str">
        <f aca="false">IF(AND(N(H764)&gt;0,N(I764)&gt;0),ROUND(I764/(H764/100)^2,1),"")</f>
        <v/>
      </c>
      <c r="K764" s="27"/>
      <c r="L764" s="27"/>
      <c r="M764" s="27"/>
      <c r="N764" s="27"/>
      <c r="O764" s="27"/>
      <c r="P764" s="27"/>
      <c r="Q764" s="27"/>
      <c r="R764" s="29"/>
      <c r="S764" s="29"/>
      <c r="T764" s="27"/>
      <c r="U764" s="28" t="str">
        <f aca="false">IF(N(T764)=0,"",IF(T764&lt;12,"Under 12 months",IF(T764&lt;36,"12-35 months",IF(T764&lt;60,"36-59 months","≥60 months"))))</f>
        <v/>
      </c>
      <c r="V764" s="27"/>
      <c r="W764" s="30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9"/>
      <c r="AT764" s="30"/>
      <c r="AU764" s="30"/>
      <c r="AV764" s="30"/>
      <c r="AW764" s="27"/>
      <c r="AX764" s="27"/>
      <c r="AY764" s="29"/>
      <c r="AZ764" s="27"/>
      <c r="BA764" s="27"/>
      <c r="BB764" s="29"/>
      <c r="BC764" s="30"/>
      <c r="BD764" s="30"/>
      <c r="BE764" s="30"/>
      <c r="BF764" s="27"/>
      <c r="BG764" s="27"/>
      <c r="BH764" s="28" t="str">
        <f aca="false">IF(COUNT(BC764:BE764)=0,"",IF(MIN(BC764:BE764)&lt;=-2.5,"Yes","No"))</f>
        <v/>
      </c>
      <c r="BI764" s="27"/>
      <c r="BJ764" s="29"/>
      <c r="BK764" s="27"/>
      <c r="BL764" s="27"/>
      <c r="BM764" s="27"/>
      <c r="BN764" s="28" t="str">
        <f aca="false">IF(OR(AX764="Yes",BI764="Yes"),"Yes",IF(AND(AX764="No",BI764="No"),"No",IF(AND(AX764="",BI764=""),"","Unknown")))</f>
        <v/>
      </c>
      <c r="BO764" s="31" t="str">
        <f aca="false">IF(COUNT(AY764,BJ764)=0,"",MIN(AY764,BJ764))</f>
        <v/>
      </c>
      <c r="BP764" s="29"/>
      <c r="BQ764" s="29"/>
      <c r="BR764" s="29"/>
      <c r="BS764" s="28" t="str">
        <f aca="false">IF(AND(N(BP764)&gt;0,N(BR764)&gt;0),BR764-BP764,"")</f>
        <v/>
      </c>
      <c r="BT764" s="28" t="str">
        <f aca="false">IF(BS764="","",ROUND(BS764/365.25,2))</f>
        <v/>
      </c>
      <c r="BU764" s="28" t="str">
        <f aca="false">IF(BS764="","",IF(BS764&gt;=730.5,"Yes","No"))</f>
        <v/>
      </c>
      <c r="BV764" s="27"/>
      <c r="BW764" s="29"/>
      <c r="BX764" s="27"/>
      <c r="BY764" s="27"/>
      <c r="BZ764" s="28" t="str">
        <f aca="false">IF(N(E764)=0,"",IF(E764&lt;65,"Under 65","≥65"))</f>
        <v/>
      </c>
      <c r="CA764" s="28" t="str">
        <f aca="false">IF(OR(AC764="Yes",AC764="No"),AC764,"")</f>
        <v/>
      </c>
      <c r="CB764" s="28" t="str">
        <f aca="false">IF(OR(AD764="Yes",AD764="No"),AD764,"")</f>
        <v/>
      </c>
      <c r="CC764" s="28" t="str">
        <f aca="false">IF(F764="","",F764)</f>
        <v/>
      </c>
      <c r="CD764" s="27"/>
      <c r="CE764" s="27"/>
    </row>
    <row r="765" customFormat="false" ht="15" hidden="false" customHeight="false" outlineLevel="0" collapsed="false">
      <c r="A765" s="27"/>
      <c r="B765" s="27"/>
      <c r="C765" s="27"/>
      <c r="D765" s="27"/>
      <c r="E765" s="27"/>
      <c r="F765" s="27"/>
      <c r="G765" s="27"/>
      <c r="H765" s="27"/>
      <c r="I765" s="27"/>
      <c r="J765" s="28" t="str">
        <f aca="false">IF(AND(N(H765)&gt;0,N(I765)&gt;0),ROUND(I765/(H765/100)^2,1),"")</f>
        <v/>
      </c>
      <c r="K765" s="27"/>
      <c r="L765" s="27"/>
      <c r="M765" s="27"/>
      <c r="N765" s="27"/>
      <c r="O765" s="27"/>
      <c r="P765" s="27"/>
      <c r="Q765" s="27"/>
      <c r="R765" s="29"/>
      <c r="S765" s="29"/>
      <c r="T765" s="27"/>
      <c r="U765" s="28" t="str">
        <f aca="false">IF(N(T765)=0,"",IF(T765&lt;12,"Under 12 months",IF(T765&lt;36,"12-35 months",IF(T765&lt;60,"36-59 months","≥60 months"))))</f>
        <v/>
      </c>
      <c r="V765" s="27"/>
      <c r="W765" s="30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9"/>
      <c r="AT765" s="30"/>
      <c r="AU765" s="30"/>
      <c r="AV765" s="30"/>
      <c r="AW765" s="27"/>
      <c r="AX765" s="27"/>
      <c r="AY765" s="29"/>
      <c r="AZ765" s="27"/>
      <c r="BA765" s="27"/>
      <c r="BB765" s="29"/>
      <c r="BC765" s="30"/>
      <c r="BD765" s="30"/>
      <c r="BE765" s="30"/>
      <c r="BF765" s="27"/>
      <c r="BG765" s="27"/>
      <c r="BH765" s="28" t="str">
        <f aca="false">IF(COUNT(BC765:BE765)=0,"",IF(MIN(BC765:BE765)&lt;=-2.5,"Yes","No"))</f>
        <v/>
      </c>
      <c r="BI765" s="27"/>
      <c r="BJ765" s="29"/>
      <c r="BK765" s="27"/>
      <c r="BL765" s="27"/>
      <c r="BM765" s="27"/>
      <c r="BN765" s="28" t="str">
        <f aca="false">IF(OR(AX765="Yes",BI765="Yes"),"Yes",IF(AND(AX765="No",BI765="No"),"No",IF(AND(AX765="",BI765=""),"","Unknown")))</f>
        <v/>
      </c>
      <c r="BO765" s="31" t="str">
        <f aca="false">IF(COUNT(AY765,BJ765)=0,"",MIN(AY765,BJ765))</f>
        <v/>
      </c>
      <c r="BP765" s="29"/>
      <c r="BQ765" s="29"/>
      <c r="BR765" s="29"/>
      <c r="BS765" s="28" t="str">
        <f aca="false">IF(AND(N(BP765)&gt;0,N(BR765)&gt;0),BR765-BP765,"")</f>
        <v/>
      </c>
      <c r="BT765" s="28" t="str">
        <f aca="false">IF(BS765="","",ROUND(BS765/365.25,2))</f>
        <v/>
      </c>
      <c r="BU765" s="28" t="str">
        <f aca="false">IF(BS765="","",IF(BS765&gt;=730.5,"Yes","No"))</f>
        <v/>
      </c>
      <c r="BV765" s="27"/>
      <c r="BW765" s="29"/>
      <c r="BX765" s="27"/>
      <c r="BY765" s="27"/>
      <c r="BZ765" s="28" t="str">
        <f aca="false">IF(N(E765)=0,"",IF(E765&lt;65,"Under 65","≥65"))</f>
        <v/>
      </c>
      <c r="CA765" s="28" t="str">
        <f aca="false">IF(OR(AC765="Yes",AC765="No"),AC765,"")</f>
        <v/>
      </c>
      <c r="CB765" s="28" t="str">
        <f aca="false">IF(OR(AD765="Yes",AD765="No"),AD765,"")</f>
        <v/>
      </c>
      <c r="CC765" s="28" t="str">
        <f aca="false">IF(F765="","",F765)</f>
        <v/>
      </c>
      <c r="CD765" s="27"/>
      <c r="CE765" s="27"/>
    </row>
    <row r="766" customFormat="false" ht="15" hidden="false" customHeight="false" outlineLevel="0" collapsed="false">
      <c r="A766" s="27"/>
      <c r="B766" s="27"/>
      <c r="C766" s="27"/>
      <c r="D766" s="27"/>
      <c r="E766" s="27"/>
      <c r="F766" s="27"/>
      <c r="G766" s="27"/>
      <c r="H766" s="27"/>
      <c r="I766" s="27"/>
      <c r="J766" s="28" t="str">
        <f aca="false">IF(AND(N(H766)&gt;0,N(I766)&gt;0),ROUND(I766/(H766/100)^2,1),"")</f>
        <v/>
      </c>
      <c r="K766" s="27"/>
      <c r="L766" s="27"/>
      <c r="M766" s="27"/>
      <c r="N766" s="27"/>
      <c r="O766" s="27"/>
      <c r="P766" s="27"/>
      <c r="Q766" s="27"/>
      <c r="R766" s="29"/>
      <c r="S766" s="29"/>
      <c r="T766" s="27"/>
      <c r="U766" s="28" t="str">
        <f aca="false">IF(N(T766)=0,"",IF(T766&lt;12,"Under 12 months",IF(T766&lt;36,"12-35 months",IF(T766&lt;60,"36-59 months","≥60 months"))))</f>
        <v/>
      </c>
      <c r="V766" s="27"/>
      <c r="W766" s="30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9"/>
      <c r="AT766" s="30"/>
      <c r="AU766" s="30"/>
      <c r="AV766" s="30"/>
      <c r="AW766" s="27"/>
      <c r="AX766" s="27"/>
      <c r="AY766" s="29"/>
      <c r="AZ766" s="27"/>
      <c r="BA766" s="27"/>
      <c r="BB766" s="29"/>
      <c r="BC766" s="30"/>
      <c r="BD766" s="30"/>
      <c r="BE766" s="30"/>
      <c r="BF766" s="27"/>
      <c r="BG766" s="27"/>
      <c r="BH766" s="28" t="str">
        <f aca="false">IF(COUNT(BC766:BE766)=0,"",IF(MIN(BC766:BE766)&lt;=-2.5,"Yes","No"))</f>
        <v/>
      </c>
      <c r="BI766" s="27"/>
      <c r="BJ766" s="29"/>
      <c r="BK766" s="27"/>
      <c r="BL766" s="27"/>
      <c r="BM766" s="27"/>
      <c r="BN766" s="28" t="str">
        <f aca="false">IF(OR(AX766="Yes",BI766="Yes"),"Yes",IF(AND(AX766="No",BI766="No"),"No",IF(AND(AX766="",BI766=""),"","Unknown")))</f>
        <v/>
      </c>
      <c r="BO766" s="31" t="str">
        <f aca="false">IF(COUNT(AY766,BJ766)=0,"",MIN(AY766,BJ766))</f>
        <v/>
      </c>
      <c r="BP766" s="29"/>
      <c r="BQ766" s="29"/>
      <c r="BR766" s="29"/>
      <c r="BS766" s="28" t="str">
        <f aca="false">IF(AND(N(BP766)&gt;0,N(BR766)&gt;0),BR766-BP766,"")</f>
        <v/>
      </c>
      <c r="BT766" s="28" t="str">
        <f aca="false">IF(BS766="","",ROUND(BS766/365.25,2))</f>
        <v/>
      </c>
      <c r="BU766" s="28" t="str">
        <f aca="false">IF(BS766="","",IF(BS766&gt;=730.5,"Yes","No"))</f>
        <v/>
      </c>
      <c r="BV766" s="27"/>
      <c r="BW766" s="29"/>
      <c r="BX766" s="27"/>
      <c r="BY766" s="27"/>
      <c r="BZ766" s="28" t="str">
        <f aca="false">IF(N(E766)=0,"",IF(E766&lt;65,"Under 65","≥65"))</f>
        <v/>
      </c>
      <c r="CA766" s="28" t="str">
        <f aca="false">IF(OR(AC766="Yes",AC766="No"),AC766,"")</f>
        <v/>
      </c>
      <c r="CB766" s="28" t="str">
        <f aca="false">IF(OR(AD766="Yes",AD766="No"),AD766,"")</f>
        <v/>
      </c>
      <c r="CC766" s="28" t="str">
        <f aca="false">IF(F766="","",F766)</f>
        <v/>
      </c>
      <c r="CD766" s="27"/>
      <c r="CE766" s="27"/>
    </row>
    <row r="767" customFormat="false" ht="15" hidden="false" customHeight="false" outlineLevel="0" collapsed="false">
      <c r="A767" s="27"/>
      <c r="B767" s="27"/>
      <c r="C767" s="27"/>
      <c r="D767" s="27"/>
      <c r="E767" s="27"/>
      <c r="F767" s="27"/>
      <c r="G767" s="27"/>
      <c r="H767" s="27"/>
      <c r="I767" s="27"/>
      <c r="J767" s="28" t="str">
        <f aca="false">IF(AND(N(H767)&gt;0,N(I767)&gt;0),ROUND(I767/(H767/100)^2,1),"")</f>
        <v/>
      </c>
      <c r="K767" s="27"/>
      <c r="L767" s="27"/>
      <c r="M767" s="27"/>
      <c r="N767" s="27"/>
      <c r="O767" s="27"/>
      <c r="P767" s="27"/>
      <c r="Q767" s="27"/>
      <c r="R767" s="29"/>
      <c r="S767" s="29"/>
      <c r="T767" s="27"/>
      <c r="U767" s="28" t="str">
        <f aca="false">IF(N(T767)=0,"",IF(T767&lt;12,"Under 12 months",IF(T767&lt;36,"12-35 months",IF(T767&lt;60,"36-59 months","≥60 months"))))</f>
        <v/>
      </c>
      <c r="V767" s="27"/>
      <c r="W767" s="30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9"/>
      <c r="AT767" s="30"/>
      <c r="AU767" s="30"/>
      <c r="AV767" s="30"/>
      <c r="AW767" s="27"/>
      <c r="AX767" s="27"/>
      <c r="AY767" s="29"/>
      <c r="AZ767" s="27"/>
      <c r="BA767" s="27"/>
      <c r="BB767" s="29"/>
      <c r="BC767" s="30"/>
      <c r="BD767" s="30"/>
      <c r="BE767" s="30"/>
      <c r="BF767" s="27"/>
      <c r="BG767" s="27"/>
      <c r="BH767" s="28" t="str">
        <f aca="false">IF(COUNT(BC767:BE767)=0,"",IF(MIN(BC767:BE767)&lt;=-2.5,"Yes","No"))</f>
        <v/>
      </c>
      <c r="BI767" s="27"/>
      <c r="BJ767" s="29"/>
      <c r="BK767" s="27"/>
      <c r="BL767" s="27"/>
      <c r="BM767" s="27"/>
      <c r="BN767" s="28" t="str">
        <f aca="false">IF(OR(AX767="Yes",BI767="Yes"),"Yes",IF(AND(AX767="No",BI767="No"),"No",IF(AND(AX767="",BI767=""),"","Unknown")))</f>
        <v/>
      </c>
      <c r="BO767" s="31" t="str">
        <f aca="false">IF(COUNT(AY767,BJ767)=0,"",MIN(AY767,BJ767))</f>
        <v/>
      </c>
      <c r="BP767" s="29"/>
      <c r="BQ767" s="29"/>
      <c r="BR767" s="29"/>
      <c r="BS767" s="28" t="str">
        <f aca="false">IF(AND(N(BP767)&gt;0,N(BR767)&gt;0),BR767-BP767,"")</f>
        <v/>
      </c>
      <c r="BT767" s="28" t="str">
        <f aca="false">IF(BS767="","",ROUND(BS767/365.25,2))</f>
        <v/>
      </c>
      <c r="BU767" s="28" t="str">
        <f aca="false">IF(BS767="","",IF(BS767&gt;=730.5,"Yes","No"))</f>
        <v/>
      </c>
      <c r="BV767" s="27"/>
      <c r="BW767" s="29"/>
      <c r="BX767" s="27"/>
      <c r="BY767" s="27"/>
      <c r="BZ767" s="28" t="str">
        <f aca="false">IF(N(E767)=0,"",IF(E767&lt;65,"Under 65","≥65"))</f>
        <v/>
      </c>
      <c r="CA767" s="28" t="str">
        <f aca="false">IF(OR(AC767="Yes",AC767="No"),AC767,"")</f>
        <v/>
      </c>
      <c r="CB767" s="28" t="str">
        <f aca="false">IF(OR(AD767="Yes",AD767="No"),AD767,"")</f>
        <v/>
      </c>
      <c r="CC767" s="28" t="str">
        <f aca="false">IF(F767="","",F767)</f>
        <v/>
      </c>
      <c r="CD767" s="27"/>
      <c r="CE767" s="27"/>
    </row>
    <row r="768" customFormat="false" ht="15" hidden="false" customHeight="false" outlineLevel="0" collapsed="false">
      <c r="A768" s="27"/>
      <c r="B768" s="27"/>
      <c r="C768" s="27"/>
      <c r="D768" s="27"/>
      <c r="E768" s="27"/>
      <c r="F768" s="27"/>
      <c r="G768" s="27"/>
      <c r="H768" s="27"/>
      <c r="I768" s="27"/>
      <c r="J768" s="28" t="str">
        <f aca="false">IF(AND(N(H768)&gt;0,N(I768)&gt;0),ROUND(I768/(H768/100)^2,1),"")</f>
        <v/>
      </c>
      <c r="K768" s="27"/>
      <c r="L768" s="27"/>
      <c r="M768" s="27"/>
      <c r="N768" s="27"/>
      <c r="O768" s="27"/>
      <c r="P768" s="27"/>
      <c r="Q768" s="27"/>
      <c r="R768" s="29"/>
      <c r="S768" s="29"/>
      <c r="T768" s="27"/>
      <c r="U768" s="28" t="str">
        <f aca="false">IF(N(T768)=0,"",IF(T768&lt;12,"Under 12 months",IF(T768&lt;36,"12-35 months",IF(T768&lt;60,"36-59 months","≥60 months"))))</f>
        <v/>
      </c>
      <c r="V768" s="27"/>
      <c r="W768" s="30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9"/>
      <c r="AT768" s="30"/>
      <c r="AU768" s="30"/>
      <c r="AV768" s="30"/>
      <c r="AW768" s="27"/>
      <c r="AX768" s="27"/>
      <c r="AY768" s="29"/>
      <c r="AZ768" s="27"/>
      <c r="BA768" s="27"/>
      <c r="BB768" s="29"/>
      <c r="BC768" s="30"/>
      <c r="BD768" s="30"/>
      <c r="BE768" s="30"/>
      <c r="BF768" s="27"/>
      <c r="BG768" s="27"/>
      <c r="BH768" s="28" t="str">
        <f aca="false">IF(COUNT(BC768:BE768)=0,"",IF(MIN(BC768:BE768)&lt;=-2.5,"Yes","No"))</f>
        <v/>
      </c>
      <c r="BI768" s="27"/>
      <c r="BJ768" s="29"/>
      <c r="BK768" s="27"/>
      <c r="BL768" s="27"/>
      <c r="BM768" s="27"/>
      <c r="BN768" s="28" t="str">
        <f aca="false">IF(OR(AX768="Yes",BI768="Yes"),"Yes",IF(AND(AX768="No",BI768="No"),"No",IF(AND(AX768="",BI768=""),"","Unknown")))</f>
        <v/>
      </c>
      <c r="BO768" s="31" t="str">
        <f aca="false">IF(COUNT(AY768,BJ768)=0,"",MIN(AY768,BJ768))</f>
        <v/>
      </c>
      <c r="BP768" s="29"/>
      <c r="BQ768" s="29"/>
      <c r="BR768" s="29"/>
      <c r="BS768" s="28" t="str">
        <f aca="false">IF(AND(N(BP768)&gt;0,N(BR768)&gt;0),BR768-BP768,"")</f>
        <v/>
      </c>
      <c r="BT768" s="28" t="str">
        <f aca="false">IF(BS768="","",ROUND(BS768/365.25,2))</f>
        <v/>
      </c>
      <c r="BU768" s="28" t="str">
        <f aca="false">IF(BS768="","",IF(BS768&gt;=730.5,"Yes","No"))</f>
        <v/>
      </c>
      <c r="BV768" s="27"/>
      <c r="BW768" s="29"/>
      <c r="BX768" s="27"/>
      <c r="BY768" s="27"/>
      <c r="BZ768" s="28" t="str">
        <f aca="false">IF(N(E768)=0,"",IF(E768&lt;65,"Under 65","≥65"))</f>
        <v/>
      </c>
      <c r="CA768" s="28" t="str">
        <f aca="false">IF(OR(AC768="Yes",AC768="No"),AC768,"")</f>
        <v/>
      </c>
      <c r="CB768" s="28" t="str">
        <f aca="false">IF(OR(AD768="Yes",AD768="No"),AD768,"")</f>
        <v/>
      </c>
      <c r="CC768" s="28" t="str">
        <f aca="false">IF(F768="","",F768)</f>
        <v/>
      </c>
      <c r="CD768" s="27"/>
      <c r="CE768" s="27"/>
    </row>
    <row r="769" customFormat="false" ht="15" hidden="false" customHeight="false" outlineLevel="0" collapsed="false">
      <c r="A769" s="27"/>
      <c r="B769" s="27"/>
      <c r="C769" s="27"/>
      <c r="D769" s="27"/>
      <c r="E769" s="27"/>
      <c r="F769" s="27"/>
      <c r="G769" s="27"/>
      <c r="H769" s="27"/>
      <c r="I769" s="27"/>
      <c r="J769" s="28" t="str">
        <f aca="false">IF(AND(N(H769)&gt;0,N(I769)&gt;0),ROUND(I769/(H769/100)^2,1),"")</f>
        <v/>
      </c>
      <c r="K769" s="27"/>
      <c r="L769" s="27"/>
      <c r="M769" s="27"/>
      <c r="N769" s="27"/>
      <c r="O769" s="27"/>
      <c r="P769" s="27"/>
      <c r="Q769" s="27"/>
      <c r="R769" s="29"/>
      <c r="S769" s="29"/>
      <c r="T769" s="27"/>
      <c r="U769" s="28" t="str">
        <f aca="false">IF(N(T769)=0,"",IF(T769&lt;12,"Under 12 months",IF(T769&lt;36,"12-35 months",IF(T769&lt;60,"36-59 months","≥60 months"))))</f>
        <v/>
      </c>
      <c r="V769" s="27"/>
      <c r="W769" s="30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9"/>
      <c r="AT769" s="30"/>
      <c r="AU769" s="30"/>
      <c r="AV769" s="30"/>
      <c r="AW769" s="27"/>
      <c r="AX769" s="27"/>
      <c r="AY769" s="29"/>
      <c r="AZ769" s="27"/>
      <c r="BA769" s="27"/>
      <c r="BB769" s="29"/>
      <c r="BC769" s="30"/>
      <c r="BD769" s="30"/>
      <c r="BE769" s="30"/>
      <c r="BF769" s="27"/>
      <c r="BG769" s="27"/>
      <c r="BH769" s="28" t="str">
        <f aca="false">IF(COUNT(BC769:BE769)=0,"",IF(MIN(BC769:BE769)&lt;=-2.5,"Yes","No"))</f>
        <v/>
      </c>
      <c r="BI769" s="27"/>
      <c r="BJ769" s="29"/>
      <c r="BK769" s="27"/>
      <c r="BL769" s="27"/>
      <c r="BM769" s="27"/>
      <c r="BN769" s="28" t="str">
        <f aca="false">IF(OR(AX769="Yes",BI769="Yes"),"Yes",IF(AND(AX769="No",BI769="No"),"No",IF(AND(AX769="",BI769=""),"","Unknown")))</f>
        <v/>
      </c>
      <c r="BO769" s="31" t="str">
        <f aca="false">IF(COUNT(AY769,BJ769)=0,"",MIN(AY769,BJ769))</f>
        <v/>
      </c>
      <c r="BP769" s="29"/>
      <c r="BQ769" s="29"/>
      <c r="BR769" s="29"/>
      <c r="BS769" s="28" t="str">
        <f aca="false">IF(AND(N(BP769)&gt;0,N(BR769)&gt;0),BR769-BP769,"")</f>
        <v/>
      </c>
      <c r="BT769" s="28" t="str">
        <f aca="false">IF(BS769="","",ROUND(BS769/365.25,2))</f>
        <v/>
      </c>
      <c r="BU769" s="28" t="str">
        <f aca="false">IF(BS769="","",IF(BS769&gt;=730.5,"Yes","No"))</f>
        <v/>
      </c>
      <c r="BV769" s="27"/>
      <c r="BW769" s="29"/>
      <c r="BX769" s="27"/>
      <c r="BY769" s="27"/>
      <c r="BZ769" s="28" t="str">
        <f aca="false">IF(N(E769)=0,"",IF(E769&lt;65,"Under 65","≥65"))</f>
        <v/>
      </c>
      <c r="CA769" s="28" t="str">
        <f aca="false">IF(OR(AC769="Yes",AC769="No"),AC769,"")</f>
        <v/>
      </c>
      <c r="CB769" s="28" t="str">
        <f aca="false">IF(OR(AD769="Yes",AD769="No"),AD769,"")</f>
        <v/>
      </c>
      <c r="CC769" s="28" t="str">
        <f aca="false">IF(F769="","",F769)</f>
        <v/>
      </c>
      <c r="CD769" s="27"/>
      <c r="CE769" s="27"/>
    </row>
    <row r="770" customFormat="false" ht="15" hidden="false" customHeight="false" outlineLevel="0" collapsed="false">
      <c r="A770" s="27"/>
      <c r="B770" s="27"/>
      <c r="C770" s="27"/>
      <c r="D770" s="27"/>
      <c r="E770" s="27"/>
      <c r="F770" s="27"/>
      <c r="G770" s="27"/>
      <c r="H770" s="27"/>
      <c r="I770" s="27"/>
      <c r="J770" s="28" t="str">
        <f aca="false">IF(AND(N(H770)&gt;0,N(I770)&gt;0),ROUND(I770/(H770/100)^2,1),"")</f>
        <v/>
      </c>
      <c r="K770" s="27"/>
      <c r="L770" s="27"/>
      <c r="M770" s="27"/>
      <c r="N770" s="27"/>
      <c r="O770" s="27"/>
      <c r="P770" s="27"/>
      <c r="Q770" s="27"/>
      <c r="R770" s="29"/>
      <c r="S770" s="29"/>
      <c r="T770" s="27"/>
      <c r="U770" s="28" t="str">
        <f aca="false">IF(N(T770)=0,"",IF(T770&lt;12,"Under 12 months",IF(T770&lt;36,"12-35 months",IF(T770&lt;60,"36-59 months","≥60 months"))))</f>
        <v/>
      </c>
      <c r="V770" s="27"/>
      <c r="W770" s="30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9"/>
      <c r="AT770" s="30"/>
      <c r="AU770" s="30"/>
      <c r="AV770" s="30"/>
      <c r="AW770" s="27"/>
      <c r="AX770" s="27"/>
      <c r="AY770" s="29"/>
      <c r="AZ770" s="27"/>
      <c r="BA770" s="27"/>
      <c r="BB770" s="29"/>
      <c r="BC770" s="30"/>
      <c r="BD770" s="30"/>
      <c r="BE770" s="30"/>
      <c r="BF770" s="27"/>
      <c r="BG770" s="27"/>
      <c r="BH770" s="28" t="str">
        <f aca="false">IF(COUNT(BC770:BE770)=0,"",IF(MIN(BC770:BE770)&lt;=-2.5,"Yes","No"))</f>
        <v/>
      </c>
      <c r="BI770" s="27"/>
      <c r="BJ770" s="29"/>
      <c r="BK770" s="27"/>
      <c r="BL770" s="27"/>
      <c r="BM770" s="27"/>
      <c r="BN770" s="28" t="str">
        <f aca="false">IF(OR(AX770="Yes",BI770="Yes"),"Yes",IF(AND(AX770="No",BI770="No"),"No",IF(AND(AX770="",BI770=""),"","Unknown")))</f>
        <v/>
      </c>
      <c r="BO770" s="31" t="str">
        <f aca="false">IF(COUNT(AY770,BJ770)=0,"",MIN(AY770,BJ770))</f>
        <v/>
      </c>
      <c r="BP770" s="29"/>
      <c r="BQ770" s="29"/>
      <c r="BR770" s="29"/>
      <c r="BS770" s="28" t="str">
        <f aca="false">IF(AND(N(BP770)&gt;0,N(BR770)&gt;0),BR770-BP770,"")</f>
        <v/>
      </c>
      <c r="BT770" s="28" t="str">
        <f aca="false">IF(BS770="","",ROUND(BS770/365.25,2))</f>
        <v/>
      </c>
      <c r="BU770" s="28" t="str">
        <f aca="false">IF(BS770="","",IF(BS770&gt;=730.5,"Yes","No"))</f>
        <v/>
      </c>
      <c r="BV770" s="27"/>
      <c r="BW770" s="29"/>
      <c r="BX770" s="27"/>
      <c r="BY770" s="27"/>
      <c r="BZ770" s="28" t="str">
        <f aca="false">IF(N(E770)=0,"",IF(E770&lt;65,"Under 65","≥65"))</f>
        <v/>
      </c>
      <c r="CA770" s="28" t="str">
        <f aca="false">IF(OR(AC770="Yes",AC770="No"),AC770,"")</f>
        <v/>
      </c>
      <c r="CB770" s="28" t="str">
        <f aca="false">IF(OR(AD770="Yes",AD770="No"),AD770,"")</f>
        <v/>
      </c>
      <c r="CC770" s="28" t="str">
        <f aca="false">IF(F770="","",F770)</f>
        <v/>
      </c>
      <c r="CD770" s="27"/>
      <c r="CE770" s="27"/>
    </row>
    <row r="771" customFormat="false" ht="15" hidden="false" customHeight="false" outlineLevel="0" collapsed="false">
      <c r="A771" s="27"/>
      <c r="B771" s="27"/>
      <c r="C771" s="27"/>
      <c r="D771" s="27"/>
      <c r="E771" s="27"/>
      <c r="F771" s="27"/>
      <c r="G771" s="27"/>
      <c r="H771" s="27"/>
      <c r="I771" s="27"/>
      <c r="J771" s="28" t="str">
        <f aca="false">IF(AND(N(H771)&gt;0,N(I771)&gt;0),ROUND(I771/(H771/100)^2,1),"")</f>
        <v/>
      </c>
      <c r="K771" s="27"/>
      <c r="L771" s="27"/>
      <c r="M771" s="27"/>
      <c r="N771" s="27"/>
      <c r="O771" s="27"/>
      <c r="P771" s="27"/>
      <c r="Q771" s="27"/>
      <c r="R771" s="29"/>
      <c r="S771" s="29"/>
      <c r="T771" s="27"/>
      <c r="U771" s="28" t="str">
        <f aca="false">IF(N(T771)=0,"",IF(T771&lt;12,"Under 12 months",IF(T771&lt;36,"12-35 months",IF(T771&lt;60,"36-59 months","≥60 months"))))</f>
        <v/>
      </c>
      <c r="V771" s="27"/>
      <c r="W771" s="30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9"/>
      <c r="AT771" s="30"/>
      <c r="AU771" s="30"/>
      <c r="AV771" s="30"/>
      <c r="AW771" s="27"/>
      <c r="AX771" s="27"/>
      <c r="AY771" s="29"/>
      <c r="AZ771" s="27"/>
      <c r="BA771" s="27"/>
      <c r="BB771" s="29"/>
      <c r="BC771" s="30"/>
      <c r="BD771" s="30"/>
      <c r="BE771" s="30"/>
      <c r="BF771" s="27"/>
      <c r="BG771" s="27"/>
      <c r="BH771" s="28" t="str">
        <f aca="false">IF(COUNT(BC771:BE771)=0,"",IF(MIN(BC771:BE771)&lt;=-2.5,"Yes","No"))</f>
        <v/>
      </c>
      <c r="BI771" s="27"/>
      <c r="BJ771" s="29"/>
      <c r="BK771" s="27"/>
      <c r="BL771" s="27"/>
      <c r="BM771" s="27"/>
      <c r="BN771" s="28" t="str">
        <f aca="false">IF(OR(AX771="Yes",BI771="Yes"),"Yes",IF(AND(AX771="No",BI771="No"),"No",IF(AND(AX771="",BI771=""),"","Unknown")))</f>
        <v/>
      </c>
      <c r="BO771" s="31" t="str">
        <f aca="false">IF(COUNT(AY771,BJ771)=0,"",MIN(AY771,BJ771))</f>
        <v/>
      </c>
      <c r="BP771" s="29"/>
      <c r="BQ771" s="29"/>
      <c r="BR771" s="29"/>
      <c r="BS771" s="28" t="str">
        <f aca="false">IF(AND(N(BP771)&gt;0,N(BR771)&gt;0),BR771-BP771,"")</f>
        <v/>
      </c>
      <c r="BT771" s="28" t="str">
        <f aca="false">IF(BS771="","",ROUND(BS771/365.25,2))</f>
        <v/>
      </c>
      <c r="BU771" s="28" t="str">
        <f aca="false">IF(BS771="","",IF(BS771&gt;=730.5,"Yes","No"))</f>
        <v/>
      </c>
      <c r="BV771" s="27"/>
      <c r="BW771" s="29"/>
      <c r="BX771" s="27"/>
      <c r="BY771" s="27"/>
      <c r="BZ771" s="28" t="str">
        <f aca="false">IF(N(E771)=0,"",IF(E771&lt;65,"Under 65","≥65"))</f>
        <v/>
      </c>
      <c r="CA771" s="28" t="str">
        <f aca="false">IF(OR(AC771="Yes",AC771="No"),AC771,"")</f>
        <v/>
      </c>
      <c r="CB771" s="28" t="str">
        <f aca="false">IF(OR(AD771="Yes",AD771="No"),AD771,"")</f>
        <v/>
      </c>
      <c r="CC771" s="28" t="str">
        <f aca="false">IF(F771="","",F771)</f>
        <v/>
      </c>
      <c r="CD771" s="27"/>
      <c r="CE771" s="27"/>
    </row>
    <row r="772" customFormat="false" ht="15" hidden="false" customHeight="false" outlineLevel="0" collapsed="false">
      <c r="A772" s="27"/>
      <c r="B772" s="27"/>
      <c r="C772" s="27"/>
      <c r="D772" s="27"/>
      <c r="E772" s="27"/>
      <c r="F772" s="27"/>
      <c r="G772" s="27"/>
      <c r="H772" s="27"/>
      <c r="I772" s="27"/>
      <c r="J772" s="28" t="str">
        <f aca="false">IF(AND(N(H772)&gt;0,N(I772)&gt;0),ROUND(I772/(H772/100)^2,1),"")</f>
        <v/>
      </c>
      <c r="K772" s="27"/>
      <c r="L772" s="27"/>
      <c r="M772" s="27"/>
      <c r="N772" s="27"/>
      <c r="O772" s="27"/>
      <c r="P772" s="27"/>
      <c r="Q772" s="27"/>
      <c r="R772" s="29"/>
      <c r="S772" s="29"/>
      <c r="T772" s="27"/>
      <c r="U772" s="28" t="str">
        <f aca="false">IF(N(T772)=0,"",IF(T772&lt;12,"Under 12 months",IF(T772&lt;36,"12-35 months",IF(T772&lt;60,"36-59 months","≥60 months"))))</f>
        <v/>
      </c>
      <c r="V772" s="27"/>
      <c r="W772" s="30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9"/>
      <c r="AT772" s="30"/>
      <c r="AU772" s="30"/>
      <c r="AV772" s="30"/>
      <c r="AW772" s="27"/>
      <c r="AX772" s="27"/>
      <c r="AY772" s="29"/>
      <c r="AZ772" s="27"/>
      <c r="BA772" s="27"/>
      <c r="BB772" s="29"/>
      <c r="BC772" s="30"/>
      <c r="BD772" s="30"/>
      <c r="BE772" s="30"/>
      <c r="BF772" s="27"/>
      <c r="BG772" s="27"/>
      <c r="BH772" s="28" t="str">
        <f aca="false">IF(COUNT(BC772:BE772)=0,"",IF(MIN(BC772:BE772)&lt;=-2.5,"Yes","No"))</f>
        <v/>
      </c>
      <c r="BI772" s="27"/>
      <c r="BJ772" s="29"/>
      <c r="BK772" s="27"/>
      <c r="BL772" s="27"/>
      <c r="BM772" s="27"/>
      <c r="BN772" s="28" t="str">
        <f aca="false">IF(OR(AX772="Yes",BI772="Yes"),"Yes",IF(AND(AX772="No",BI772="No"),"No",IF(AND(AX772="",BI772=""),"","Unknown")))</f>
        <v/>
      </c>
      <c r="BO772" s="31" t="str">
        <f aca="false">IF(COUNT(AY772,BJ772)=0,"",MIN(AY772,BJ772))</f>
        <v/>
      </c>
      <c r="BP772" s="29"/>
      <c r="BQ772" s="29"/>
      <c r="BR772" s="29"/>
      <c r="BS772" s="28" t="str">
        <f aca="false">IF(AND(N(BP772)&gt;0,N(BR772)&gt;0),BR772-BP772,"")</f>
        <v/>
      </c>
      <c r="BT772" s="28" t="str">
        <f aca="false">IF(BS772="","",ROUND(BS772/365.25,2))</f>
        <v/>
      </c>
      <c r="BU772" s="28" t="str">
        <f aca="false">IF(BS772="","",IF(BS772&gt;=730.5,"Yes","No"))</f>
        <v/>
      </c>
      <c r="BV772" s="27"/>
      <c r="BW772" s="29"/>
      <c r="BX772" s="27"/>
      <c r="BY772" s="27"/>
      <c r="BZ772" s="28" t="str">
        <f aca="false">IF(N(E772)=0,"",IF(E772&lt;65,"Under 65","≥65"))</f>
        <v/>
      </c>
      <c r="CA772" s="28" t="str">
        <f aca="false">IF(OR(AC772="Yes",AC772="No"),AC772,"")</f>
        <v/>
      </c>
      <c r="CB772" s="28" t="str">
        <f aca="false">IF(OR(AD772="Yes",AD772="No"),AD772,"")</f>
        <v/>
      </c>
      <c r="CC772" s="28" t="str">
        <f aca="false">IF(F772="","",F772)</f>
        <v/>
      </c>
      <c r="CD772" s="27"/>
      <c r="CE772" s="27"/>
    </row>
    <row r="773" customFormat="false" ht="15" hidden="false" customHeight="false" outlineLevel="0" collapsed="false">
      <c r="A773" s="27"/>
      <c r="B773" s="27"/>
      <c r="C773" s="27"/>
      <c r="D773" s="27"/>
      <c r="E773" s="27"/>
      <c r="F773" s="27"/>
      <c r="G773" s="27"/>
      <c r="H773" s="27"/>
      <c r="I773" s="27"/>
      <c r="J773" s="28" t="str">
        <f aca="false">IF(AND(N(H773)&gt;0,N(I773)&gt;0),ROUND(I773/(H773/100)^2,1),"")</f>
        <v/>
      </c>
      <c r="K773" s="27"/>
      <c r="L773" s="27"/>
      <c r="M773" s="27"/>
      <c r="N773" s="27"/>
      <c r="O773" s="27"/>
      <c r="P773" s="27"/>
      <c r="Q773" s="27"/>
      <c r="R773" s="29"/>
      <c r="S773" s="29"/>
      <c r="T773" s="27"/>
      <c r="U773" s="28" t="str">
        <f aca="false">IF(N(T773)=0,"",IF(T773&lt;12,"Under 12 months",IF(T773&lt;36,"12-35 months",IF(T773&lt;60,"36-59 months","≥60 months"))))</f>
        <v/>
      </c>
      <c r="V773" s="27"/>
      <c r="W773" s="30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9"/>
      <c r="AT773" s="30"/>
      <c r="AU773" s="30"/>
      <c r="AV773" s="30"/>
      <c r="AW773" s="27"/>
      <c r="AX773" s="27"/>
      <c r="AY773" s="29"/>
      <c r="AZ773" s="27"/>
      <c r="BA773" s="27"/>
      <c r="BB773" s="29"/>
      <c r="BC773" s="30"/>
      <c r="BD773" s="30"/>
      <c r="BE773" s="30"/>
      <c r="BF773" s="27"/>
      <c r="BG773" s="27"/>
      <c r="BH773" s="28" t="str">
        <f aca="false">IF(COUNT(BC773:BE773)=0,"",IF(MIN(BC773:BE773)&lt;=-2.5,"Yes","No"))</f>
        <v/>
      </c>
      <c r="BI773" s="27"/>
      <c r="BJ773" s="29"/>
      <c r="BK773" s="27"/>
      <c r="BL773" s="27"/>
      <c r="BM773" s="27"/>
      <c r="BN773" s="28" t="str">
        <f aca="false">IF(OR(AX773="Yes",BI773="Yes"),"Yes",IF(AND(AX773="No",BI773="No"),"No",IF(AND(AX773="",BI773=""),"","Unknown")))</f>
        <v/>
      </c>
      <c r="BO773" s="31" t="str">
        <f aca="false">IF(COUNT(AY773,BJ773)=0,"",MIN(AY773,BJ773))</f>
        <v/>
      </c>
      <c r="BP773" s="29"/>
      <c r="BQ773" s="29"/>
      <c r="BR773" s="29"/>
      <c r="BS773" s="28" t="str">
        <f aca="false">IF(AND(N(BP773)&gt;0,N(BR773)&gt;0),BR773-BP773,"")</f>
        <v/>
      </c>
      <c r="BT773" s="28" t="str">
        <f aca="false">IF(BS773="","",ROUND(BS773/365.25,2))</f>
        <v/>
      </c>
      <c r="BU773" s="28" t="str">
        <f aca="false">IF(BS773="","",IF(BS773&gt;=730.5,"Yes","No"))</f>
        <v/>
      </c>
      <c r="BV773" s="27"/>
      <c r="BW773" s="29"/>
      <c r="BX773" s="27"/>
      <c r="BY773" s="27"/>
      <c r="BZ773" s="28" t="str">
        <f aca="false">IF(N(E773)=0,"",IF(E773&lt;65,"Under 65","≥65"))</f>
        <v/>
      </c>
      <c r="CA773" s="28" t="str">
        <f aca="false">IF(OR(AC773="Yes",AC773="No"),AC773,"")</f>
        <v/>
      </c>
      <c r="CB773" s="28" t="str">
        <f aca="false">IF(OR(AD773="Yes",AD773="No"),AD773,"")</f>
        <v/>
      </c>
      <c r="CC773" s="28" t="str">
        <f aca="false">IF(F773="","",F773)</f>
        <v/>
      </c>
      <c r="CD773" s="27"/>
      <c r="CE773" s="27"/>
    </row>
    <row r="774" customFormat="false" ht="15" hidden="false" customHeight="false" outlineLevel="0" collapsed="false">
      <c r="A774" s="27"/>
      <c r="B774" s="27"/>
      <c r="C774" s="27"/>
      <c r="D774" s="27"/>
      <c r="E774" s="27"/>
      <c r="F774" s="27"/>
      <c r="G774" s="27"/>
      <c r="H774" s="27"/>
      <c r="I774" s="27"/>
      <c r="J774" s="28" t="str">
        <f aca="false">IF(AND(N(H774)&gt;0,N(I774)&gt;0),ROUND(I774/(H774/100)^2,1),"")</f>
        <v/>
      </c>
      <c r="K774" s="27"/>
      <c r="L774" s="27"/>
      <c r="M774" s="27"/>
      <c r="N774" s="27"/>
      <c r="O774" s="27"/>
      <c r="P774" s="27"/>
      <c r="Q774" s="27"/>
      <c r="R774" s="29"/>
      <c r="S774" s="29"/>
      <c r="T774" s="27"/>
      <c r="U774" s="28" t="str">
        <f aca="false">IF(N(T774)=0,"",IF(T774&lt;12,"Under 12 months",IF(T774&lt;36,"12-35 months",IF(T774&lt;60,"36-59 months","≥60 months"))))</f>
        <v/>
      </c>
      <c r="V774" s="27"/>
      <c r="W774" s="30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9"/>
      <c r="AT774" s="30"/>
      <c r="AU774" s="30"/>
      <c r="AV774" s="30"/>
      <c r="AW774" s="27"/>
      <c r="AX774" s="27"/>
      <c r="AY774" s="29"/>
      <c r="AZ774" s="27"/>
      <c r="BA774" s="27"/>
      <c r="BB774" s="29"/>
      <c r="BC774" s="30"/>
      <c r="BD774" s="30"/>
      <c r="BE774" s="30"/>
      <c r="BF774" s="27"/>
      <c r="BG774" s="27"/>
      <c r="BH774" s="28" t="str">
        <f aca="false">IF(COUNT(BC774:BE774)=0,"",IF(MIN(BC774:BE774)&lt;=-2.5,"Yes","No"))</f>
        <v/>
      </c>
      <c r="BI774" s="27"/>
      <c r="BJ774" s="29"/>
      <c r="BK774" s="27"/>
      <c r="BL774" s="27"/>
      <c r="BM774" s="27"/>
      <c r="BN774" s="28" t="str">
        <f aca="false">IF(OR(AX774="Yes",BI774="Yes"),"Yes",IF(AND(AX774="No",BI774="No"),"No",IF(AND(AX774="",BI774=""),"","Unknown")))</f>
        <v/>
      </c>
      <c r="BO774" s="31" t="str">
        <f aca="false">IF(COUNT(AY774,BJ774)=0,"",MIN(AY774,BJ774))</f>
        <v/>
      </c>
      <c r="BP774" s="29"/>
      <c r="BQ774" s="29"/>
      <c r="BR774" s="29"/>
      <c r="BS774" s="28" t="str">
        <f aca="false">IF(AND(N(BP774)&gt;0,N(BR774)&gt;0),BR774-BP774,"")</f>
        <v/>
      </c>
      <c r="BT774" s="28" t="str">
        <f aca="false">IF(BS774="","",ROUND(BS774/365.25,2))</f>
        <v/>
      </c>
      <c r="BU774" s="28" t="str">
        <f aca="false">IF(BS774="","",IF(BS774&gt;=730.5,"Yes","No"))</f>
        <v/>
      </c>
      <c r="BV774" s="27"/>
      <c r="BW774" s="29"/>
      <c r="BX774" s="27"/>
      <c r="BY774" s="27"/>
      <c r="BZ774" s="28" t="str">
        <f aca="false">IF(N(E774)=0,"",IF(E774&lt;65,"Under 65","≥65"))</f>
        <v/>
      </c>
      <c r="CA774" s="28" t="str">
        <f aca="false">IF(OR(AC774="Yes",AC774="No"),AC774,"")</f>
        <v/>
      </c>
      <c r="CB774" s="28" t="str">
        <f aca="false">IF(OR(AD774="Yes",AD774="No"),AD774,"")</f>
        <v/>
      </c>
      <c r="CC774" s="28" t="str">
        <f aca="false">IF(F774="","",F774)</f>
        <v/>
      </c>
      <c r="CD774" s="27"/>
      <c r="CE774" s="27"/>
    </row>
    <row r="775" customFormat="false" ht="15" hidden="false" customHeight="false" outlineLevel="0" collapsed="false">
      <c r="A775" s="27"/>
      <c r="B775" s="27"/>
      <c r="C775" s="27"/>
      <c r="D775" s="27"/>
      <c r="E775" s="27"/>
      <c r="F775" s="27"/>
      <c r="G775" s="27"/>
      <c r="H775" s="27"/>
      <c r="I775" s="27"/>
      <c r="J775" s="28" t="str">
        <f aca="false">IF(AND(N(H775)&gt;0,N(I775)&gt;0),ROUND(I775/(H775/100)^2,1),"")</f>
        <v/>
      </c>
      <c r="K775" s="27"/>
      <c r="L775" s="27"/>
      <c r="M775" s="27"/>
      <c r="N775" s="27"/>
      <c r="O775" s="27"/>
      <c r="P775" s="27"/>
      <c r="Q775" s="27"/>
      <c r="R775" s="29"/>
      <c r="S775" s="29"/>
      <c r="T775" s="27"/>
      <c r="U775" s="28" t="str">
        <f aca="false">IF(N(T775)=0,"",IF(T775&lt;12,"Under 12 months",IF(T775&lt;36,"12-35 months",IF(T775&lt;60,"36-59 months","≥60 months"))))</f>
        <v/>
      </c>
      <c r="V775" s="27"/>
      <c r="W775" s="30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9"/>
      <c r="AT775" s="30"/>
      <c r="AU775" s="30"/>
      <c r="AV775" s="30"/>
      <c r="AW775" s="27"/>
      <c r="AX775" s="27"/>
      <c r="AY775" s="29"/>
      <c r="AZ775" s="27"/>
      <c r="BA775" s="27"/>
      <c r="BB775" s="29"/>
      <c r="BC775" s="30"/>
      <c r="BD775" s="30"/>
      <c r="BE775" s="30"/>
      <c r="BF775" s="27"/>
      <c r="BG775" s="27"/>
      <c r="BH775" s="28" t="str">
        <f aca="false">IF(COUNT(BC775:BE775)=0,"",IF(MIN(BC775:BE775)&lt;=-2.5,"Yes","No"))</f>
        <v/>
      </c>
      <c r="BI775" s="27"/>
      <c r="BJ775" s="29"/>
      <c r="BK775" s="27"/>
      <c r="BL775" s="27"/>
      <c r="BM775" s="27"/>
      <c r="BN775" s="28" t="str">
        <f aca="false">IF(OR(AX775="Yes",BI775="Yes"),"Yes",IF(AND(AX775="No",BI775="No"),"No",IF(AND(AX775="",BI775=""),"","Unknown")))</f>
        <v/>
      </c>
      <c r="BO775" s="31" t="str">
        <f aca="false">IF(COUNT(AY775,BJ775)=0,"",MIN(AY775,BJ775))</f>
        <v/>
      </c>
      <c r="BP775" s="29"/>
      <c r="BQ775" s="29"/>
      <c r="BR775" s="29"/>
      <c r="BS775" s="28" t="str">
        <f aca="false">IF(AND(N(BP775)&gt;0,N(BR775)&gt;0),BR775-BP775,"")</f>
        <v/>
      </c>
      <c r="BT775" s="28" t="str">
        <f aca="false">IF(BS775="","",ROUND(BS775/365.25,2))</f>
        <v/>
      </c>
      <c r="BU775" s="28" t="str">
        <f aca="false">IF(BS775="","",IF(BS775&gt;=730.5,"Yes","No"))</f>
        <v/>
      </c>
      <c r="BV775" s="27"/>
      <c r="BW775" s="29"/>
      <c r="BX775" s="27"/>
      <c r="BY775" s="27"/>
      <c r="BZ775" s="28" t="str">
        <f aca="false">IF(N(E775)=0,"",IF(E775&lt;65,"Under 65","≥65"))</f>
        <v/>
      </c>
      <c r="CA775" s="28" t="str">
        <f aca="false">IF(OR(AC775="Yes",AC775="No"),AC775,"")</f>
        <v/>
      </c>
      <c r="CB775" s="28" t="str">
        <f aca="false">IF(OR(AD775="Yes",AD775="No"),AD775,"")</f>
        <v/>
      </c>
      <c r="CC775" s="28" t="str">
        <f aca="false">IF(F775="","",F775)</f>
        <v/>
      </c>
      <c r="CD775" s="27"/>
      <c r="CE775" s="27"/>
    </row>
    <row r="776" customFormat="false" ht="15" hidden="false" customHeight="false" outlineLevel="0" collapsed="false">
      <c r="A776" s="27"/>
      <c r="B776" s="27"/>
      <c r="C776" s="27"/>
      <c r="D776" s="27"/>
      <c r="E776" s="27"/>
      <c r="F776" s="27"/>
      <c r="G776" s="27"/>
      <c r="H776" s="27"/>
      <c r="I776" s="27"/>
      <c r="J776" s="28" t="str">
        <f aca="false">IF(AND(N(H776)&gt;0,N(I776)&gt;0),ROUND(I776/(H776/100)^2,1),"")</f>
        <v/>
      </c>
      <c r="K776" s="27"/>
      <c r="L776" s="27"/>
      <c r="M776" s="27"/>
      <c r="N776" s="27"/>
      <c r="O776" s="27"/>
      <c r="P776" s="27"/>
      <c r="Q776" s="27"/>
      <c r="R776" s="29"/>
      <c r="S776" s="29"/>
      <c r="T776" s="27"/>
      <c r="U776" s="28" t="str">
        <f aca="false">IF(N(T776)=0,"",IF(T776&lt;12,"Under 12 months",IF(T776&lt;36,"12-35 months",IF(T776&lt;60,"36-59 months","≥60 months"))))</f>
        <v/>
      </c>
      <c r="V776" s="27"/>
      <c r="W776" s="30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9"/>
      <c r="AT776" s="30"/>
      <c r="AU776" s="30"/>
      <c r="AV776" s="30"/>
      <c r="AW776" s="27"/>
      <c r="AX776" s="27"/>
      <c r="AY776" s="29"/>
      <c r="AZ776" s="27"/>
      <c r="BA776" s="27"/>
      <c r="BB776" s="29"/>
      <c r="BC776" s="30"/>
      <c r="BD776" s="30"/>
      <c r="BE776" s="30"/>
      <c r="BF776" s="27"/>
      <c r="BG776" s="27"/>
      <c r="BH776" s="28" t="str">
        <f aca="false">IF(COUNT(BC776:BE776)=0,"",IF(MIN(BC776:BE776)&lt;=-2.5,"Yes","No"))</f>
        <v/>
      </c>
      <c r="BI776" s="27"/>
      <c r="BJ776" s="29"/>
      <c r="BK776" s="27"/>
      <c r="BL776" s="27"/>
      <c r="BM776" s="27"/>
      <c r="BN776" s="28" t="str">
        <f aca="false">IF(OR(AX776="Yes",BI776="Yes"),"Yes",IF(AND(AX776="No",BI776="No"),"No",IF(AND(AX776="",BI776=""),"","Unknown")))</f>
        <v/>
      </c>
      <c r="BO776" s="31" t="str">
        <f aca="false">IF(COUNT(AY776,BJ776)=0,"",MIN(AY776,BJ776))</f>
        <v/>
      </c>
      <c r="BP776" s="29"/>
      <c r="BQ776" s="29"/>
      <c r="BR776" s="29"/>
      <c r="BS776" s="28" t="str">
        <f aca="false">IF(AND(N(BP776)&gt;0,N(BR776)&gt;0),BR776-BP776,"")</f>
        <v/>
      </c>
      <c r="BT776" s="28" t="str">
        <f aca="false">IF(BS776="","",ROUND(BS776/365.25,2))</f>
        <v/>
      </c>
      <c r="BU776" s="28" t="str">
        <f aca="false">IF(BS776="","",IF(BS776&gt;=730.5,"Yes","No"))</f>
        <v/>
      </c>
      <c r="BV776" s="27"/>
      <c r="BW776" s="29"/>
      <c r="BX776" s="27"/>
      <c r="BY776" s="27"/>
      <c r="BZ776" s="28" t="str">
        <f aca="false">IF(N(E776)=0,"",IF(E776&lt;65,"Under 65","≥65"))</f>
        <v/>
      </c>
      <c r="CA776" s="28" t="str">
        <f aca="false">IF(OR(AC776="Yes",AC776="No"),AC776,"")</f>
        <v/>
      </c>
      <c r="CB776" s="28" t="str">
        <f aca="false">IF(OR(AD776="Yes",AD776="No"),AD776,"")</f>
        <v/>
      </c>
      <c r="CC776" s="28" t="str">
        <f aca="false">IF(F776="","",F776)</f>
        <v/>
      </c>
      <c r="CD776" s="27"/>
      <c r="CE776" s="27"/>
    </row>
    <row r="777" customFormat="false" ht="15" hidden="false" customHeight="false" outlineLevel="0" collapsed="false">
      <c r="A777" s="27"/>
      <c r="B777" s="27"/>
      <c r="C777" s="27"/>
      <c r="D777" s="27"/>
      <c r="E777" s="27"/>
      <c r="F777" s="27"/>
      <c r="G777" s="27"/>
      <c r="H777" s="27"/>
      <c r="I777" s="27"/>
      <c r="J777" s="28" t="str">
        <f aca="false">IF(AND(N(H777)&gt;0,N(I777)&gt;0),ROUND(I777/(H777/100)^2,1),"")</f>
        <v/>
      </c>
      <c r="K777" s="27"/>
      <c r="L777" s="27"/>
      <c r="M777" s="27"/>
      <c r="N777" s="27"/>
      <c r="O777" s="27"/>
      <c r="P777" s="27"/>
      <c r="Q777" s="27"/>
      <c r="R777" s="29"/>
      <c r="S777" s="29"/>
      <c r="T777" s="27"/>
      <c r="U777" s="28" t="str">
        <f aca="false">IF(N(T777)=0,"",IF(T777&lt;12,"Under 12 months",IF(T777&lt;36,"12-35 months",IF(T777&lt;60,"36-59 months","≥60 months"))))</f>
        <v/>
      </c>
      <c r="V777" s="27"/>
      <c r="W777" s="30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9"/>
      <c r="AT777" s="30"/>
      <c r="AU777" s="30"/>
      <c r="AV777" s="30"/>
      <c r="AW777" s="27"/>
      <c r="AX777" s="27"/>
      <c r="AY777" s="29"/>
      <c r="AZ777" s="27"/>
      <c r="BA777" s="27"/>
      <c r="BB777" s="29"/>
      <c r="BC777" s="30"/>
      <c r="BD777" s="30"/>
      <c r="BE777" s="30"/>
      <c r="BF777" s="27"/>
      <c r="BG777" s="27"/>
      <c r="BH777" s="28" t="str">
        <f aca="false">IF(COUNT(BC777:BE777)=0,"",IF(MIN(BC777:BE777)&lt;=-2.5,"Yes","No"))</f>
        <v/>
      </c>
      <c r="BI777" s="27"/>
      <c r="BJ777" s="29"/>
      <c r="BK777" s="27"/>
      <c r="BL777" s="27"/>
      <c r="BM777" s="27"/>
      <c r="BN777" s="28" t="str">
        <f aca="false">IF(OR(AX777="Yes",BI777="Yes"),"Yes",IF(AND(AX777="No",BI777="No"),"No",IF(AND(AX777="",BI777=""),"","Unknown")))</f>
        <v/>
      </c>
      <c r="BO777" s="31" t="str">
        <f aca="false">IF(COUNT(AY777,BJ777)=0,"",MIN(AY777,BJ777))</f>
        <v/>
      </c>
      <c r="BP777" s="29"/>
      <c r="BQ777" s="29"/>
      <c r="BR777" s="29"/>
      <c r="BS777" s="28" t="str">
        <f aca="false">IF(AND(N(BP777)&gt;0,N(BR777)&gt;0),BR777-BP777,"")</f>
        <v/>
      </c>
      <c r="BT777" s="28" t="str">
        <f aca="false">IF(BS777="","",ROUND(BS777/365.25,2))</f>
        <v/>
      </c>
      <c r="BU777" s="28" t="str">
        <f aca="false">IF(BS777="","",IF(BS777&gt;=730.5,"Yes","No"))</f>
        <v/>
      </c>
      <c r="BV777" s="27"/>
      <c r="BW777" s="29"/>
      <c r="BX777" s="27"/>
      <c r="BY777" s="27"/>
      <c r="BZ777" s="28" t="str">
        <f aca="false">IF(N(E777)=0,"",IF(E777&lt;65,"Under 65","≥65"))</f>
        <v/>
      </c>
      <c r="CA777" s="28" t="str">
        <f aca="false">IF(OR(AC777="Yes",AC777="No"),AC777,"")</f>
        <v/>
      </c>
      <c r="CB777" s="28" t="str">
        <f aca="false">IF(OR(AD777="Yes",AD777="No"),AD777,"")</f>
        <v/>
      </c>
      <c r="CC777" s="28" t="str">
        <f aca="false">IF(F777="","",F777)</f>
        <v/>
      </c>
      <c r="CD777" s="27"/>
      <c r="CE777" s="27"/>
    </row>
    <row r="778" customFormat="false" ht="15" hidden="false" customHeight="false" outlineLevel="0" collapsed="false">
      <c r="A778" s="27"/>
      <c r="B778" s="27"/>
      <c r="C778" s="27"/>
      <c r="D778" s="27"/>
      <c r="E778" s="27"/>
      <c r="F778" s="27"/>
      <c r="G778" s="27"/>
      <c r="H778" s="27"/>
      <c r="I778" s="27"/>
      <c r="J778" s="28" t="str">
        <f aca="false">IF(AND(N(H778)&gt;0,N(I778)&gt;0),ROUND(I778/(H778/100)^2,1),"")</f>
        <v/>
      </c>
      <c r="K778" s="27"/>
      <c r="L778" s="27"/>
      <c r="M778" s="27"/>
      <c r="N778" s="27"/>
      <c r="O778" s="27"/>
      <c r="P778" s="27"/>
      <c r="Q778" s="27"/>
      <c r="R778" s="29"/>
      <c r="S778" s="29"/>
      <c r="T778" s="27"/>
      <c r="U778" s="28" t="str">
        <f aca="false">IF(N(T778)=0,"",IF(T778&lt;12,"Under 12 months",IF(T778&lt;36,"12-35 months",IF(T778&lt;60,"36-59 months","≥60 months"))))</f>
        <v/>
      </c>
      <c r="V778" s="27"/>
      <c r="W778" s="30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9"/>
      <c r="AT778" s="30"/>
      <c r="AU778" s="30"/>
      <c r="AV778" s="30"/>
      <c r="AW778" s="27"/>
      <c r="AX778" s="27"/>
      <c r="AY778" s="29"/>
      <c r="AZ778" s="27"/>
      <c r="BA778" s="27"/>
      <c r="BB778" s="29"/>
      <c r="BC778" s="30"/>
      <c r="BD778" s="30"/>
      <c r="BE778" s="30"/>
      <c r="BF778" s="27"/>
      <c r="BG778" s="27"/>
      <c r="BH778" s="28" t="str">
        <f aca="false">IF(COUNT(BC778:BE778)=0,"",IF(MIN(BC778:BE778)&lt;=-2.5,"Yes","No"))</f>
        <v/>
      </c>
      <c r="BI778" s="27"/>
      <c r="BJ778" s="29"/>
      <c r="BK778" s="27"/>
      <c r="BL778" s="27"/>
      <c r="BM778" s="27"/>
      <c r="BN778" s="28" t="str">
        <f aca="false">IF(OR(AX778="Yes",BI778="Yes"),"Yes",IF(AND(AX778="No",BI778="No"),"No",IF(AND(AX778="",BI778=""),"","Unknown")))</f>
        <v/>
      </c>
      <c r="BO778" s="31" t="str">
        <f aca="false">IF(COUNT(AY778,BJ778)=0,"",MIN(AY778,BJ778))</f>
        <v/>
      </c>
      <c r="BP778" s="29"/>
      <c r="BQ778" s="29"/>
      <c r="BR778" s="29"/>
      <c r="BS778" s="28" t="str">
        <f aca="false">IF(AND(N(BP778)&gt;0,N(BR778)&gt;0),BR778-BP778,"")</f>
        <v/>
      </c>
      <c r="BT778" s="28" t="str">
        <f aca="false">IF(BS778="","",ROUND(BS778/365.25,2))</f>
        <v/>
      </c>
      <c r="BU778" s="28" t="str">
        <f aca="false">IF(BS778="","",IF(BS778&gt;=730.5,"Yes","No"))</f>
        <v/>
      </c>
      <c r="BV778" s="27"/>
      <c r="BW778" s="29"/>
      <c r="BX778" s="27"/>
      <c r="BY778" s="27"/>
      <c r="BZ778" s="28" t="str">
        <f aca="false">IF(N(E778)=0,"",IF(E778&lt;65,"Under 65","≥65"))</f>
        <v/>
      </c>
      <c r="CA778" s="28" t="str">
        <f aca="false">IF(OR(AC778="Yes",AC778="No"),AC778,"")</f>
        <v/>
      </c>
      <c r="CB778" s="28" t="str">
        <f aca="false">IF(OR(AD778="Yes",AD778="No"),AD778,"")</f>
        <v/>
      </c>
      <c r="CC778" s="28" t="str">
        <f aca="false">IF(F778="","",F778)</f>
        <v/>
      </c>
      <c r="CD778" s="27"/>
      <c r="CE778" s="27"/>
    </row>
    <row r="779" customFormat="false" ht="15" hidden="false" customHeight="false" outlineLevel="0" collapsed="false">
      <c r="A779" s="27"/>
      <c r="B779" s="27"/>
      <c r="C779" s="27"/>
      <c r="D779" s="27"/>
      <c r="E779" s="27"/>
      <c r="F779" s="27"/>
      <c r="G779" s="27"/>
      <c r="H779" s="27"/>
      <c r="I779" s="27"/>
      <c r="J779" s="28" t="str">
        <f aca="false">IF(AND(N(H779)&gt;0,N(I779)&gt;0),ROUND(I779/(H779/100)^2,1),"")</f>
        <v/>
      </c>
      <c r="K779" s="27"/>
      <c r="L779" s="27"/>
      <c r="M779" s="27"/>
      <c r="N779" s="27"/>
      <c r="O779" s="27"/>
      <c r="P779" s="27"/>
      <c r="Q779" s="27"/>
      <c r="R779" s="29"/>
      <c r="S779" s="29"/>
      <c r="T779" s="27"/>
      <c r="U779" s="28" t="str">
        <f aca="false">IF(N(T779)=0,"",IF(T779&lt;12,"Under 12 months",IF(T779&lt;36,"12-35 months",IF(T779&lt;60,"36-59 months","≥60 months"))))</f>
        <v/>
      </c>
      <c r="V779" s="27"/>
      <c r="W779" s="30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9"/>
      <c r="AT779" s="30"/>
      <c r="AU779" s="30"/>
      <c r="AV779" s="30"/>
      <c r="AW779" s="27"/>
      <c r="AX779" s="27"/>
      <c r="AY779" s="29"/>
      <c r="AZ779" s="27"/>
      <c r="BA779" s="27"/>
      <c r="BB779" s="29"/>
      <c r="BC779" s="30"/>
      <c r="BD779" s="30"/>
      <c r="BE779" s="30"/>
      <c r="BF779" s="27"/>
      <c r="BG779" s="27"/>
      <c r="BH779" s="28" t="str">
        <f aca="false">IF(COUNT(BC779:BE779)=0,"",IF(MIN(BC779:BE779)&lt;=-2.5,"Yes","No"))</f>
        <v/>
      </c>
      <c r="BI779" s="27"/>
      <c r="BJ779" s="29"/>
      <c r="BK779" s="27"/>
      <c r="BL779" s="27"/>
      <c r="BM779" s="27"/>
      <c r="BN779" s="28" t="str">
        <f aca="false">IF(OR(AX779="Yes",BI779="Yes"),"Yes",IF(AND(AX779="No",BI779="No"),"No",IF(AND(AX779="",BI779=""),"","Unknown")))</f>
        <v/>
      </c>
      <c r="BO779" s="31" t="str">
        <f aca="false">IF(COUNT(AY779,BJ779)=0,"",MIN(AY779,BJ779))</f>
        <v/>
      </c>
      <c r="BP779" s="29"/>
      <c r="BQ779" s="29"/>
      <c r="BR779" s="29"/>
      <c r="BS779" s="28" t="str">
        <f aca="false">IF(AND(N(BP779)&gt;0,N(BR779)&gt;0),BR779-BP779,"")</f>
        <v/>
      </c>
      <c r="BT779" s="28" t="str">
        <f aca="false">IF(BS779="","",ROUND(BS779/365.25,2))</f>
        <v/>
      </c>
      <c r="BU779" s="28" t="str">
        <f aca="false">IF(BS779="","",IF(BS779&gt;=730.5,"Yes","No"))</f>
        <v/>
      </c>
      <c r="BV779" s="27"/>
      <c r="BW779" s="29"/>
      <c r="BX779" s="27"/>
      <c r="BY779" s="27"/>
      <c r="BZ779" s="28" t="str">
        <f aca="false">IF(N(E779)=0,"",IF(E779&lt;65,"Under 65","≥65"))</f>
        <v/>
      </c>
      <c r="CA779" s="28" t="str">
        <f aca="false">IF(OR(AC779="Yes",AC779="No"),AC779,"")</f>
        <v/>
      </c>
      <c r="CB779" s="28" t="str">
        <f aca="false">IF(OR(AD779="Yes",AD779="No"),AD779,"")</f>
        <v/>
      </c>
      <c r="CC779" s="28" t="str">
        <f aca="false">IF(F779="","",F779)</f>
        <v/>
      </c>
      <c r="CD779" s="27"/>
      <c r="CE779" s="27"/>
    </row>
    <row r="780" customFormat="false" ht="15" hidden="false" customHeight="false" outlineLevel="0" collapsed="false">
      <c r="A780" s="27"/>
      <c r="B780" s="27"/>
      <c r="C780" s="27"/>
      <c r="D780" s="27"/>
      <c r="E780" s="27"/>
      <c r="F780" s="27"/>
      <c r="G780" s="27"/>
      <c r="H780" s="27"/>
      <c r="I780" s="27"/>
      <c r="J780" s="28" t="str">
        <f aca="false">IF(AND(N(H780)&gt;0,N(I780)&gt;0),ROUND(I780/(H780/100)^2,1),"")</f>
        <v/>
      </c>
      <c r="K780" s="27"/>
      <c r="L780" s="27"/>
      <c r="M780" s="27"/>
      <c r="N780" s="27"/>
      <c r="O780" s="27"/>
      <c r="P780" s="27"/>
      <c r="Q780" s="27"/>
      <c r="R780" s="29"/>
      <c r="S780" s="29"/>
      <c r="T780" s="27"/>
      <c r="U780" s="28" t="str">
        <f aca="false">IF(N(T780)=0,"",IF(T780&lt;12,"Under 12 months",IF(T780&lt;36,"12-35 months",IF(T780&lt;60,"36-59 months","≥60 months"))))</f>
        <v/>
      </c>
      <c r="V780" s="27"/>
      <c r="W780" s="30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9"/>
      <c r="AT780" s="30"/>
      <c r="AU780" s="30"/>
      <c r="AV780" s="30"/>
      <c r="AW780" s="27"/>
      <c r="AX780" s="27"/>
      <c r="AY780" s="29"/>
      <c r="AZ780" s="27"/>
      <c r="BA780" s="27"/>
      <c r="BB780" s="29"/>
      <c r="BC780" s="30"/>
      <c r="BD780" s="30"/>
      <c r="BE780" s="30"/>
      <c r="BF780" s="27"/>
      <c r="BG780" s="27"/>
      <c r="BH780" s="28" t="str">
        <f aca="false">IF(COUNT(BC780:BE780)=0,"",IF(MIN(BC780:BE780)&lt;=-2.5,"Yes","No"))</f>
        <v/>
      </c>
      <c r="BI780" s="27"/>
      <c r="BJ780" s="29"/>
      <c r="BK780" s="27"/>
      <c r="BL780" s="27"/>
      <c r="BM780" s="27"/>
      <c r="BN780" s="28" t="str">
        <f aca="false">IF(OR(AX780="Yes",BI780="Yes"),"Yes",IF(AND(AX780="No",BI780="No"),"No",IF(AND(AX780="",BI780=""),"","Unknown")))</f>
        <v/>
      </c>
      <c r="BO780" s="31" t="str">
        <f aca="false">IF(COUNT(AY780,BJ780)=0,"",MIN(AY780,BJ780))</f>
        <v/>
      </c>
      <c r="BP780" s="29"/>
      <c r="BQ780" s="29"/>
      <c r="BR780" s="29"/>
      <c r="BS780" s="28" t="str">
        <f aca="false">IF(AND(N(BP780)&gt;0,N(BR780)&gt;0),BR780-BP780,"")</f>
        <v/>
      </c>
      <c r="BT780" s="28" t="str">
        <f aca="false">IF(BS780="","",ROUND(BS780/365.25,2))</f>
        <v/>
      </c>
      <c r="BU780" s="28" t="str">
        <f aca="false">IF(BS780="","",IF(BS780&gt;=730.5,"Yes","No"))</f>
        <v/>
      </c>
      <c r="BV780" s="27"/>
      <c r="BW780" s="29"/>
      <c r="BX780" s="27"/>
      <c r="BY780" s="27"/>
      <c r="BZ780" s="28" t="str">
        <f aca="false">IF(N(E780)=0,"",IF(E780&lt;65,"Under 65","≥65"))</f>
        <v/>
      </c>
      <c r="CA780" s="28" t="str">
        <f aca="false">IF(OR(AC780="Yes",AC780="No"),AC780,"")</f>
        <v/>
      </c>
      <c r="CB780" s="28" t="str">
        <f aca="false">IF(OR(AD780="Yes",AD780="No"),AD780,"")</f>
        <v/>
      </c>
      <c r="CC780" s="28" t="str">
        <f aca="false">IF(F780="","",F780)</f>
        <v/>
      </c>
      <c r="CD780" s="27"/>
      <c r="CE780" s="27"/>
    </row>
    <row r="781" customFormat="false" ht="15" hidden="false" customHeight="false" outlineLevel="0" collapsed="false">
      <c r="A781" s="27"/>
      <c r="B781" s="27"/>
      <c r="C781" s="27"/>
      <c r="D781" s="27"/>
      <c r="E781" s="27"/>
      <c r="F781" s="27"/>
      <c r="G781" s="27"/>
      <c r="H781" s="27"/>
      <c r="I781" s="27"/>
      <c r="J781" s="28" t="str">
        <f aca="false">IF(AND(N(H781)&gt;0,N(I781)&gt;0),ROUND(I781/(H781/100)^2,1),"")</f>
        <v/>
      </c>
      <c r="K781" s="27"/>
      <c r="L781" s="27"/>
      <c r="M781" s="27"/>
      <c r="N781" s="27"/>
      <c r="O781" s="27"/>
      <c r="P781" s="27"/>
      <c r="Q781" s="27"/>
      <c r="R781" s="29"/>
      <c r="S781" s="29"/>
      <c r="T781" s="27"/>
      <c r="U781" s="28" t="str">
        <f aca="false">IF(N(T781)=0,"",IF(T781&lt;12,"Under 12 months",IF(T781&lt;36,"12-35 months",IF(T781&lt;60,"36-59 months","≥60 months"))))</f>
        <v/>
      </c>
      <c r="V781" s="27"/>
      <c r="W781" s="30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9"/>
      <c r="AT781" s="30"/>
      <c r="AU781" s="30"/>
      <c r="AV781" s="30"/>
      <c r="AW781" s="27"/>
      <c r="AX781" s="27"/>
      <c r="AY781" s="29"/>
      <c r="AZ781" s="27"/>
      <c r="BA781" s="27"/>
      <c r="BB781" s="29"/>
      <c r="BC781" s="30"/>
      <c r="BD781" s="30"/>
      <c r="BE781" s="30"/>
      <c r="BF781" s="27"/>
      <c r="BG781" s="27"/>
      <c r="BH781" s="28" t="str">
        <f aca="false">IF(COUNT(BC781:BE781)=0,"",IF(MIN(BC781:BE781)&lt;=-2.5,"Yes","No"))</f>
        <v/>
      </c>
      <c r="BI781" s="27"/>
      <c r="BJ781" s="29"/>
      <c r="BK781" s="27"/>
      <c r="BL781" s="27"/>
      <c r="BM781" s="27"/>
      <c r="BN781" s="28" t="str">
        <f aca="false">IF(OR(AX781="Yes",BI781="Yes"),"Yes",IF(AND(AX781="No",BI781="No"),"No",IF(AND(AX781="",BI781=""),"","Unknown")))</f>
        <v/>
      </c>
      <c r="BO781" s="31" t="str">
        <f aca="false">IF(COUNT(AY781,BJ781)=0,"",MIN(AY781,BJ781))</f>
        <v/>
      </c>
      <c r="BP781" s="29"/>
      <c r="BQ781" s="29"/>
      <c r="BR781" s="29"/>
      <c r="BS781" s="28" t="str">
        <f aca="false">IF(AND(N(BP781)&gt;0,N(BR781)&gt;0),BR781-BP781,"")</f>
        <v/>
      </c>
      <c r="BT781" s="28" t="str">
        <f aca="false">IF(BS781="","",ROUND(BS781/365.25,2))</f>
        <v/>
      </c>
      <c r="BU781" s="28" t="str">
        <f aca="false">IF(BS781="","",IF(BS781&gt;=730.5,"Yes","No"))</f>
        <v/>
      </c>
      <c r="BV781" s="27"/>
      <c r="BW781" s="29"/>
      <c r="BX781" s="27"/>
      <c r="BY781" s="27"/>
      <c r="BZ781" s="28" t="str">
        <f aca="false">IF(N(E781)=0,"",IF(E781&lt;65,"Under 65","≥65"))</f>
        <v/>
      </c>
      <c r="CA781" s="28" t="str">
        <f aca="false">IF(OR(AC781="Yes",AC781="No"),AC781,"")</f>
        <v/>
      </c>
      <c r="CB781" s="28" t="str">
        <f aca="false">IF(OR(AD781="Yes",AD781="No"),AD781,"")</f>
        <v/>
      </c>
      <c r="CC781" s="28" t="str">
        <f aca="false">IF(F781="","",F781)</f>
        <v/>
      </c>
      <c r="CD781" s="27"/>
      <c r="CE781" s="27"/>
    </row>
    <row r="782" customFormat="false" ht="15" hidden="false" customHeight="false" outlineLevel="0" collapsed="false">
      <c r="A782" s="27"/>
      <c r="B782" s="27"/>
      <c r="C782" s="27"/>
      <c r="D782" s="27"/>
      <c r="E782" s="27"/>
      <c r="F782" s="27"/>
      <c r="G782" s="27"/>
      <c r="H782" s="27"/>
      <c r="I782" s="27"/>
      <c r="J782" s="28" t="str">
        <f aca="false">IF(AND(N(H782)&gt;0,N(I782)&gt;0),ROUND(I782/(H782/100)^2,1),"")</f>
        <v/>
      </c>
      <c r="K782" s="27"/>
      <c r="L782" s="27"/>
      <c r="M782" s="27"/>
      <c r="N782" s="27"/>
      <c r="O782" s="27"/>
      <c r="P782" s="27"/>
      <c r="Q782" s="27"/>
      <c r="R782" s="29"/>
      <c r="S782" s="29"/>
      <c r="T782" s="27"/>
      <c r="U782" s="28" t="str">
        <f aca="false">IF(N(T782)=0,"",IF(T782&lt;12,"Under 12 months",IF(T782&lt;36,"12-35 months",IF(T782&lt;60,"36-59 months","≥60 months"))))</f>
        <v/>
      </c>
      <c r="V782" s="27"/>
      <c r="W782" s="30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9"/>
      <c r="AT782" s="30"/>
      <c r="AU782" s="30"/>
      <c r="AV782" s="30"/>
      <c r="AW782" s="27"/>
      <c r="AX782" s="27"/>
      <c r="AY782" s="29"/>
      <c r="AZ782" s="27"/>
      <c r="BA782" s="27"/>
      <c r="BB782" s="29"/>
      <c r="BC782" s="30"/>
      <c r="BD782" s="30"/>
      <c r="BE782" s="30"/>
      <c r="BF782" s="27"/>
      <c r="BG782" s="27"/>
      <c r="BH782" s="28" t="str">
        <f aca="false">IF(COUNT(BC782:BE782)=0,"",IF(MIN(BC782:BE782)&lt;=-2.5,"Yes","No"))</f>
        <v/>
      </c>
      <c r="BI782" s="27"/>
      <c r="BJ782" s="29"/>
      <c r="BK782" s="27"/>
      <c r="BL782" s="27"/>
      <c r="BM782" s="27"/>
      <c r="BN782" s="28" t="str">
        <f aca="false">IF(OR(AX782="Yes",BI782="Yes"),"Yes",IF(AND(AX782="No",BI782="No"),"No",IF(AND(AX782="",BI782=""),"","Unknown")))</f>
        <v/>
      </c>
      <c r="BO782" s="31" t="str">
        <f aca="false">IF(COUNT(AY782,BJ782)=0,"",MIN(AY782,BJ782))</f>
        <v/>
      </c>
      <c r="BP782" s="29"/>
      <c r="BQ782" s="29"/>
      <c r="BR782" s="29"/>
      <c r="BS782" s="28" t="str">
        <f aca="false">IF(AND(N(BP782)&gt;0,N(BR782)&gt;0),BR782-BP782,"")</f>
        <v/>
      </c>
      <c r="BT782" s="28" t="str">
        <f aca="false">IF(BS782="","",ROUND(BS782/365.25,2))</f>
        <v/>
      </c>
      <c r="BU782" s="28" t="str">
        <f aca="false">IF(BS782="","",IF(BS782&gt;=730.5,"Yes","No"))</f>
        <v/>
      </c>
      <c r="BV782" s="27"/>
      <c r="BW782" s="29"/>
      <c r="BX782" s="27"/>
      <c r="BY782" s="27"/>
      <c r="BZ782" s="28" t="str">
        <f aca="false">IF(N(E782)=0,"",IF(E782&lt;65,"Under 65","≥65"))</f>
        <v/>
      </c>
      <c r="CA782" s="28" t="str">
        <f aca="false">IF(OR(AC782="Yes",AC782="No"),AC782,"")</f>
        <v/>
      </c>
      <c r="CB782" s="28" t="str">
        <f aca="false">IF(OR(AD782="Yes",AD782="No"),AD782,"")</f>
        <v/>
      </c>
      <c r="CC782" s="28" t="str">
        <f aca="false">IF(F782="","",F782)</f>
        <v/>
      </c>
      <c r="CD782" s="27"/>
      <c r="CE782" s="27"/>
    </row>
    <row r="783" customFormat="false" ht="15" hidden="false" customHeight="false" outlineLevel="0" collapsed="false">
      <c r="A783" s="27"/>
      <c r="B783" s="27"/>
      <c r="C783" s="27"/>
      <c r="D783" s="27"/>
      <c r="E783" s="27"/>
      <c r="F783" s="27"/>
      <c r="G783" s="27"/>
      <c r="H783" s="27"/>
      <c r="I783" s="27"/>
      <c r="J783" s="28" t="str">
        <f aca="false">IF(AND(N(H783)&gt;0,N(I783)&gt;0),ROUND(I783/(H783/100)^2,1),"")</f>
        <v/>
      </c>
      <c r="K783" s="27"/>
      <c r="L783" s="27"/>
      <c r="M783" s="27"/>
      <c r="N783" s="27"/>
      <c r="O783" s="27"/>
      <c r="P783" s="27"/>
      <c r="Q783" s="27"/>
      <c r="R783" s="29"/>
      <c r="S783" s="29"/>
      <c r="T783" s="27"/>
      <c r="U783" s="28" t="str">
        <f aca="false">IF(N(T783)=0,"",IF(T783&lt;12,"Under 12 months",IF(T783&lt;36,"12-35 months",IF(T783&lt;60,"36-59 months","≥60 months"))))</f>
        <v/>
      </c>
      <c r="V783" s="27"/>
      <c r="W783" s="30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9"/>
      <c r="AT783" s="30"/>
      <c r="AU783" s="30"/>
      <c r="AV783" s="30"/>
      <c r="AW783" s="27"/>
      <c r="AX783" s="27"/>
      <c r="AY783" s="29"/>
      <c r="AZ783" s="27"/>
      <c r="BA783" s="27"/>
      <c r="BB783" s="29"/>
      <c r="BC783" s="30"/>
      <c r="BD783" s="30"/>
      <c r="BE783" s="30"/>
      <c r="BF783" s="27"/>
      <c r="BG783" s="27"/>
      <c r="BH783" s="28" t="str">
        <f aca="false">IF(COUNT(BC783:BE783)=0,"",IF(MIN(BC783:BE783)&lt;=-2.5,"Yes","No"))</f>
        <v/>
      </c>
      <c r="BI783" s="27"/>
      <c r="BJ783" s="29"/>
      <c r="BK783" s="27"/>
      <c r="BL783" s="27"/>
      <c r="BM783" s="27"/>
      <c r="BN783" s="28" t="str">
        <f aca="false">IF(OR(AX783="Yes",BI783="Yes"),"Yes",IF(AND(AX783="No",BI783="No"),"No",IF(AND(AX783="",BI783=""),"","Unknown")))</f>
        <v/>
      </c>
      <c r="BO783" s="31" t="str">
        <f aca="false">IF(COUNT(AY783,BJ783)=0,"",MIN(AY783,BJ783))</f>
        <v/>
      </c>
      <c r="BP783" s="29"/>
      <c r="BQ783" s="29"/>
      <c r="BR783" s="29"/>
      <c r="BS783" s="28" t="str">
        <f aca="false">IF(AND(N(BP783)&gt;0,N(BR783)&gt;0),BR783-BP783,"")</f>
        <v/>
      </c>
      <c r="BT783" s="28" t="str">
        <f aca="false">IF(BS783="","",ROUND(BS783/365.25,2))</f>
        <v/>
      </c>
      <c r="BU783" s="28" t="str">
        <f aca="false">IF(BS783="","",IF(BS783&gt;=730.5,"Yes","No"))</f>
        <v/>
      </c>
      <c r="BV783" s="27"/>
      <c r="BW783" s="29"/>
      <c r="BX783" s="27"/>
      <c r="BY783" s="27"/>
      <c r="BZ783" s="28" t="str">
        <f aca="false">IF(N(E783)=0,"",IF(E783&lt;65,"Under 65","≥65"))</f>
        <v/>
      </c>
      <c r="CA783" s="28" t="str">
        <f aca="false">IF(OR(AC783="Yes",AC783="No"),AC783,"")</f>
        <v/>
      </c>
      <c r="CB783" s="28" t="str">
        <f aca="false">IF(OR(AD783="Yes",AD783="No"),AD783,"")</f>
        <v/>
      </c>
      <c r="CC783" s="28" t="str">
        <f aca="false">IF(F783="","",F783)</f>
        <v/>
      </c>
      <c r="CD783" s="27"/>
      <c r="CE783" s="27"/>
    </row>
    <row r="784" customFormat="false" ht="15" hidden="false" customHeight="false" outlineLevel="0" collapsed="false">
      <c r="A784" s="27"/>
      <c r="B784" s="27"/>
      <c r="C784" s="27"/>
      <c r="D784" s="27"/>
      <c r="E784" s="27"/>
      <c r="F784" s="27"/>
      <c r="G784" s="27"/>
      <c r="H784" s="27"/>
      <c r="I784" s="27"/>
      <c r="J784" s="28" t="str">
        <f aca="false">IF(AND(N(H784)&gt;0,N(I784)&gt;0),ROUND(I784/(H784/100)^2,1),"")</f>
        <v/>
      </c>
      <c r="K784" s="27"/>
      <c r="L784" s="27"/>
      <c r="M784" s="27"/>
      <c r="N784" s="27"/>
      <c r="O784" s="27"/>
      <c r="P784" s="27"/>
      <c r="Q784" s="27"/>
      <c r="R784" s="29"/>
      <c r="S784" s="29"/>
      <c r="T784" s="27"/>
      <c r="U784" s="28" t="str">
        <f aca="false">IF(N(T784)=0,"",IF(T784&lt;12,"Under 12 months",IF(T784&lt;36,"12-35 months",IF(T784&lt;60,"36-59 months","≥60 months"))))</f>
        <v/>
      </c>
      <c r="V784" s="27"/>
      <c r="W784" s="30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9"/>
      <c r="AT784" s="30"/>
      <c r="AU784" s="30"/>
      <c r="AV784" s="30"/>
      <c r="AW784" s="27"/>
      <c r="AX784" s="27"/>
      <c r="AY784" s="29"/>
      <c r="AZ784" s="27"/>
      <c r="BA784" s="27"/>
      <c r="BB784" s="29"/>
      <c r="BC784" s="30"/>
      <c r="BD784" s="30"/>
      <c r="BE784" s="30"/>
      <c r="BF784" s="27"/>
      <c r="BG784" s="27"/>
      <c r="BH784" s="28" t="str">
        <f aca="false">IF(COUNT(BC784:BE784)=0,"",IF(MIN(BC784:BE784)&lt;=-2.5,"Yes","No"))</f>
        <v/>
      </c>
      <c r="BI784" s="27"/>
      <c r="BJ784" s="29"/>
      <c r="BK784" s="27"/>
      <c r="BL784" s="27"/>
      <c r="BM784" s="27"/>
      <c r="BN784" s="28" t="str">
        <f aca="false">IF(OR(AX784="Yes",BI784="Yes"),"Yes",IF(AND(AX784="No",BI784="No"),"No",IF(AND(AX784="",BI784=""),"","Unknown")))</f>
        <v/>
      </c>
      <c r="BO784" s="31" t="str">
        <f aca="false">IF(COUNT(AY784,BJ784)=0,"",MIN(AY784,BJ784))</f>
        <v/>
      </c>
      <c r="BP784" s="29"/>
      <c r="BQ784" s="29"/>
      <c r="BR784" s="29"/>
      <c r="BS784" s="28" t="str">
        <f aca="false">IF(AND(N(BP784)&gt;0,N(BR784)&gt;0),BR784-BP784,"")</f>
        <v/>
      </c>
      <c r="BT784" s="28" t="str">
        <f aca="false">IF(BS784="","",ROUND(BS784/365.25,2))</f>
        <v/>
      </c>
      <c r="BU784" s="28" t="str">
        <f aca="false">IF(BS784="","",IF(BS784&gt;=730.5,"Yes","No"))</f>
        <v/>
      </c>
      <c r="BV784" s="27"/>
      <c r="BW784" s="29"/>
      <c r="BX784" s="27"/>
      <c r="BY784" s="27"/>
      <c r="BZ784" s="28" t="str">
        <f aca="false">IF(N(E784)=0,"",IF(E784&lt;65,"Under 65","≥65"))</f>
        <v/>
      </c>
      <c r="CA784" s="28" t="str">
        <f aca="false">IF(OR(AC784="Yes",AC784="No"),AC784,"")</f>
        <v/>
      </c>
      <c r="CB784" s="28" t="str">
        <f aca="false">IF(OR(AD784="Yes",AD784="No"),AD784,"")</f>
        <v/>
      </c>
      <c r="CC784" s="28" t="str">
        <f aca="false">IF(F784="","",F784)</f>
        <v/>
      </c>
      <c r="CD784" s="27"/>
      <c r="CE784" s="27"/>
    </row>
    <row r="785" customFormat="false" ht="15" hidden="false" customHeight="false" outlineLevel="0" collapsed="false">
      <c r="A785" s="27"/>
      <c r="B785" s="27"/>
      <c r="C785" s="27"/>
      <c r="D785" s="27"/>
      <c r="E785" s="27"/>
      <c r="F785" s="27"/>
      <c r="G785" s="27"/>
      <c r="H785" s="27"/>
      <c r="I785" s="27"/>
      <c r="J785" s="28" t="str">
        <f aca="false">IF(AND(N(H785)&gt;0,N(I785)&gt;0),ROUND(I785/(H785/100)^2,1),"")</f>
        <v/>
      </c>
      <c r="K785" s="27"/>
      <c r="L785" s="27"/>
      <c r="M785" s="27"/>
      <c r="N785" s="27"/>
      <c r="O785" s="27"/>
      <c r="P785" s="27"/>
      <c r="Q785" s="27"/>
      <c r="R785" s="29"/>
      <c r="S785" s="29"/>
      <c r="T785" s="27"/>
      <c r="U785" s="28" t="str">
        <f aca="false">IF(N(T785)=0,"",IF(T785&lt;12,"Under 12 months",IF(T785&lt;36,"12-35 months",IF(T785&lt;60,"36-59 months","≥60 months"))))</f>
        <v/>
      </c>
      <c r="V785" s="27"/>
      <c r="W785" s="30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9"/>
      <c r="AT785" s="30"/>
      <c r="AU785" s="30"/>
      <c r="AV785" s="30"/>
      <c r="AW785" s="27"/>
      <c r="AX785" s="27"/>
      <c r="AY785" s="29"/>
      <c r="AZ785" s="27"/>
      <c r="BA785" s="27"/>
      <c r="BB785" s="29"/>
      <c r="BC785" s="30"/>
      <c r="BD785" s="30"/>
      <c r="BE785" s="30"/>
      <c r="BF785" s="27"/>
      <c r="BG785" s="27"/>
      <c r="BH785" s="28" t="str">
        <f aca="false">IF(COUNT(BC785:BE785)=0,"",IF(MIN(BC785:BE785)&lt;=-2.5,"Yes","No"))</f>
        <v/>
      </c>
      <c r="BI785" s="27"/>
      <c r="BJ785" s="29"/>
      <c r="BK785" s="27"/>
      <c r="BL785" s="27"/>
      <c r="BM785" s="27"/>
      <c r="BN785" s="28" t="str">
        <f aca="false">IF(OR(AX785="Yes",BI785="Yes"),"Yes",IF(AND(AX785="No",BI785="No"),"No",IF(AND(AX785="",BI785=""),"","Unknown")))</f>
        <v/>
      </c>
      <c r="BO785" s="31" t="str">
        <f aca="false">IF(COUNT(AY785,BJ785)=0,"",MIN(AY785,BJ785))</f>
        <v/>
      </c>
      <c r="BP785" s="29"/>
      <c r="BQ785" s="29"/>
      <c r="BR785" s="29"/>
      <c r="BS785" s="28" t="str">
        <f aca="false">IF(AND(N(BP785)&gt;0,N(BR785)&gt;0),BR785-BP785,"")</f>
        <v/>
      </c>
      <c r="BT785" s="28" t="str">
        <f aca="false">IF(BS785="","",ROUND(BS785/365.25,2))</f>
        <v/>
      </c>
      <c r="BU785" s="28" t="str">
        <f aca="false">IF(BS785="","",IF(BS785&gt;=730.5,"Yes","No"))</f>
        <v/>
      </c>
      <c r="BV785" s="27"/>
      <c r="BW785" s="29"/>
      <c r="BX785" s="27"/>
      <c r="BY785" s="27"/>
      <c r="BZ785" s="28" t="str">
        <f aca="false">IF(N(E785)=0,"",IF(E785&lt;65,"Under 65","≥65"))</f>
        <v/>
      </c>
      <c r="CA785" s="28" t="str">
        <f aca="false">IF(OR(AC785="Yes",AC785="No"),AC785,"")</f>
        <v/>
      </c>
      <c r="CB785" s="28" t="str">
        <f aca="false">IF(OR(AD785="Yes",AD785="No"),AD785,"")</f>
        <v/>
      </c>
      <c r="CC785" s="28" t="str">
        <f aca="false">IF(F785="","",F785)</f>
        <v/>
      </c>
      <c r="CD785" s="27"/>
      <c r="CE785" s="27"/>
    </row>
    <row r="786" customFormat="false" ht="15" hidden="false" customHeight="false" outlineLevel="0" collapsed="false">
      <c r="A786" s="27"/>
      <c r="B786" s="27"/>
      <c r="C786" s="27"/>
      <c r="D786" s="27"/>
      <c r="E786" s="27"/>
      <c r="F786" s="27"/>
      <c r="G786" s="27"/>
      <c r="H786" s="27"/>
      <c r="I786" s="27"/>
      <c r="J786" s="28" t="str">
        <f aca="false">IF(AND(N(H786)&gt;0,N(I786)&gt;0),ROUND(I786/(H786/100)^2,1),"")</f>
        <v/>
      </c>
      <c r="K786" s="27"/>
      <c r="L786" s="27"/>
      <c r="M786" s="27"/>
      <c r="N786" s="27"/>
      <c r="O786" s="27"/>
      <c r="P786" s="27"/>
      <c r="Q786" s="27"/>
      <c r="R786" s="29"/>
      <c r="S786" s="29"/>
      <c r="T786" s="27"/>
      <c r="U786" s="28" t="str">
        <f aca="false">IF(N(T786)=0,"",IF(T786&lt;12,"Under 12 months",IF(T786&lt;36,"12-35 months",IF(T786&lt;60,"36-59 months","≥60 months"))))</f>
        <v/>
      </c>
      <c r="V786" s="27"/>
      <c r="W786" s="30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9"/>
      <c r="AT786" s="30"/>
      <c r="AU786" s="30"/>
      <c r="AV786" s="30"/>
      <c r="AW786" s="27"/>
      <c r="AX786" s="27"/>
      <c r="AY786" s="29"/>
      <c r="AZ786" s="27"/>
      <c r="BA786" s="27"/>
      <c r="BB786" s="29"/>
      <c r="BC786" s="30"/>
      <c r="BD786" s="30"/>
      <c r="BE786" s="30"/>
      <c r="BF786" s="27"/>
      <c r="BG786" s="27"/>
      <c r="BH786" s="28" t="str">
        <f aca="false">IF(COUNT(BC786:BE786)=0,"",IF(MIN(BC786:BE786)&lt;=-2.5,"Yes","No"))</f>
        <v/>
      </c>
      <c r="BI786" s="27"/>
      <c r="BJ786" s="29"/>
      <c r="BK786" s="27"/>
      <c r="BL786" s="27"/>
      <c r="BM786" s="27"/>
      <c r="BN786" s="28" t="str">
        <f aca="false">IF(OR(AX786="Yes",BI786="Yes"),"Yes",IF(AND(AX786="No",BI786="No"),"No",IF(AND(AX786="",BI786=""),"","Unknown")))</f>
        <v/>
      </c>
      <c r="BO786" s="31" t="str">
        <f aca="false">IF(COUNT(AY786,BJ786)=0,"",MIN(AY786,BJ786))</f>
        <v/>
      </c>
      <c r="BP786" s="29"/>
      <c r="BQ786" s="29"/>
      <c r="BR786" s="29"/>
      <c r="BS786" s="28" t="str">
        <f aca="false">IF(AND(N(BP786)&gt;0,N(BR786)&gt;0),BR786-BP786,"")</f>
        <v/>
      </c>
      <c r="BT786" s="28" t="str">
        <f aca="false">IF(BS786="","",ROUND(BS786/365.25,2))</f>
        <v/>
      </c>
      <c r="BU786" s="28" t="str">
        <f aca="false">IF(BS786="","",IF(BS786&gt;=730.5,"Yes","No"))</f>
        <v/>
      </c>
      <c r="BV786" s="27"/>
      <c r="BW786" s="29"/>
      <c r="BX786" s="27"/>
      <c r="BY786" s="27"/>
      <c r="BZ786" s="28" t="str">
        <f aca="false">IF(N(E786)=0,"",IF(E786&lt;65,"Under 65","≥65"))</f>
        <v/>
      </c>
      <c r="CA786" s="28" t="str">
        <f aca="false">IF(OR(AC786="Yes",AC786="No"),AC786,"")</f>
        <v/>
      </c>
      <c r="CB786" s="28" t="str">
        <f aca="false">IF(OR(AD786="Yes",AD786="No"),AD786,"")</f>
        <v/>
      </c>
      <c r="CC786" s="28" t="str">
        <f aca="false">IF(F786="","",F786)</f>
        <v/>
      </c>
      <c r="CD786" s="27"/>
      <c r="CE786" s="27"/>
    </row>
    <row r="787" customFormat="false" ht="15" hidden="false" customHeight="false" outlineLevel="0" collapsed="false">
      <c r="A787" s="27"/>
      <c r="B787" s="27"/>
      <c r="C787" s="27"/>
      <c r="D787" s="27"/>
      <c r="E787" s="27"/>
      <c r="F787" s="27"/>
      <c r="G787" s="27"/>
      <c r="H787" s="27"/>
      <c r="I787" s="27"/>
      <c r="J787" s="28" t="str">
        <f aca="false">IF(AND(N(H787)&gt;0,N(I787)&gt;0),ROUND(I787/(H787/100)^2,1),"")</f>
        <v/>
      </c>
      <c r="K787" s="27"/>
      <c r="L787" s="27"/>
      <c r="M787" s="27"/>
      <c r="N787" s="27"/>
      <c r="O787" s="27"/>
      <c r="P787" s="27"/>
      <c r="Q787" s="27"/>
      <c r="R787" s="29"/>
      <c r="S787" s="29"/>
      <c r="T787" s="27"/>
      <c r="U787" s="28" t="str">
        <f aca="false">IF(N(T787)=0,"",IF(T787&lt;12,"Under 12 months",IF(T787&lt;36,"12-35 months",IF(T787&lt;60,"36-59 months","≥60 months"))))</f>
        <v/>
      </c>
      <c r="V787" s="27"/>
      <c r="W787" s="30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9"/>
      <c r="AT787" s="30"/>
      <c r="AU787" s="30"/>
      <c r="AV787" s="30"/>
      <c r="AW787" s="27"/>
      <c r="AX787" s="27"/>
      <c r="AY787" s="29"/>
      <c r="AZ787" s="27"/>
      <c r="BA787" s="27"/>
      <c r="BB787" s="29"/>
      <c r="BC787" s="30"/>
      <c r="BD787" s="30"/>
      <c r="BE787" s="30"/>
      <c r="BF787" s="27"/>
      <c r="BG787" s="27"/>
      <c r="BH787" s="28" t="str">
        <f aca="false">IF(COUNT(BC787:BE787)=0,"",IF(MIN(BC787:BE787)&lt;=-2.5,"Yes","No"))</f>
        <v/>
      </c>
      <c r="BI787" s="27"/>
      <c r="BJ787" s="29"/>
      <c r="BK787" s="27"/>
      <c r="BL787" s="27"/>
      <c r="BM787" s="27"/>
      <c r="BN787" s="28" t="str">
        <f aca="false">IF(OR(AX787="Yes",BI787="Yes"),"Yes",IF(AND(AX787="No",BI787="No"),"No",IF(AND(AX787="",BI787=""),"","Unknown")))</f>
        <v/>
      </c>
      <c r="BO787" s="31" t="str">
        <f aca="false">IF(COUNT(AY787,BJ787)=0,"",MIN(AY787,BJ787))</f>
        <v/>
      </c>
      <c r="BP787" s="29"/>
      <c r="BQ787" s="29"/>
      <c r="BR787" s="29"/>
      <c r="BS787" s="28" t="str">
        <f aca="false">IF(AND(N(BP787)&gt;0,N(BR787)&gt;0),BR787-BP787,"")</f>
        <v/>
      </c>
      <c r="BT787" s="28" t="str">
        <f aca="false">IF(BS787="","",ROUND(BS787/365.25,2))</f>
        <v/>
      </c>
      <c r="BU787" s="28" t="str">
        <f aca="false">IF(BS787="","",IF(BS787&gt;=730.5,"Yes","No"))</f>
        <v/>
      </c>
      <c r="BV787" s="27"/>
      <c r="BW787" s="29"/>
      <c r="BX787" s="27"/>
      <c r="BY787" s="27"/>
      <c r="BZ787" s="28" t="str">
        <f aca="false">IF(N(E787)=0,"",IF(E787&lt;65,"Under 65","≥65"))</f>
        <v/>
      </c>
      <c r="CA787" s="28" t="str">
        <f aca="false">IF(OR(AC787="Yes",AC787="No"),AC787,"")</f>
        <v/>
      </c>
      <c r="CB787" s="28" t="str">
        <f aca="false">IF(OR(AD787="Yes",AD787="No"),AD787,"")</f>
        <v/>
      </c>
      <c r="CC787" s="28" t="str">
        <f aca="false">IF(F787="","",F787)</f>
        <v/>
      </c>
      <c r="CD787" s="27"/>
      <c r="CE787" s="27"/>
    </row>
    <row r="788" customFormat="false" ht="15" hidden="false" customHeight="false" outlineLevel="0" collapsed="false">
      <c r="A788" s="27"/>
      <c r="B788" s="27"/>
      <c r="C788" s="27"/>
      <c r="D788" s="27"/>
      <c r="E788" s="27"/>
      <c r="F788" s="27"/>
      <c r="G788" s="27"/>
      <c r="H788" s="27"/>
      <c r="I788" s="27"/>
      <c r="J788" s="28" t="str">
        <f aca="false">IF(AND(N(H788)&gt;0,N(I788)&gt;0),ROUND(I788/(H788/100)^2,1),"")</f>
        <v/>
      </c>
      <c r="K788" s="27"/>
      <c r="L788" s="27"/>
      <c r="M788" s="27"/>
      <c r="N788" s="27"/>
      <c r="O788" s="27"/>
      <c r="P788" s="27"/>
      <c r="Q788" s="27"/>
      <c r="R788" s="29"/>
      <c r="S788" s="29"/>
      <c r="T788" s="27"/>
      <c r="U788" s="28" t="str">
        <f aca="false">IF(N(T788)=0,"",IF(T788&lt;12,"Under 12 months",IF(T788&lt;36,"12-35 months",IF(T788&lt;60,"36-59 months","≥60 months"))))</f>
        <v/>
      </c>
      <c r="V788" s="27"/>
      <c r="W788" s="30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9"/>
      <c r="AT788" s="30"/>
      <c r="AU788" s="30"/>
      <c r="AV788" s="30"/>
      <c r="AW788" s="27"/>
      <c r="AX788" s="27"/>
      <c r="AY788" s="29"/>
      <c r="AZ788" s="27"/>
      <c r="BA788" s="27"/>
      <c r="BB788" s="29"/>
      <c r="BC788" s="30"/>
      <c r="BD788" s="30"/>
      <c r="BE788" s="30"/>
      <c r="BF788" s="27"/>
      <c r="BG788" s="27"/>
      <c r="BH788" s="28" t="str">
        <f aca="false">IF(COUNT(BC788:BE788)=0,"",IF(MIN(BC788:BE788)&lt;=-2.5,"Yes","No"))</f>
        <v/>
      </c>
      <c r="BI788" s="27"/>
      <c r="BJ788" s="29"/>
      <c r="BK788" s="27"/>
      <c r="BL788" s="27"/>
      <c r="BM788" s="27"/>
      <c r="BN788" s="28" t="str">
        <f aca="false">IF(OR(AX788="Yes",BI788="Yes"),"Yes",IF(AND(AX788="No",BI788="No"),"No",IF(AND(AX788="",BI788=""),"","Unknown")))</f>
        <v/>
      </c>
      <c r="BO788" s="31" t="str">
        <f aca="false">IF(COUNT(AY788,BJ788)=0,"",MIN(AY788,BJ788))</f>
        <v/>
      </c>
      <c r="BP788" s="29"/>
      <c r="BQ788" s="29"/>
      <c r="BR788" s="29"/>
      <c r="BS788" s="28" t="str">
        <f aca="false">IF(AND(N(BP788)&gt;0,N(BR788)&gt;0),BR788-BP788,"")</f>
        <v/>
      </c>
      <c r="BT788" s="28" t="str">
        <f aca="false">IF(BS788="","",ROUND(BS788/365.25,2))</f>
        <v/>
      </c>
      <c r="BU788" s="28" t="str">
        <f aca="false">IF(BS788="","",IF(BS788&gt;=730.5,"Yes","No"))</f>
        <v/>
      </c>
      <c r="BV788" s="27"/>
      <c r="BW788" s="29"/>
      <c r="BX788" s="27"/>
      <c r="BY788" s="27"/>
      <c r="BZ788" s="28" t="str">
        <f aca="false">IF(N(E788)=0,"",IF(E788&lt;65,"Under 65","≥65"))</f>
        <v/>
      </c>
      <c r="CA788" s="28" t="str">
        <f aca="false">IF(OR(AC788="Yes",AC788="No"),AC788,"")</f>
        <v/>
      </c>
      <c r="CB788" s="28" t="str">
        <f aca="false">IF(OR(AD788="Yes",AD788="No"),AD788,"")</f>
        <v/>
      </c>
      <c r="CC788" s="28" t="str">
        <f aca="false">IF(F788="","",F788)</f>
        <v/>
      </c>
      <c r="CD788" s="27"/>
      <c r="CE788" s="27"/>
    </row>
    <row r="789" customFormat="false" ht="15" hidden="false" customHeight="false" outlineLevel="0" collapsed="false">
      <c r="A789" s="27"/>
      <c r="B789" s="27"/>
      <c r="C789" s="27"/>
      <c r="D789" s="27"/>
      <c r="E789" s="27"/>
      <c r="F789" s="27"/>
      <c r="G789" s="27"/>
      <c r="H789" s="27"/>
      <c r="I789" s="27"/>
      <c r="J789" s="28" t="str">
        <f aca="false">IF(AND(N(H789)&gt;0,N(I789)&gt;0),ROUND(I789/(H789/100)^2,1),"")</f>
        <v/>
      </c>
      <c r="K789" s="27"/>
      <c r="L789" s="27"/>
      <c r="M789" s="27"/>
      <c r="N789" s="27"/>
      <c r="O789" s="27"/>
      <c r="P789" s="27"/>
      <c r="Q789" s="27"/>
      <c r="R789" s="29"/>
      <c r="S789" s="29"/>
      <c r="T789" s="27"/>
      <c r="U789" s="28" t="str">
        <f aca="false">IF(N(T789)=0,"",IF(T789&lt;12,"Under 12 months",IF(T789&lt;36,"12-35 months",IF(T789&lt;60,"36-59 months","≥60 months"))))</f>
        <v/>
      </c>
      <c r="V789" s="27"/>
      <c r="W789" s="30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9"/>
      <c r="AT789" s="30"/>
      <c r="AU789" s="30"/>
      <c r="AV789" s="30"/>
      <c r="AW789" s="27"/>
      <c r="AX789" s="27"/>
      <c r="AY789" s="29"/>
      <c r="AZ789" s="27"/>
      <c r="BA789" s="27"/>
      <c r="BB789" s="29"/>
      <c r="BC789" s="30"/>
      <c r="BD789" s="30"/>
      <c r="BE789" s="30"/>
      <c r="BF789" s="27"/>
      <c r="BG789" s="27"/>
      <c r="BH789" s="28" t="str">
        <f aca="false">IF(COUNT(BC789:BE789)=0,"",IF(MIN(BC789:BE789)&lt;=-2.5,"Yes","No"))</f>
        <v/>
      </c>
      <c r="BI789" s="27"/>
      <c r="BJ789" s="29"/>
      <c r="BK789" s="27"/>
      <c r="BL789" s="27"/>
      <c r="BM789" s="27"/>
      <c r="BN789" s="28" t="str">
        <f aca="false">IF(OR(AX789="Yes",BI789="Yes"),"Yes",IF(AND(AX789="No",BI789="No"),"No",IF(AND(AX789="",BI789=""),"","Unknown")))</f>
        <v/>
      </c>
      <c r="BO789" s="31" t="str">
        <f aca="false">IF(COUNT(AY789,BJ789)=0,"",MIN(AY789,BJ789))</f>
        <v/>
      </c>
      <c r="BP789" s="29"/>
      <c r="BQ789" s="29"/>
      <c r="BR789" s="29"/>
      <c r="BS789" s="28" t="str">
        <f aca="false">IF(AND(N(BP789)&gt;0,N(BR789)&gt;0),BR789-BP789,"")</f>
        <v/>
      </c>
      <c r="BT789" s="28" t="str">
        <f aca="false">IF(BS789="","",ROUND(BS789/365.25,2))</f>
        <v/>
      </c>
      <c r="BU789" s="28" t="str">
        <f aca="false">IF(BS789="","",IF(BS789&gt;=730.5,"Yes","No"))</f>
        <v/>
      </c>
      <c r="BV789" s="27"/>
      <c r="BW789" s="29"/>
      <c r="BX789" s="27"/>
      <c r="BY789" s="27"/>
      <c r="BZ789" s="28" t="str">
        <f aca="false">IF(N(E789)=0,"",IF(E789&lt;65,"Under 65","≥65"))</f>
        <v/>
      </c>
      <c r="CA789" s="28" t="str">
        <f aca="false">IF(OR(AC789="Yes",AC789="No"),AC789,"")</f>
        <v/>
      </c>
      <c r="CB789" s="28" t="str">
        <f aca="false">IF(OR(AD789="Yes",AD789="No"),AD789,"")</f>
        <v/>
      </c>
      <c r="CC789" s="28" t="str">
        <f aca="false">IF(F789="","",F789)</f>
        <v/>
      </c>
      <c r="CD789" s="27"/>
      <c r="CE789" s="27"/>
    </row>
    <row r="790" customFormat="false" ht="15" hidden="false" customHeight="false" outlineLevel="0" collapsed="false">
      <c r="A790" s="27"/>
      <c r="B790" s="27"/>
      <c r="C790" s="27"/>
      <c r="D790" s="27"/>
      <c r="E790" s="27"/>
      <c r="F790" s="27"/>
      <c r="G790" s="27"/>
      <c r="H790" s="27"/>
      <c r="I790" s="27"/>
      <c r="J790" s="28" t="str">
        <f aca="false">IF(AND(N(H790)&gt;0,N(I790)&gt;0),ROUND(I790/(H790/100)^2,1),"")</f>
        <v/>
      </c>
      <c r="K790" s="27"/>
      <c r="L790" s="27"/>
      <c r="M790" s="27"/>
      <c r="N790" s="27"/>
      <c r="O790" s="27"/>
      <c r="P790" s="27"/>
      <c r="Q790" s="27"/>
      <c r="R790" s="29"/>
      <c r="S790" s="29"/>
      <c r="T790" s="27"/>
      <c r="U790" s="28" t="str">
        <f aca="false">IF(N(T790)=0,"",IF(T790&lt;12,"Under 12 months",IF(T790&lt;36,"12-35 months",IF(T790&lt;60,"36-59 months","≥60 months"))))</f>
        <v/>
      </c>
      <c r="V790" s="27"/>
      <c r="W790" s="30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9"/>
      <c r="AT790" s="30"/>
      <c r="AU790" s="30"/>
      <c r="AV790" s="30"/>
      <c r="AW790" s="27"/>
      <c r="AX790" s="27"/>
      <c r="AY790" s="29"/>
      <c r="AZ790" s="27"/>
      <c r="BA790" s="27"/>
      <c r="BB790" s="29"/>
      <c r="BC790" s="30"/>
      <c r="BD790" s="30"/>
      <c r="BE790" s="30"/>
      <c r="BF790" s="27"/>
      <c r="BG790" s="27"/>
      <c r="BH790" s="28" t="str">
        <f aca="false">IF(COUNT(BC790:BE790)=0,"",IF(MIN(BC790:BE790)&lt;=-2.5,"Yes","No"))</f>
        <v/>
      </c>
      <c r="BI790" s="27"/>
      <c r="BJ790" s="29"/>
      <c r="BK790" s="27"/>
      <c r="BL790" s="27"/>
      <c r="BM790" s="27"/>
      <c r="BN790" s="28" t="str">
        <f aca="false">IF(OR(AX790="Yes",BI790="Yes"),"Yes",IF(AND(AX790="No",BI790="No"),"No",IF(AND(AX790="",BI790=""),"","Unknown")))</f>
        <v/>
      </c>
      <c r="BO790" s="31" t="str">
        <f aca="false">IF(COUNT(AY790,BJ790)=0,"",MIN(AY790,BJ790))</f>
        <v/>
      </c>
      <c r="BP790" s="29"/>
      <c r="BQ790" s="29"/>
      <c r="BR790" s="29"/>
      <c r="BS790" s="28" t="str">
        <f aca="false">IF(AND(N(BP790)&gt;0,N(BR790)&gt;0),BR790-BP790,"")</f>
        <v/>
      </c>
      <c r="BT790" s="28" t="str">
        <f aca="false">IF(BS790="","",ROUND(BS790/365.25,2))</f>
        <v/>
      </c>
      <c r="BU790" s="28" t="str">
        <f aca="false">IF(BS790="","",IF(BS790&gt;=730.5,"Yes","No"))</f>
        <v/>
      </c>
      <c r="BV790" s="27"/>
      <c r="BW790" s="29"/>
      <c r="BX790" s="27"/>
      <c r="BY790" s="27"/>
      <c r="BZ790" s="28" t="str">
        <f aca="false">IF(N(E790)=0,"",IF(E790&lt;65,"Under 65","≥65"))</f>
        <v/>
      </c>
      <c r="CA790" s="28" t="str">
        <f aca="false">IF(OR(AC790="Yes",AC790="No"),AC790,"")</f>
        <v/>
      </c>
      <c r="CB790" s="28" t="str">
        <f aca="false">IF(OR(AD790="Yes",AD790="No"),AD790,"")</f>
        <v/>
      </c>
      <c r="CC790" s="28" t="str">
        <f aca="false">IF(F790="","",F790)</f>
        <v/>
      </c>
      <c r="CD790" s="27"/>
      <c r="CE790" s="27"/>
    </row>
    <row r="791" customFormat="false" ht="15" hidden="false" customHeight="false" outlineLevel="0" collapsed="false">
      <c r="A791" s="27"/>
      <c r="B791" s="27"/>
      <c r="C791" s="27"/>
      <c r="D791" s="27"/>
      <c r="E791" s="27"/>
      <c r="F791" s="27"/>
      <c r="G791" s="27"/>
      <c r="H791" s="27"/>
      <c r="I791" s="27"/>
      <c r="J791" s="28" t="str">
        <f aca="false">IF(AND(N(H791)&gt;0,N(I791)&gt;0),ROUND(I791/(H791/100)^2,1),"")</f>
        <v/>
      </c>
      <c r="K791" s="27"/>
      <c r="L791" s="27"/>
      <c r="M791" s="27"/>
      <c r="N791" s="27"/>
      <c r="O791" s="27"/>
      <c r="P791" s="27"/>
      <c r="Q791" s="27"/>
      <c r="R791" s="29"/>
      <c r="S791" s="29"/>
      <c r="T791" s="27"/>
      <c r="U791" s="28" t="str">
        <f aca="false">IF(N(T791)=0,"",IF(T791&lt;12,"Under 12 months",IF(T791&lt;36,"12-35 months",IF(T791&lt;60,"36-59 months","≥60 months"))))</f>
        <v/>
      </c>
      <c r="V791" s="27"/>
      <c r="W791" s="30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9"/>
      <c r="AT791" s="30"/>
      <c r="AU791" s="30"/>
      <c r="AV791" s="30"/>
      <c r="AW791" s="27"/>
      <c r="AX791" s="27"/>
      <c r="AY791" s="29"/>
      <c r="AZ791" s="27"/>
      <c r="BA791" s="27"/>
      <c r="BB791" s="29"/>
      <c r="BC791" s="30"/>
      <c r="BD791" s="30"/>
      <c r="BE791" s="30"/>
      <c r="BF791" s="27"/>
      <c r="BG791" s="27"/>
      <c r="BH791" s="28" t="str">
        <f aca="false">IF(COUNT(BC791:BE791)=0,"",IF(MIN(BC791:BE791)&lt;=-2.5,"Yes","No"))</f>
        <v/>
      </c>
      <c r="BI791" s="27"/>
      <c r="BJ791" s="29"/>
      <c r="BK791" s="27"/>
      <c r="BL791" s="27"/>
      <c r="BM791" s="27"/>
      <c r="BN791" s="28" t="str">
        <f aca="false">IF(OR(AX791="Yes",BI791="Yes"),"Yes",IF(AND(AX791="No",BI791="No"),"No",IF(AND(AX791="",BI791=""),"","Unknown")))</f>
        <v/>
      </c>
      <c r="BO791" s="31" t="str">
        <f aca="false">IF(COUNT(AY791,BJ791)=0,"",MIN(AY791,BJ791))</f>
        <v/>
      </c>
      <c r="BP791" s="29"/>
      <c r="BQ791" s="29"/>
      <c r="BR791" s="29"/>
      <c r="BS791" s="28" t="str">
        <f aca="false">IF(AND(N(BP791)&gt;0,N(BR791)&gt;0),BR791-BP791,"")</f>
        <v/>
      </c>
      <c r="BT791" s="28" t="str">
        <f aca="false">IF(BS791="","",ROUND(BS791/365.25,2))</f>
        <v/>
      </c>
      <c r="BU791" s="28" t="str">
        <f aca="false">IF(BS791="","",IF(BS791&gt;=730.5,"Yes","No"))</f>
        <v/>
      </c>
      <c r="BV791" s="27"/>
      <c r="BW791" s="29"/>
      <c r="BX791" s="27"/>
      <c r="BY791" s="27"/>
      <c r="BZ791" s="28" t="str">
        <f aca="false">IF(N(E791)=0,"",IF(E791&lt;65,"Under 65","≥65"))</f>
        <v/>
      </c>
      <c r="CA791" s="28" t="str">
        <f aca="false">IF(OR(AC791="Yes",AC791="No"),AC791,"")</f>
        <v/>
      </c>
      <c r="CB791" s="28" t="str">
        <f aca="false">IF(OR(AD791="Yes",AD791="No"),AD791,"")</f>
        <v/>
      </c>
      <c r="CC791" s="28" t="str">
        <f aca="false">IF(F791="","",F791)</f>
        <v/>
      </c>
      <c r="CD791" s="27"/>
      <c r="CE791" s="27"/>
    </row>
    <row r="792" customFormat="false" ht="15" hidden="false" customHeight="false" outlineLevel="0" collapsed="false">
      <c r="A792" s="27"/>
      <c r="B792" s="27"/>
      <c r="C792" s="27"/>
      <c r="D792" s="27"/>
      <c r="E792" s="27"/>
      <c r="F792" s="27"/>
      <c r="G792" s="27"/>
      <c r="H792" s="27"/>
      <c r="I792" s="27"/>
      <c r="J792" s="28" t="str">
        <f aca="false">IF(AND(N(H792)&gt;0,N(I792)&gt;0),ROUND(I792/(H792/100)^2,1),"")</f>
        <v/>
      </c>
      <c r="K792" s="27"/>
      <c r="L792" s="27"/>
      <c r="M792" s="27"/>
      <c r="N792" s="27"/>
      <c r="O792" s="27"/>
      <c r="P792" s="27"/>
      <c r="Q792" s="27"/>
      <c r="R792" s="29"/>
      <c r="S792" s="29"/>
      <c r="T792" s="27"/>
      <c r="U792" s="28" t="str">
        <f aca="false">IF(N(T792)=0,"",IF(T792&lt;12,"Under 12 months",IF(T792&lt;36,"12-35 months",IF(T792&lt;60,"36-59 months","≥60 months"))))</f>
        <v/>
      </c>
      <c r="V792" s="27"/>
      <c r="W792" s="30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9"/>
      <c r="AT792" s="30"/>
      <c r="AU792" s="30"/>
      <c r="AV792" s="30"/>
      <c r="AW792" s="27"/>
      <c r="AX792" s="27"/>
      <c r="AY792" s="29"/>
      <c r="AZ792" s="27"/>
      <c r="BA792" s="27"/>
      <c r="BB792" s="29"/>
      <c r="BC792" s="30"/>
      <c r="BD792" s="30"/>
      <c r="BE792" s="30"/>
      <c r="BF792" s="27"/>
      <c r="BG792" s="27"/>
      <c r="BH792" s="28" t="str">
        <f aca="false">IF(COUNT(BC792:BE792)=0,"",IF(MIN(BC792:BE792)&lt;=-2.5,"Yes","No"))</f>
        <v/>
      </c>
      <c r="BI792" s="27"/>
      <c r="BJ792" s="29"/>
      <c r="BK792" s="27"/>
      <c r="BL792" s="27"/>
      <c r="BM792" s="27"/>
      <c r="BN792" s="28" t="str">
        <f aca="false">IF(OR(AX792="Yes",BI792="Yes"),"Yes",IF(AND(AX792="No",BI792="No"),"No",IF(AND(AX792="",BI792=""),"","Unknown")))</f>
        <v/>
      </c>
      <c r="BO792" s="31" t="str">
        <f aca="false">IF(COUNT(AY792,BJ792)=0,"",MIN(AY792,BJ792))</f>
        <v/>
      </c>
      <c r="BP792" s="29"/>
      <c r="BQ792" s="29"/>
      <c r="BR792" s="29"/>
      <c r="BS792" s="28" t="str">
        <f aca="false">IF(AND(N(BP792)&gt;0,N(BR792)&gt;0),BR792-BP792,"")</f>
        <v/>
      </c>
      <c r="BT792" s="28" t="str">
        <f aca="false">IF(BS792="","",ROUND(BS792/365.25,2))</f>
        <v/>
      </c>
      <c r="BU792" s="28" t="str">
        <f aca="false">IF(BS792="","",IF(BS792&gt;=730.5,"Yes","No"))</f>
        <v/>
      </c>
      <c r="BV792" s="27"/>
      <c r="BW792" s="29"/>
      <c r="BX792" s="27"/>
      <c r="BY792" s="27"/>
      <c r="BZ792" s="28" t="str">
        <f aca="false">IF(N(E792)=0,"",IF(E792&lt;65,"Under 65","≥65"))</f>
        <v/>
      </c>
      <c r="CA792" s="28" t="str">
        <f aca="false">IF(OR(AC792="Yes",AC792="No"),AC792,"")</f>
        <v/>
      </c>
      <c r="CB792" s="28" t="str">
        <f aca="false">IF(OR(AD792="Yes",AD792="No"),AD792,"")</f>
        <v/>
      </c>
      <c r="CC792" s="28" t="str">
        <f aca="false">IF(F792="","",F792)</f>
        <v/>
      </c>
      <c r="CD792" s="27"/>
      <c r="CE792" s="27"/>
    </row>
    <row r="793" customFormat="false" ht="15" hidden="false" customHeight="false" outlineLevel="0" collapsed="false">
      <c r="A793" s="27"/>
      <c r="B793" s="27"/>
      <c r="C793" s="27"/>
      <c r="D793" s="27"/>
      <c r="E793" s="27"/>
      <c r="F793" s="27"/>
      <c r="G793" s="27"/>
      <c r="H793" s="27"/>
      <c r="I793" s="27"/>
      <c r="J793" s="28" t="str">
        <f aca="false">IF(AND(N(H793)&gt;0,N(I793)&gt;0),ROUND(I793/(H793/100)^2,1),"")</f>
        <v/>
      </c>
      <c r="K793" s="27"/>
      <c r="L793" s="27"/>
      <c r="M793" s="27"/>
      <c r="N793" s="27"/>
      <c r="O793" s="27"/>
      <c r="P793" s="27"/>
      <c r="Q793" s="27"/>
      <c r="R793" s="29"/>
      <c r="S793" s="29"/>
      <c r="T793" s="27"/>
      <c r="U793" s="28" t="str">
        <f aca="false">IF(N(T793)=0,"",IF(T793&lt;12,"Under 12 months",IF(T793&lt;36,"12-35 months",IF(T793&lt;60,"36-59 months","≥60 months"))))</f>
        <v/>
      </c>
      <c r="V793" s="27"/>
      <c r="W793" s="30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9"/>
      <c r="AT793" s="30"/>
      <c r="AU793" s="30"/>
      <c r="AV793" s="30"/>
      <c r="AW793" s="27"/>
      <c r="AX793" s="27"/>
      <c r="AY793" s="29"/>
      <c r="AZ793" s="27"/>
      <c r="BA793" s="27"/>
      <c r="BB793" s="29"/>
      <c r="BC793" s="30"/>
      <c r="BD793" s="30"/>
      <c r="BE793" s="30"/>
      <c r="BF793" s="27"/>
      <c r="BG793" s="27"/>
      <c r="BH793" s="28" t="str">
        <f aca="false">IF(COUNT(BC793:BE793)=0,"",IF(MIN(BC793:BE793)&lt;=-2.5,"Yes","No"))</f>
        <v/>
      </c>
      <c r="BI793" s="27"/>
      <c r="BJ793" s="29"/>
      <c r="BK793" s="27"/>
      <c r="BL793" s="27"/>
      <c r="BM793" s="27"/>
      <c r="BN793" s="28" t="str">
        <f aca="false">IF(OR(AX793="Yes",BI793="Yes"),"Yes",IF(AND(AX793="No",BI793="No"),"No",IF(AND(AX793="",BI793=""),"","Unknown")))</f>
        <v/>
      </c>
      <c r="BO793" s="31" t="str">
        <f aca="false">IF(COUNT(AY793,BJ793)=0,"",MIN(AY793,BJ793))</f>
        <v/>
      </c>
      <c r="BP793" s="29"/>
      <c r="BQ793" s="29"/>
      <c r="BR793" s="29"/>
      <c r="BS793" s="28" t="str">
        <f aca="false">IF(AND(N(BP793)&gt;0,N(BR793)&gt;0),BR793-BP793,"")</f>
        <v/>
      </c>
      <c r="BT793" s="28" t="str">
        <f aca="false">IF(BS793="","",ROUND(BS793/365.25,2))</f>
        <v/>
      </c>
      <c r="BU793" s="28" t="str">
        <f aca="false">IF(BS793="","",IF(BS793&gt;=730.5,"Yes","No"))</f>
        <v/>
      </c>
      <c r="BV793" s="27"/>
      <c r="BW793" s="29"/>
      <c r="BX793" s="27"/>
      <c r="BY793" s="27"/>
      <c r="BZ793" s="28" t="str">
        <f aca="false">IF(N(E793)=0,"",IF(E793&lt;65,"Under 65","≥65"))</f>
        <v/>
      </c>
      <c r="CA793" s="28" t="str">
        <f aca="false">IF(OR(AC793="Yes",AC793="No"),AC793,"")</f>
        <v/>
      </c>
      <c r="CB793" s="28" t="str">
        <f aca="false">IF(OR(AD793="Yes",AD793="No"),AD793,"")</f>
        <v/>
      </c>
      <c r="CC793" s="28" t="str">
        <f aca="false">IF(F793="","",F793)</f>
        <v/>
      </c>
      <c r="CD793" s="27"/>
      <c r="CE793" s="27"/>
    </row>
    <row r="794" customFormat="false" ht="15" hidden="false" customHeight="false" outlineLevel="0" collapsed="false">
      <c r="A794" s="27"/>
      <c r="B794" s="27"/>
      <c r="C794" s="27"/>
      <c r="D794" s="27"/>
      <c r="E794" s="27"/>
      <c r="F794" s="27"/>
      <c r="G794" s="27"/>
      <c r="H794" s="27"/>
      <c r="I794" s="27"/>
      <c r="J794" s="28" t="str">
        <f aca="false">IF(AND(N(H794)&gt;0,N(I794)&gt;0),ROUND(I794/(H794/100)^2,1),"")</f>
        <v/>
      </c>
      <c r="K794" s="27"/>
      <c r="L794" s="27"/>
      <c r="M794" s="27"/>
      <c r="N794" s="27"/>
      <c r="O794" s="27"/>
      <c r="P794" s="27"/>
      <c r="Q794" s="27"/>
      <c r="R794" s="29"/>
      <c r="S794" s="29"/>
      <c r="T794" s="27"/>
      <c r="U794" s="28" t="str">
        <f aca="false">IF(N(T794)=0,"",IF(T794&lt;12,"Under 12 months",IF(T794&lt;36,"12-35 months",IF(T794&lt;60,"36-59 months","≥60 months"))))</f>
        <v/>
      </c>
      <c r="V794" s="27"/>
      <c r="W794" s="30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9"/>
      <c r="AT794" s="30"/>
      <c r="AU794" s="30"/>
      <c r="AV794" s="30"/>
      <c r="AW794" s="27"/>
      <c r="AX794" s="27"/>
      <c r="AY794" s="29"/>
      <c r="AZ794" s="27"/>
      <c r="BA794" s="27"/>
      <c r="BB794" s="29"/>
      <c r="BC794" s="30"/>
      <c r="BD794" s="30"/>
      <c r="BE794" s="30"/>
      <c r="BF794" s="27"/>
      <c r="BG794" s="27"/>
      <c r="BH794" s="28" t="str">
        <f aca="false">IF(COUNT(BC794:BE794)=0,"",IF(MIN(BC794:BE794)&lt;=-2.5,"Yes","No"))</f>
        <v/>
      </c>
      <c r="BI794" s="27"/>
      <c r="BJ794" s="29"/>
      <c r="BK794" s="27"/>
      <c r="BL794" s="27"/>
      <c r="BM794" s="27"/>
      <c r="BN794" s="28" t="str">
        <f aca="false">IF(OR(AX794="Yes",BI794="Yes"),"Yes",IF(AND(AX794="No",BI794="No"),"No",IF(AND(AX794="",BI794=""),"","Unknown")))</f>
        <v/>
      </c>
      <c r="BO794" s="31" t="str">
        <f aca="false">IF(COUNT(AY794,BJ794)=0,"",MIN(AY794,BJ794))</f>
        <v/>
      </c>
      <c r="BP794" s="29"/>
      <c r="BQ794" s="29"/>
      <c r="BR794" s="29"/>
      <c r="BS794" s="28" t="str">
        <f aca="false">IF(AND(N(BP794)&gt;0,N(BR794)&gt;0),BR794-BP794,"")</f>
        <v/>
      </c>
      <c r="BT794" s="28" t="str">
        <f aca="false">IF(BS794="","",ROUND(BS794/365.25,2))</f>
        <v/>
      </c>
      <c r="BU794" s="28" t="str">
        <f aca="false">IF(BS794="","",IF(BS794&gt;=730.5,"Yes","No"))</f>
        <v/>
      </c>
      <c r="BV794" s="27"/>
      <c r="BW794" s="29"/>
      <c r="BX794" s="27"/>
      <c r="BY794" s="27"/>
      <c r="BZ794" s="28" t="str">
        <f aca="false">IF(N(E794)=0,"",IF(E794&lt;65,"Under 65","≥65"))</f>
        <v/>
      </c>
      <c r="CA794" s="28" t="str">
        <f aca="false">IF(OR(AC794="Yes",AC794="No"),AC794,"")</f>
        <v/>
      </c>
      <c r="CB794" s="28" t="str">
        <f aca="false">IF(OR(AD794="Yes",AD794="No"),AD794,"")</f>
        <v/>
      </c>
      <c r="CC794" s="28" t="str">
        <f aca="false">IF(F794="","",F794)</f>
        <v/>
      </c>
      <c r="CD794" s="27"/>
      <c r="CE794" s="27"/>
    </row>
    <row r="795" customFormat="false" ht="15" hidden="false" customHeight="false" outlineLevel="0" collapsed="false">
      <c r="A795" s="27"/>
      <c r="B795" s="27"/>
      <c r="C795" s="27"/>
      <c r="D795" s="27"/>
      <c r="E795" s="27"/>
      <c r="F795" s="27"/>
      <c r="G795" s="27"/>
      <c r="H795" s="27"/>
      <c r="I795" s="27"/>
      <c r="J795" s="28" t="str">
        <f aca="false">IF(AND(N(H795)&gt;0,N(I795)&gt;0),ROUND(I795/(H795/100)^2,1),"")</f>
        <v/>
      </c>
      <c r="K795" s="27"/>
      <c r="L795" s="27"/>
      <c r="M795" s="27"/>
      <c r="N795" s="27"/>
      <c r="O795" s="27"/>
      <c r="P795" s="27"/>
      <c r="Q795" s="27"/>
      <c r="R795" s="29"/>
      <c r="S795" s="29"/>
      <c r="T795" s="27"/>
      <c r="U795" s="28" t="str">
        <f aca="false">IF(N(T795)=0,"",IF(T795&lt;12,"Under 12 months",IF(T795&lt;36,"12-35 months",IF(T795&lt;60,"36-59 months","≥60 months"))))</f>
        <v/>
      </c>
      <c r="V795" s="27"/>
      <c r="W795" s="30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9"/>
      <c r="AT795" s="30"/>
      <c r="AU795" s="30"/>
      <c r="AV795" s="30"/>
      <c r="AW795" s="27"/>
      <c r="AX795" s="27"/>
      <c r="AY795" s="29"/>
      <c r="AZ795" s="27"/>
      <c r="BA795" s="27"/>
      <c r="BB795" s="29"/>
      <c r="BC795" s="30"/>
      <c r="BD795" s="30"/>
      <c r="BE795" s="30"/>
      <c r="BF795" s="27"/>
      <c r="BG795" s="27"/>
      <c r="BH795" s="28" t="str">
        <f aca="false">IF(COUNT(BC795:BE795)=0,"",IF(MIN(BC795:BE795)&lt;=-2.5,"Yes","No"))</f>
        <v/>
      </c>
      <c r="BI795" s="27"/>
      <c r="BJ795" s="29"/>
      <c r="BK795" s="27"/>
      <c r="BL795" s="27"/>
      <c r="BM795" s="27"/>
      <c r="BN795" s="28" t="str">
        <f aca="false">IF(OR(AX795="Yes",BI795="Yes"),"Yes",IF(AND(AX795="No",BI795="No"),"No",IF(AND(AX795="",BI795=""),"","Unknown")))</f>
        <v/>
      </c>
      <c r="BO795" s="31" t="str">
        <f aca="false">IF(COUNT(AY795,BJ795)=0,"",MIN(AY795,BJ795))</f>
        <v/>
      </c>
      <c r="BP795" s="29"/>
      <c r="BQ795" s="29"/>
      <c r="BR795" s="29"/>
      <c r="BS795" s="28" t="str">
        <f aca="false">IF(AND(N(BP795)&gt;0,N(BR795)&gt;0),BR795-BP795,"")</f>
        <v/>
      </c>
      <c r="BT795" s="28" t="str">
        <f aca="false">IF(BS795="","",ROUND(BS795/365.25,2))</f>
        <v/>
      </c>
      <c r="BU795" s="28" t="str">
        <f aca="false">IF(BS795="","",IF(BS795&gt;=730.5,"Yes","No"))</f>
        <v/>
      </c>
      <c r="BV795" s="27"/>
      <c r="BW795" s="29"/>
      <c r="BX795" s="27"/>
      <c r="BY795" s="27"/>
      <c r="BZ795" s="28" t="str">
        <f aca="false">IF(N(E795)=0,"",IF(E795&lt;65,"Under 65","≥65"))</f>
        <v/>
      </c>
      <c r="CA795" s="28" t="str">
        <f aca="false">IF(OR(AC795="Yes",AC795="No"),AC795,"")</f>
        <v/>
      </c>
      <c r="CB795" s="28" t="str">
        <f aca="false">IF(OR(AD795="Yes",AD795="No"),AD795,"")</f>
        <v/>
      </c>
      <c r="CC795" s="28" t="str">
        <f aca="false">IF(F795="","",F795)</f>
        <v/>
      </c>
      <c r="CD795" s="27"/>
      <c r="CE795" s="27"/>
    </row>
    <row r="796" customFormat="false" ht="15" hidden="false" customHeight="false" outlineLevel="0" collapsed="false">
      <c r="A796" s="27"/>
      <c r="B796" s="27"/>
      <c r="C796" s="27"/>
      <c r="D796" s="27"/>
      <c r="E796" s="27"/>
      <c r="F796" s="27"/>
      <c r="G796" s="27"/>
      <c r="H796" s="27"/>
      <c r="I796" s="27"/>
      <c r="J796" s="28" t="str">
        <f aca="false">IF(AND(N(H796)&gt;0,N(I796)&gt;0),ROUND(I796/(H796/100)^2,1),"")</f>
        <v/>
      </c>
      <c r="K796" s="27"/>
      <c r="L796" s="27"/>
      <c r="M796" s="27"/>
      <c r="N796" s="27"/>
      <c r="O796" s="27"/>
      <c r="P796" s="27"/>
      <c r="Q796" s="27"/>
      <c r="R796" s="29"/>
      <c r="S796" s="29"/>
      <c r="T796" s="27"/>
      <c r="U796" s="28" t="str">
        <f aca="false">IF(N(T796)=0,"",IF(T796&lt;12,"Under 12 months",IF(T796&lt;36,"12-35 months",IF(T796&lt;60,"36-59 months","≥60 months"))))</f>
        <v/>
      </c>
      <c r="V796" s="27"/>
      <c r="W796" s="30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9"/>
      <c r="AT796" s="30"/>
      <c r="AU796" s="30"/>
      <c r="AV796" s="30"/>
      <c r="AW796" s="27"/>
      <c r="AX796" s="27"/>
      <c r="AY796" s="29"/>
      <c r="AZ796" s="27"/>
      <c r="BA796" s="27"/>
      <c r="BB796" s="29"/>
      <c r="BC796" s="30"/>
      <c r="BD796" s="30"/>
      <c r="BE796" s="30"/>
      <c r="BF796" s="27"/>
      <c r="BG796" s="27"/>
      <c r="BH796" s="28" t="str">
        <f aca="false">IF(COUNT(BC796:BE796)=0,"",IF(MIN(BC796:BE796)&lt;=-2.5,"Yes","No"))</f>
        <v/>
      </c>
      <c r="BI796" s="27"/>
      <c r="BJ796" s="29"/>
      <c r="BK796" s="27"/>
      <c r="BL796" s="27"/>
      <c r="BM796" s="27"/>
      <c r="BN796" s="28" t="str">
        <f aca="false">IF(OR(AX796="Yes",BI796="Yes"),"Yes",IF(AND(AX796="No",BI796="No"),"No",IF(AND(AX796="",BI796=""),"","Unknown")))</f>
        <v/>
      </c>
      <c r="BO796" s="31" t="str">
        <f aca="false">IF(COUNT(AY796,BJ796)=0,"",MIN(AY796,BJ796))</f>
        <v/>
      </c>
      <c r="BP796" s="29"/>
      <c r="BQ796" s="29"/>
      <c r="BR796" s="29"/>
      <c r="BS796" s="28" t="str">
        <f aca="false">IF(AND(N(BP796)&gt;0,N(BR796)&gt;0),BR796-BP796,"")</f>
        <v/>
      </c>
      <c r="BT796" s="28" t="str">
        <f aca="false">IF(BS796="","",ROUND(BS796/365.25,2))</f>
        <v/>
      </c>
      <c r="BU796" s="28" t="str">
        <f aca="false">IF(BS796="","",IF(BS796&gt;=730.5,"Yes","No"))</f>
        <v/>
      </c>
      <c r="BV796" s="27"/>
      <c r="BW796" s="29"/>
      <c r="BX796" s="27"/>
      <c r="BY796" s="27"/>
      <c r="BZ796" s="28" t="str">
        <f aca="false">IF(N(E796)=0,"",IF(E796&lt;65,"Under 65","≥65"))</f>
        <v/>
      </c>
      <c r="CA796" s="28" t="str">
        <f aca="false">IF(OR(AC796="Yes",AC796="No"),AC796,"")</f>
        <v/>
      </c>
      <c r="CB796" s="28" t="str">
        <f aca="false">IF(OR(AD796="Yes",AD796="No"),AD796,"")</f>
        <v/>
      </c>
      <c r="CC796" s="28" t="str">
        <f aca="false">IF(F796="","",F796)</f>
        <v/>
      </c>
      <c r="CD796" s="27"/>
      <c r="CE796" s="27"/>
    </row>
    <row r="797" customFormat="false" ht="15" hidden="false" customHeight="false" outlineLevel="0" collapsed="false">
      <c r="A797" s="27"/>
      <c r="B797" s="27"/>
      <c r="C797" s="27"/>
      <c r="D797" s="27"/>
      <c r="E797" s="27"/>
      <c r="F797" s="27"/>
      <c r="G797" s="27"/>
      <c r="H797" s="27"/>
      <c r="I797" s="27"/>
      <c r="J797" s="28" t="str">
        <f aca="false">IF(AND(N(H797)&gt;0,N(I797)&gt;0),ROUND(I797/(H797/100)^2,1),"")</f>
        <v/>
      </c>
      <c r="K797" s="27"/>
      <c r="L797" s="27"/>
      <c r="M797" s="27"/>
      <c r="N797" s="27"/>
      <c r="O797" s="27"/>
      <c r="P797" s="27"/>
      <c r="Q797" s="27"/>
      <c r="R797" s="29"/>
      <c r="S797" s="29"/>
      <c r="T797" s="27"/>
      <c r="U797" s="28" t="str">
        <f aca="false">IF(N(T797)=0,"",IF(T797&lt;12,"Under 12 months",IF(T797&lt;36,"12-35 months",IF(T797&lt;60,"36-59 months","≥60 months"))))</f>
        <v/>
      </c>
      <c r="V797" s="27"/>
      <c r="W797" s="30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9"/>
      <c r="AT797" s="30"/>
      <c r="AU797" s="30"/>
      <c r="AV797" s="30"/>
      <c r="AW797" s="27"/>
      <c r="AX797" s="27"/>
      <c r="AY797" s="29"/>
      <c r="AZ797" s="27"/>
      <c r="BA797" s="27"/>
      <c r="BB797" s="29"/>
      <c r="BC797" s="30"/>
      <c r="BD797" s="30"/>
      <c r="BE797" s="30"/>
      <c r="BF797" s="27"/>
      <c r="BG797" s="27"/>
      <c r="BH797" s="28" t="str">
        <f aca="false">IF(COUNT(BC797:BE797)=0,"",IF(MIN(BC797:BE797)&lt;=-2.5,"Yes","No"))</f>
        <v/>
      </c>
      <c r="BI797" s="27"/>
      <c r="BJ797" s="29"/>
      <c r="BK797" s="27"/>
      <c r="BL797" s="27"/>
      <c r="BM797" s="27"/>
      <c r="BN797" s="28" t="str">
        <f aca="false">IF(OR(AX797="Yes",BI797="Yes"),"Yes",IF(AND(AX797="No",BI797="No"),"No",IF(AND(AX797="",BI797=""),"","Unknown")))</f>
        <v/>
      </c>
      <c r="BO797" s="31" t="str">
        <f aca="false">IF(COUNT(AY797,BJ797)=0,"",MIN(AY797,BJ797))</f>
        <v/>
      </c>
      <c r="BP797" s="29"/>
      <c r="BQ797" s="29"/>
      <c r="BR797" s="29"/>
      <c r="BS797" s="28" t="str">
        <f aca="false">IF(AND(N(BP797)&gt;0,N(BR797)&gt;0),BR797-BP797,"")</f>
        <v/>
      </c>
      <c r="BT797" s="28" t="str">
        <f aca="false">IF(BS797="","",ROUND(BS797/365.25,2))</f>
        <v/>
      </c>
      <c r="BU797" s="28" t="str">
        <f aca="false">IF(BS797="","",IF(BS797&gt;=730.5,"Yes","No"))</f>
        <v/>
      </c>
      <c r="BV797" s="27"/>
      <c r="BW797" s="29"/>
      <c r="BX797" s="27"/>
      <c r="BY797" s="27"/>
      <c r="BZ797" s="28" t="str">
        <f aca="false">IF(N(E797)=0,"",IF(E797&lt;65,"Under 65","≥65"))</f>
        <v/>
      </c>
      <c r="CA797" s="28" t="str">
        <f aca="false">IF(OR(AC797="Yes",AC797="No"),AC797,"")</f>
        <v/>
      </c>
      <c r="CB797" s="28" t="str">
        <f aca="false">IF(OR(AD797="Yes",AD797="No"),AD797,"")</f>
        <v/>
      </c>
      <c r="CC797" s="28" t="str">
        <f aca="false">IF(F797="","",F797)</f>
        <v/>
      </c>
      <c r="CD797" s="27"/>
      <c r="CE797" s="27"/>
    </row>
    <row r="798" customFormat="false" ht="15" hidden="false" customHeight="false" outlineLevel="0" collapsed="false">
      <c r="A798" s="27"/>
      <c r="B798" s="27"/>
      <c r="C798" s="27"/>
      <c r="D798" s="27"/>
      <c r="E798" s="27"/>
      <c r="F798" s="27"/>
      <c r="G798" s="27"/>
      <c r="H798" s="27"/>
      <c r="I798" s="27"/>
      <c r="J798" s="28" t="str">
        <f aca="false">IF(AND(N(H798)&gt;0,N(I798)&gt;0),ROUND(I798/(H798/100)^2,1),"")</f>
        <v/>
      </c>
      <c r="K798" s="27"/>
      <c r="L798" s="27"/>
      <c r="M798" s="27"/>
      <c r="N798" s="27"/>
      <c r="O798" s="27"/>
      <c r="P798" s="27"/>
      <c r="Q798" s="27"/>
      <c r="R798" s="29"/>
      <c r="S798" s="29"/>
      <c r="T798" s="27"/>
      <c r="U798" s="28" t="str">
        <f aca="false">IF(N(T798)=0,"",IF(T798&lt;12,"Under 12 months",IF(T798&lt;36,"12-35 months",IF(T798&lt;60,"36-59 months","≥60 months"))))</f>
        <v/>
      </c>
      <c r="V798" s="27"/>
      <c r="W798" s="30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9"/>
      <c r="AT798" s="30"/>
      <c r="AU798" s="30"/>
      <c r="AV798" s="30"/>
      <c r="AW798" s="27"/>
      <c r="AX798" s="27"/>
      <c r="AY798" s="29"/>
      <c r="AZ798" s="27"/>
      <c r="BA798" s="27"/>
      <c r="BB798" s="29"/>
      <c r="BC798" s="30"/>
      <c r="BD798" s="30"/>
      <c r="BE798" s="30"/>
      <c r="BF798" s="27"/>
      <c r="BG798" s="27"/>
      <c r="BH798" s="28" t="str">
        <f aca="false">IF(COUNT(BC798:BE798)=0,"",IF(MIN(BC798:BE798)&lt;=-2.5,"Yes","No"))</f>
        <v/>
      </c>
      <c r="BI798" s="27"/>
      <c r="BJ798" s="29"/>
      <c r="BK798" s="27"/>
      <c r="BL798" s="27"/>
      <c r="BM798" s="27"/>
      <c r="BN798" s="28" t="str">
        <f aca="false">IF(OR(AX798="Yes",BI798="Yes"),"Yes",IF(AND(AX798="No",BI798="No"),"No",IF(AND(AX798="",BI798=""),"","Unknown")))</f>
        <v/>
      </c>
      <c r="BO798" s="31" t="str">
        <f aca="false">IF(COUNT(AY798,BJ798)=0,"",MIN(AY798,BJ798))</f>
        <v/>
      </c>
      <c r="BP798" s="29"/>
      <c r="BQ798" s="29"/>
      <c r="BR798" s="29"/>
      <c r="BS798" s="28" t="str">
        <f aca="false">IF(AND(N(BP798)&gt;0,N(BR798)&gt;0),BR798-BP798,"")</f>
        <v/>
      </c>
      <c r="BT798" s="28" t="str">
        <f aca="false">IF(BS798="","",ROUND(BS798/365.25,2))</f>
        <v/>
      </c>
      <c r="BU798" s="28" t="str">
        <f aca="false">IF(BS798="","",IF(BS798&gt;=730.5,"Yes","No"))</f>
        <v/>
      </c>
      <c r="BV798" s="27"/>
      <c r="BW798" s="29"/>
      <c r="BX798" s="27"/>
      <c r="BY798" s="27"/>
      <c r="BZ798" s="28" t="str">
        <f aca="false">IF(N(E798)=0,"",IF(E798&lt;65,"Under 65","≥65"))</f>
        <v/>
      </c>
      <c r="CA798" s="28" t="str">
        <f aca="false">IF(OR(AC798="Yes",AC798="No"),AC798,"")</f>
        <v/>
      </c>
      <c r="CB798" s="28" t="str">
        <f aca="false">IF(OR(AD798="Yes",AD798="No"),AD798,"")</f>
        <v/>
      </c>
      <c r="CC798" s="28" t="str">
        <f aca="false">IF(F798="","",F798)</f>
        <v/>
      </c>
      <c r="CD798" s="27"/>
      <c r="CE798" s="27"/>
    </row>
    <row r="799" customFormat="false" ht="15" hidden="false" customHeight="false" outlineLevel="0" collapsed="false">
      <c r="A799" s="27"/>
      <c r="B799" s="27"/>
      <c r="C799" s="27"/>
      <c r="D799" s="27"/>
      <c r="E799" s="27"/>
      <c r="F799" s="27"/>
      <c r="G799" s="27"/>
      <c r="H799" s="27"/>
      <c r="I799" s="27"/>
      <c r="J799" s="28" t="str">
        <f aca="false">IF(AND(N(H799)&gt;0,N(I799)&gt;0),ROUND(I799/(H799/100)^2,1),"")</f>
        <v/>
      </c>
      <c r="K799" s="27"/>
      <c r="L799" s="27"/>
      <c r="M799" s="27"/>
      <c r="N799" s="27"/>
      <c r="O799" s="27"/>
      <c r="P799" s="27"/>
      <c r="Q799" s="27"/>
      <c r="R799" s="29"/>
      <c r="S799" s="29"/>
      <c r="T799" s="27"/>
      <c r="U799" s="28" t="str">
        <f aca="false">IF(N(T799)=0,"",IF(T799&lt;12,"Under 12 months",IF(T799&lt;36,"12-35 months",IF(T799&lt;60,"36-59 months","≥60 months"))))</f>
        <v/>
      </c>
      <c r="V799" s="27"/>
      <c r="W799" s="30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9"/>
      <c r="AT799" s="30"/>
      <c r="AU799" s="30"/>
      <c r="AV799" s="30"/>
      <c r="AW799" s="27"/>
      <c r="AX799" s="27"/>
      <c r="AY799" s="29"/>
      <c r="AZ799" s="27"/>
      <c r="BA799" s="27"/>
      <c r="BB799" s="29"/>
      <c r="BC799" s="30"/>
      <c r="BD799" s="30"/>
      <c r="BE799" s="30"/>
      <c r="BF799" s="27"/>
      <c r="BG799" s="27"/>
      <c r="BH799" s="28" t="str">
        <f aca="false">IF(COUNT(BC799:BE799)=0,"",IF(MIN(BC799:BE799)&lt;=-2.5,"Yes","No"))</f>
        <v/>
      </c>
      <c r="BI799" s="27"/>
      <c r="BJ799" s="29"/>
      <c r="BK799" s="27"/>
      <c r="BL799" s="27"/>
      <c r="BM799" s="27"/>
      <c r="BN799" s="28" t="str">
        <f aca="false">IF(OR(AX799="Yes",BI799="Yes"),"Yes",IF(AND(AX799="No",BI799="No"),"No",IF(AND(AX799="",BI799=""),"","Unknown")))</f>
        <v/>
      </c>
      <c r="BO799" s="31" t="str">
        <f aca="false">IF(COUNT(AY799,BJ799)=0,"",MIN(AY799,BJ799))</f>
        <v/>
      </c>
      <c r="BP799" s="29"/>
      <c r="BQ799" s="29"/>
      <c r="BR799" s="29"/>
      <c r="BS799" s="28" t="str">
        <f aca="false">IF(AND(N(BP799)&gt;0,N(BR799)&gt;0),BR799-BP799,"")</f>
        <v/>
      </c>
      <c r="BT799" s="28" t="str">
        <f aca="false">IF(BS799="","",ROUND(BS799/365.25,2))</f>
        <v/>
      </c>
      <c r="BU799" s="28" t="str">
        <f aca="false">IF(BS799="","",IF(BS799&gt;=730.5,"Yes","No"))</f>
        <v/>
      </c>
      <c r="BV799" s="27"/>
      <c r="BW799" s="29"/>
      <c r="BX799" s="27"/>
      <c r="BY799" s="27"/>
      <c r="BZ799" s="28" t="str">
        <f aca="false">IF(N(E799)=0,"",IF(E799&lt;65,"Under 65","≥65"))</f>
        <v/>
      </c>
      <c r="CA799" s="28" t="str">
        <f aca="false">IF(OR(AC799="Yes",AC799="No"),AC799,"")</f>
        <v/>
      </c>
      <c r="CB799" s="28" t="str">
        <f aca="false">IF(OR(AD799="Yes",AD799="No"),AD799,"")</f>
        <v/>
      </c>
      <c r="CC799" s="28" t="str">
        <f aca="false">IF(F799="","",F799)</f>
        <v/>
      </c>
      <c r="CD799" s="27"/>
      <c r="CE799" s="27"/>
    </row>
    <row r="800" customFormat="false" ht="15" hidden="false" customHeight="false" outlineLevel="0" collapsed="false">
      <c r="A800" s="27"/>
      <c r="B800" s="27"/>
      <c r="C800" s="27"/>
      <c r="D800" s="27"/>
      <c r="E800" s="27"/>
      <c r="F800" s="27"/>
      <c r="G800" s="27"/>
      <c r="H800" s="27"/>
      <c r="I800" s="27"/>
      <c r="J800" s="28" t="str">
        <f aca="false">IF(AND(N(H800)&gt;0,N(I800)&gt;0),ROUND(I800/(H800/100)^2,1),"")</f>
        <v/>
      </c>
      <c r="K800" s="27"/>
      <c r="L800" s="27"/>
      <c r="M800" s="27"/>
      <c r="N800" s="27"/>
      <c r="O800" s="27"/>
      <c r="P800" s="27"/>
      <c r="Q800" s="27"/>
      <c r="R800" s="29"/>
      <c r="S800" s="29"/>
      <c r="T800" s="27"/>
      <c r="U800" s="28" t="str">
        <f aca="false">IF(N(T800)=0,"",IF(T800&lt;12,"Under 12 months",IF(T800&lt;36,"12-35 months",IF(T800&lt;60,"36-59 months","≥60 months"))))</f>
        <v/>
      </c>
      <c r="V800" s="27"/>
      <c r="W800" s="30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9"/>
      <c r="AT800" s="30"/>
      <c r="AU800" s="30"/>
      <c r="AV800" s="30"/>
      <c r="AW800" s="27"/>
      <c r="AX800" s="27"/>
      <c r="AY800" s="29"/>
      <c r="AZ800" s="27"/>
      <c r="BA800" s="27"/>
      <c r="BB800" s="29"/>
      <c r="BC800" s="30"/>
      <c r="BD800" s="30"/>
      <c r="BE800" s="30"/>
      <c r="BF800" s="27"/>
      <c r="BG800" s="27"/>
      <c r="BH800" s="28" t="str">
        <f aca="false">IF(COUNT(BC800:BE800)=0,"",IF(MIN(BC800:BE800)&lt;=-2.5,"Yes","No"))</f>
        <v/>
      </c>
      <c r="BI800" s="27"/>
      <c r="BJ800" s="29"/>
      <c r="BK800" s="27"/>
      <c r="BL800" s="27"/>
      <c r="BM800" s="27"/>
      <c r="BN800" s="28" t="str">
        <f aca="false">IF(OR(AX800="Yes",BI800="Yes"),"Yes",IF(AND(AX800="No",BI800="No"),"No",IF(AND(AX800="",BI800=""),"","Unknown")))</f>
        <v/>
      </c>
      <c r="BO800" s="31" t="str">
        <f aca="false">IF(COUNT(AY800,BJ800)=0,"",MIN(AY800,BJ800))</f>
        <v/>
      </c>
      <c r="BP800" s="29"/>
      <c r="BQ800" s="29"/>
      <c r="BR800" s="29"/>
      <c r="BS800" s="28" t="str">
        <f aca="false">IF(AND(N(BP800)&gt;0,N(BR800)&gt;0),BR800-BP800,"")</f>
        <v/>
      </c>
      <c r="BT800" s="28" t="str">
        <f aca="false">IF(BS800="","",ROUND(BS800/365.25,2))</f>
        <v/>
      </c>
      <c r="BU800" s="28" t="str">
        <f aca="false">IF(BS800="","",IF(BS800&gt;=730.5,"Yes","No"))</f>
        <v/>
      </c>
      <c r="BV800" s="27"/>
      <c r="BW800" s="29"/>
      <c r="BX800" s="27"/>
      <c r="BY800" s="27"/>
      <c r="BZ800" s="28" t="str">
        <f aca="false">IF(N(E800)=0,"",IF(E800&lt;65,"Under 65","≥65"))</f>
        <v/>
      </c>
      <c r="CA800" s="28" t="str">
        <f aca="false">IF(OR(AC800="Yes",AC800="No"),AC800,"")</f>
        <v/>
      </c>
      <c r="CB800" s="28" t="str">
        <f aca="false">IF(OR(AD800="Yes",AD800="No"),AD800,"")</f>
        <v/>
      </c>
      <c r="CC800" s="28" t="str">
        <f aca="false">IF(F800="","",F800)</f>
        <v/>
      </c>
      <c r="CD800" s="27"/>
      <c r="CE800" s="27"/>
    </row>
    <row r="801" customFormat="false" ht="15" hidden="false" customHeight="false" outlineLevel="0" collapsed="false">
      <c r="A801" s="27"/>
      <c r="B801" s="27"/>
      <c r="C801" s="27"/>
      <c r="D801" s="27"/>
      <c r="E801" s="27"/>
      <c r="F801" s="27"/>
      <c r="G801" s="27"/>
      <c r="H801" s="27"/>
      <c r="I801" s="27"/>
      <c r="J801" s="28" t="str">
        <f aca="false">IF(AND(N(H801)&gt;0,N(I801)&gt;0),ROUND(I801/(H801/100)^2,1),"")</f>
        <v/>
      </c>
      <c r="K801" s="27"/>
      <c r="L801" s="27"/>
      <c r="M801" s="27"/>
      <c r="N801" s="27"/>
      <c r="O801" s="27"/>
      <c r="P801" s="27"/>
      <c r="Q801" s="27"/>
      <c r="R801" s="29"/>
      <c r="S801" s="29"/>
      <c r="T801" s="27"/>
      <c r="U801" s="28" t="str">
        <f aca="false">IF(N(T801)=0,"",IF(T801&lt;12,"Under 12 months",IF(T801&lt;36,"12-35 months",IF(T801&lt;60,"36-59 months","≥60 months"))))</f>
        <v/>
      </c>
      <c r="V801" s="27"/>
      <c r="W801" s="30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9"/>
      <c r="AT801" s="30"/>
      <c r="AU801" s="30"/>
      <c r="AV801" s="30"/>
      <c r="AW801" s="27"/>
      <c r="AX801" s="27"/>
      <c r="AY801" s="29"/>
      <c r="AZ801" s="27"/>
      <c r="BA801" s="27"/>
      <c r="BB801" s="29"/>
      <c r="BC801" s="30"/>
      <c r="BD801" s="30"/>
      <c r="BE801" s="30"/>
      <c r="BF801" s="27"/>
      <c r="BG801" s="27"/>
      <c r="BH801" s="28" t="str">
        <f aca="false">IF(COUNT(BC801:BE801)=0,"",IF(MIN(BC801:BE801)&lt;=-2.5,"Yes","No"))</f>
        <v/>
      </c>
      <c r="BI801" s="27"/>
      <c r="BJ801" s="29"/>
      <c r="BK801" s="27"/>
      <c r="BL801" s="27"/>
      <c r="BM801" s="27"/>
      <c r="BN801" s="28" t="str">
        <f aca="false">IF(OR(AX801="Yes",BI801="Yes"),"Yes",IF(AND(AX801="No",BI801="No"),"No",IF(AND(AX801="",BI801=""),"","Unknown")))</f>
        <v/>
      </c>
      <c r="BO801" s="31" t="str">
        <f aca="false">IF(COUNT(AY801,BJ801)=0,"",MIN(AY801,BJ801))</f>
        <v/>
      </c>
      <c r="BP801" s="29"/>
      <c r="BQ801" s="29"/>
      <c r="BR801" s="29"/>
      <c r="BS801" s="28" t="str">
        <f aca="false">IF(AND(N(BP801)&gt;0,N(BR801)&gt;0),BR801-BP801,"")</f>
        <v/>
      </c>
      <c r="BT801" s="28" t="str">
        <f aca="false">IF(BS801="","",ROUND(BS801/365.25,2))</f>
        <v/>
      </c>
      <c r="BU801" s="28" t="str">
        <f aca="false">IF(BS801="","",IF(BS801&gt;=730.5,"Yes","No"))</f>
        <v/>
      </c>
      <c r="BV801" s="27"/>
      <c r="BW801" s="29"/>
      <c r="BX801" s="27"/>
      <c r="BY801" s="27"/>
      <c r="BZ801" s="28" t="str">
        <f aca="false">IF(N(E801)=0,"",IF(E801&lt;65,"Under 65","≥65"))</f>
        <v/>
      </c>
      <c r="CA801" s="28" t="str">
        <f aca="false">IF(OR(AC801="Yes",AC801="No"),AC801,"")</f>
        <v/>
      </c>
      <c r="CB801" s="28" t="str">
        <f aca="false">IF(OR(AD801="Yes",AD801="No"),AD801,"")</f>
        <v/>
      </c>
      <c r="CC801" s="28" t="str">
        <f aca="false">IF(F801="","",F801)</f>
        <v/>
      </c>
      <c r="CD801" s="27"/>
      <c r="CE801" s="27"/>
    </row>
    <row r="802" customFormat="false" ht="15" hidden="false" customHeight="false" outlineLevel="0" collapsed="false">
      <c r="A802" s="27"/>
      <c r="B802" s="27"/>
      <c r="C802" s="27"/>
      <c r="D802" s="27"/>
      <c r="E802" s="27"/>
      <c r="F802" s="27"/>
      <c r="G802" s="27"/>
      <c r="H802" s="27"/>
      <c r="I802" s="27"/>
      <c r="J802" s="28" t="str">
        <f aca="false">IF(AND(N(H802)&gt;0,N(I802)&gt;0),ROUND(I802/(H802/100)^2,1),"")</f>
        <v/>
      </c>
      <c r="K802" s="27"/>
      <c r="L802" s="27"/>
      <c r="M802" s="27"/>
      <c r="N802" s="27"/>
      <c r="O802" s="27"/>
      <c r="P802" s="27"/>
      <c r="Q802" s="27"/>
      <c r="R802" s="29"/>
      <c r="S802" s="29"/>
      <c r="T802" s="27"/>
      <c r="U802" s="28" t="str">
        <f aca="false">IF(N(T802)=0,"",IF(T802&lt;12,"Under 12 months",IF(T802&lt;36,"12-35 months",IF(T802&lt;60,"36-59 months","≥60 months"))))</f>
        <v/>
      </c>
      <c r="V802" s="27"/>
      <c r="W802" s="30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9"/>
      <c r="AT802" s="30"/>
      <c r="AU802" s="30"/>
      <c r="AV802" s="30"/>
      <c r="AW802" s="27"/>
      <c r="AX802" s="27"/>
      <c r="AY802" s="29"/>
      <c r="AZ802" s="27"/>
      <c r="BA802" s="27"/>
      <c r="BB802" s="29"/>
      <c r="BC802" s="30"/>
      <c r="BD802" s="30"/>
      <c r="BE802" s="30"/>
      <c r="BF802" s="27"/>
      <c r="BG802" s="27"/>
      <c r="BH802" s="28" t="str">
        <f aca="false">IF(COUNT(BC802:BE802)=0,"",IF(MIN(BC802:BE802)&lt;=-2.5,"Yes","No"))</f>
        <v/>
      </c>
      <c r="BI802" s="27"/>
      <c r="BJ802" s="29"/>
      <c r="BK802" s="27"/>
      <c r="BL802" s="27"/>
      <c r="BM802" s="27"/>
      <c r="BN802" s="28" t="str">
        <f aca="false">IF(OR(AX802="Yes",BI802="Yes"),"Yes",IF(AND(AX802="No",BI802="No"),"No",IF(AND(AX802="",BI802=""),"","Unknown")))</f>
        <v/>
      </c>
      <c r="BO802" s="31" t="str">
        <f aca="false">IF(COUNT(AY802,BJ802)=0,"",MIN(AY802,BJ802))</f>
        <v/>
      </c>
      <c r="BP802" s="29"/>
      <c r="BQ802" s="29"/>
      <c r="BR802" s="29"/>
      <c r="BS802" s="28" t="str">
        <f aca="false">IF(AND(N(BP802)&gt;0,N(BR802)&gt;0),BR802-BP802,"")</f>
        <v/>
      </c>
      <c r="BT802" s="28" t="str">
        <f aca="false">IF(BS802="","",ROUND(BS802/365.25,2))</f>
        <v/>
      </c>
      <c r="BU802" s="28" t="str">
        <f aca="false">IF(BS802="","",IF(BS802&gt;=730.5,"Yes","No"))</f>
        <v/>
      </c>
      <c r="BV802" s="27"/>
      <c r="BW802" s="29"/>
      <c r="BX802" s="27"/>
      <c r="BY802" s="27"/>
      <c r="BZ802" s="28" t="str">
        <f aca="false">IF(N(E802)=0,"",IF(E802&lt;65,"Under 65","≥65"))</f>
        <v/>
      </c>
      <c r="CA802" s="28" t="str">
        <f aca="false">IF(OR(AC802="Yes",AC802="No"),AC802,"")</f>
        <v/>
      </c>
      <c r="CB802" s="28" t="str">
        <f aca="false">IF(OR(AD802="Yes",AD802="No"),AD802,"")</f>
        <v/>
      </c>
      <c r="CC802" s="28" t="str">
        <f aca="false">IF(F802="","",F802)</f>
        <v/>
      </c>
      <c r="CD802" s="27"/>
      <c r="CE802" s="27"/>
    </row>
    <row r="803" customFormat="false" ht="15" hidden="false" customHeight="false" outlineLevel="0" collapsed="false">
      <c r="A803" s="27"/>
      <c r="B803" s="27"/>
      <c r="C803" s="27"/>
      <c r="D803" s="27"/>
      <c r="E803" s="27"/>
      <c r="F803" s="27"/>
      <c r="G803" s="27"/>
      <c r="H803" s="27"/>
      <c r="I803" s="27"/>
      <c r="J803" s="28" t="str">
        <f aca="false">IF(AND(N(H803)&gt;0,N(I803)&gt;0),ROUND(I803/(H803/100)^2,1),"")</f>
        <v/>
      </c>
      <c r="K803" s="27"/>
      <c r="L803" s="27"/>
      <c r="M803" s="27"/>
      <c r="N803" s="27"/>
      <c r="O803" s="27"/>
      <c r="P803" s="27"/>
      <c r="Q803" s="27"/>
      <c r="R803" s="29"/>
      <c r="S803" s="29"/>
      <c r="T803" s="27"/>
      <c r="U803" s="28" t="str">
        <f aca="false">IF(N(T803)=0,"",IF(T803&lt;12,"Under 12 months",IF(T803&lt;36,"12-35 months",IF(T803&lt;60,"36-59 months","≥60 months"))))</f>
        <v/>
      </c>
      <c r="V803" s="27"/>
      <c r="W803" s="30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9"/>
      <c r="AT803" s="30"/>
      <c r="AU803" s="30"/>
      <c r="AV803" s="30"/>
      <c r="AW803" s="27"/>
      <c r="AX803" s="27"/>
      <c r="AY803" s="29"/>
      <c r="AZ803" s="27"/>
      <c r="BA803" s="27"/>
      <c r="BB803" s="29"/>
      <c r="BC803" s="30"/>
      <c r="BD803" s="30"/>
      <c r="BE803" s="30"/>
      <c r="BF803" s="27"/>
      <c r="BG803" s="27"/>
      <c r="BH803" s="28" t="str">
        <f aca="false">IF(COUNT(BC803:BE803)=0,"",IF(MIN(BC803:BE803)&lt;=-2.5,"Yes","No"))</f>
        <v/>
      </c>
      <c r="BI803" s="27"/>
      <c r="BJ803" s="29"/>
      <c r="BK803" s="27"/>
      <c r="BL803" s="27"/>
      <c r="BM803" s="27"/>
      <c r="BN803" s="28" t="str">
        <f aca="false">IF(OR(AX803="Yes",BI803="Yes"),"Yes",IF(AND(AX803="No",BI803="No"),"No",IF(AND(AX803="",BI803=""),"","Unknown")))</f>
        <v/>
      </c>
      <c r="BO803" s="31" t="str">
        <f aca="false">IF(COUNT(AY803,BJ803)=0,"",MIN(AY803,BJ803))</f>
        <v/>
      </c>
      <c r="BP803" s="29"/>
      <c r="BQ803" s="29"/>
      <c r="BR803" s="29"/>
      <c r="BS803" s="28" t="str">
        <f aca="false">IF(AND(N(BP803)&gt;0,N(BR803)&gt;0),BR803-BP803,"")</f>
        <v/>
      </c>
      <c r="BT803" s="28" t="str">
        <f aca="false">IF(BS803="","",ROUND(BS803/365.25,2))</f>
        <v/>
      </c>
      <c r="BU803" s="28" t="str">
        <f aca="false">IF(BS803="","",IF(BS803&gt;=730.5,"Yes","No"))</f>
        <v/>
      </c>
      <c r="BV803" s="27"/>
      <c r="BW803" s="29"/>
      <c r="BX803" s="27"/>
      <c r="BY803" s="27"/>
      <c r="BZ803" s="28" t="str">
        <f aca="false">IF(N(E803)=0,"",IF(E803&lt;65,"Under 65","≥65"))</f>
        <v/>
      </c>
      <c r="CA803" s="28" t="str">
        <f aca="false">IF(OR(AC803="Yes",AC803="No"),AC803,"")</f>
        <v/>
      </c>
      <c r="CB803" s="28" t="str">
        <f aca="false">IF(OR(AD803="Yes",AD803="No"),AD803,"")</f>
        <v/>
      </c>
      <c r="CC803" s="28" t="str">
        <f aca="false">IF(F803="","",F803)</f>
        <v/>
      </c>
      <c r="CD803" s="27"/>
      <c r="CE803" s="27"/>
    </row>
    <row r="804" customFormat="false" ht="15" hidden="false" customHeight="false" outlineLevel="0" collapsed="false">
      <c r="A804" s="27"/>
      <c r="B804" s="27"/>
      <c r="C804" s="27"/>
      <c r="D804" s="27"/>
      <c r="E804" s="27"/>
      <c r="F804" s="27"/>
      <c r="G804" s="27"/>
      <c r="H804" s="27"/>
      <c r="I804" s="27"/>
      <c r="J804" s="28" t="str">
        <f aca="false">IF(AND(N(H804)&gt;0,N(I804)&gt;0),ROUND(I804/(H804/100)^2,1),"")</f>
        <v/>
      </c>
      <c r="K804" s="27"/>
      <c r="L804" s="27"/>
      <c r="M804" s="27"/>
      <c r="N804" s="27"/>
      <c r="O804" s="27"/>
      <c r="P804" s="27"/>
      <c r="Q804" s="27"/>
      <c r="R804" s="29"/>
      <c r="S804" s="29"/>
      <c r="T804" s="27"/>
      <c r="U804" s="28" t="str">
        <f aca="false">IF(N(T804)=0,"",IF(T804&lt;12,"Under 12 months",IF(T804&lt;36,"12-35 months",IF(T804&lt;60,"36-59 months","≥60 months"))))</f>
        <v/>
      </c>
      <c r="V804" s="27"/>
      <c r="W804" s="30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9"/>
      <c r="AT804" s="30"/>
      <c r="AU804" s="30"/>
      <c r="AV804" s="30"/>
      <c r="AW804" s="27"/>
      <c r="AX804" s="27"/>
      <c r="AY804" s="29"/>
      <c r="AZ804" s="27"/>
      <c r="BA804" s="27"/>
      <c r="BB804" s="29"/>
      <c r="BC804" s="30"/>
      <c r="BD804" s="30"/>
      <c r="BE804" s="30"/>
      <c r="BF804" s="27"/>
      <c r="BG804" s="27"/>
      <c r="BH804" s="28" t="str">
        <f aca="false">IF(COUNT(BC804:BE804)=0,"",IF(MIN(BC804:BE804)&lt;=-2.5,"Yes","No"))</f>
        <v/>
      </c>
      <c r="BI804" s="27"/>
      <c r="BJ804" s="29"/>
      <c r="BK804" s="27"/>
      <c r="BL804" s="27"/>
      <c r="BM804" s="27"/>
      <c r="BN804" s="28" t="str">
        <f aca="false">IF(OR(AX804="Yes",BI804="Yes"),"Yes",IF(AND(AX804="No",BI804="No"),"No",IF(AND(AX804="",BI804=""),"","Unknown")))</f>
        <v/>
      </c>
      <c r="BO804" s="31" t="str">
        <f aca="false">IF(COUNT(AY804,BJ804)=0,"",MIN(AY804,BJ804))</f>
        <v/>
      </c>
      <c r="BP804" s="29"/>
      <c r="BQ804" s="29"/>
      <c r="BR804" s="29"/>
      <c r="BS804" s="28" t="str">
        <f aca="false">IF(AND(N(BP804)&gt;0,N(BR804)&gt;0),BR804-BP804,"")</f>
        <v/>
      </c>
      <c r="BT804" s="28" t="str">
        <f aca="false">IF(BS804="","",ROUND(BS804/365.25,2))</f>
        <v/>
      </c>
      <c r="BU804" s="28" t="str">
        <f aca="false">IF(BS804="","",IF(BS804&gt;=730.5,"Yes","No"))</f>
        <v/>
      </c>
      <c r="BV804" s="27"/>
      <c r="BW804" s="29"/>
      <c r="BX804" s="27"/>
      <c r="BY804" s="27"/>
      <c r="BZ804" s="28" t="str">
        <f aca="false">IF(N(E804)=0,"",IF(E804&lt;65,"Under 65","≥65"))</f>
        <v/>
      </c>
      <c r="CA804" s="28" t="str">
        <f aca="false">IF(OR(AC804="Yes",AC804="No"),AC804,"")</f>
        <v/>
      </c>
      <c r="CB804" s="28" t="str">
        <f aca="false">IF(OR(AD804="Yes",AD804="No"),AD804,"")</f>
        <v/>
      </c>
      <c r="CC804" s="28" t="str">
        <f aca="false">IF(F804="","",F804)</f>
        <v/>
      </c>
      <c r="CD804" s="27"/>
      <c r="CE804" s="27"/>
    </row>
    <row r="805" customFormat="false" ht="15" hidden="false" customHeight="false" outlineLevel="0" collapsed="false">
      <c r="A805" s="27"/>
      <c r="B805" s="27"/>
      <c r="C805" s="27"/>
      <c r="D805" s="27"/>
      <c r="E805" s="27"/>
      <c r="F805" s="27"/>
      <c r="G805" s="27"/>
      <c r="H805" s="27"/>
      <c r="I805" s="27"/>
      <c r="J805" s="28" t="str">
        <f aca="false">IF(AND(N(H805)&gt;0,N(I805)&gt;0),ROUND(I805/(H805/100)^2,1),"")</f>
        <v/>
      </c>
      <c r="K805" s="27"/>
      <c r="L805" s="27"/>
      <c r="M805" s="27"/>
      <c r="N805" s="27"/>
      <c r="O805" s="27"/>
      <c r="P805" s="27"/>
      <c r="Q805" s="27"/>
      <c r="R805" s="29"/>
      <c r="S805" s="29"/>
      <c r="T805" s="27"/>
      <c r="U805" s="28" t="str">
        <f aca="false">IF(N(T805)=0,"",IF(T805&lt;12,"Under 12 months",IF(T805&lt;36,"12-35 months",IF(T805&lt;60,"36-59 months","≥60 months"))))</f>
        <v/>
      </c>
      <c r="V805" s="27"/>
      <c r="W805" s="30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9"/>
      <c r="AT805" s="30"/>
      <c r="AU805" s="30"/>
      <c r="AV805" s="30"/>
      <c r="AW805" s="27"/>
      <c r="AX805" s="27"/>
      <c r="AY805" s="29"/>
      <c r="AZ805" s="27"/>
      <c r="BA805" s="27"/>
      <c r="BB805" s="29"/>
      <c r="BC805" s="30"/>
      <c r="BD805" s="30"/>
      <c r="BE805" s="30"/>
      <c r="BF805" s="27"/>
      <c r="BG805" s="27"/>
      <c r="BH805" s="28" t="str">
        <f aca="false">IF(COUNT(BC805:BE805)=0,"",IF(MIN(BC805:BE805)&lt;=-2.5,"Yes","No"))</f>
        <v/>
      </c>
      <c r="BI805" s="27"/>
      <c r="BJ805" s="29"/>
      <c r="BK805" s="27"/>
      <c r="BL805" s="27"/>
      <c r="BM805" s="27"/>
      <c r="BN805" s="28" t="str">
        <f aca="false">IF(OR(AX805="Yes",BI805="Yes"),"Yes",IF(AND(AX805="No",BI805="No"),"No",IF(AND(AX805="",BI805=""),"","Unknown")))</f>
        <v/>
      </c>
      <c r="BO805" s="31" t="str">
        <f aca="false">IF(COUNT(AY805,BJ805)=0,"",MIN(AY805,BJ805))</f>
        <v/>
      </c>
      <c r="BP805" s="29"/>
      <c r="BQ805" s="29"/>
      <c r="BR805" s="29"/>
      <c r="BS805" s="28" t="str">
        <f aca="false">IF(AND(N(BP805)&gt;0,N(BR805)&gt;0),BR805-BP805,"")</f>
        <v/>
      </c>
      <c r="BT805" s="28" t="str">
        <f aca="false">IF(BS805="","",ROUND(BS805/365.25,2))</f>
        <v/>
      </c>
      <c r="BU805" s="28" t="str">
        <f aca="false">IF(BS805="","",IF(BS805&gt;=730.5,"Yes","No"))</f>
        <v/>
      </c>
      <c r="BV805" s="27"/>
      <c r="BW805" s="29"/>
      <c r="BX805" s="27"/>
      <c r="BY805" s="27"/>
      <c r="BZ805" s="28" t="str">
        <f aca="false">IF(N(E805)=0,"",IF(E805&lt;65,"Under 65","≥65"))</f>
        <v/>
      </c>
      <c r="CA805" s="28" t="str">
        <f aca="false">IF(OR(AC805="Yes",AC805="No"),AC805,"")</f>
        <v/>
      </c>
      <c r="CB805" s="28" t="str">
        <f aca="false">IF(OR(AD805="Yes",AD805="No"),AD805,"")</f>
        <v/>
      </c>
      <c r="CC805" s="28" t="str">
        <f aca="false">IF(F805="","",F805)</f>
        <v/>
      </c>
      <c r="CD805" s="27"/>
      <c r="CE805" s="27"/>
    </row>
    <row r="806" customFormat="false" ht="15" hidden="false" customHeight="false" outlineLevel="0" collapsed="false">
      <c r="A806" s="27"/>
      <c r="B806" s="27"/>
      <c r="C806" s="27"/>
      <c r="D806" s="27"/>
      <c r="E806" s="27"/>
      <c r="F806" s="27"/>
      <c r="G806" s="27"/>
      <c r="H806" s="27"/>
      <c r="I806" s="27"/>
      <c r="J806" s="28" t="str">
        <f aca="false">IF(AND(N(H806)&gt;0,N(I806)&gt;0),ROUND(I806/(H806/100)^2,1),"")</f>
        <v/>
      </c>
      <c r="K806" s="27"/>
      <c r="L806" s="27"/>
      <c r="M806" s="27"/>
      <c r="N806" s="27"/>
      <c r="O806" s="27"/>
      <c r="P806" s="27"/>
      <c r="Q806" s="27"/>
      <c r="R806" s="29"/>
      <c r="S806" s="29"/>
      <c r="T806" s="27"/>
      <c r="U806" s="28" t="str">
        <f aca="false">IF(N(T806)=0,"",IF(T806&lt;12,"Under 12 months",IF(T806&lt;36,"12-35 months",IF(T806&lt;60,"36-59 months","≥60 months"))))</f>
        <v/>
      </c>
      <c r="V806" s="27"/>
      <c r="W806" s="30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9"/>
      <c r="AT806" s="30"/>
      <c r="AU806" s="30"/>
      <c r="AV806" s="30"/>
      <c r="AW806" s="27"/>
      <c r="AX806" s="27"/>
      <c r="AY806" s="29"/>
      <c r="AZ806" s="27"/>
      <c r="BA806" s="27"/>
      <c r="BB806" s="29"/>
      <c r="BC806" s="30"/>
      <c r="BD806" s="30"/>
      <c r="BE806" s="30"/>
      <c r="BF806" s="27"/>
      <c r="BG806" s="27"/>
      <c r="BH806" s="28" t="str">
        <f aca="false">IF(COUNT(BC806:BE806)=0,"",IF(MIN(BC806:BE806)&lt;=-2.5,"Yes","No"))</f>
        <v/>
      </c>
      <c r="BI806" s="27"/>
      <c r="BJ806" s="29"/>
      <c r="BK806" s="27"/>
      <c r="BL806" s="27"/>
      <c r="BM806" s="27"/>
      <c r="BN806" s="28" t="str">
        <f aca="false">IF(OR(AX806="Yes",BI806="Yes"),"Yes",IF(AND(AX806="No",BI806="No"),"No",IF(AND(AX806="",BI806=""),"","Unknown")))</f>
        <v/>
      </c>
      <c r="BO806" s="31" t="str">
        <f aca="false">IF(COUNT(AY806,BJ806)=0,"",MIN(AY806,BJ806))</f>
        <v/>
      </c>
      <c r="BP806" s="29"/>
      <c r="BQ806" s="29"/>
      <c r="BR806" s="29"/>
      <c r="BS806" s="28" t="str">
        <f aca="false">IF(AND(N(BP806)&gt;0,N(BR806)&gt;0),BR806-BP806,"")</f>
        <v/>
      </c>
      <c r="BT806" s="28" t="str">
        <f aca="false">IF(BS806="","",ROUND(BS806/365.25,2))</f>
        <v/>
      </c>
      <c r="BU806" s="28" t="str">
        <f aca="false">IF(BS806="","",IF(BS806&gt;=730.5,"Yes","No"))</f>
        <v/>
      </c>
      <c r="BV806" s="27"/>
      <c r="BW806" s="29"/>
      <c r="BX806" s="27"/>
      <c r="BY806" s="27"/>
      <c r="BZ806" s="28" t="str">
        <f aca="false">IF(N(E806)=0,"",IF(E806&lt;65,"Under 65","≥65"))</f>
        <v/>
      </c>
      <c r="CA806" s="28" t="str">
        <f aca="false">IF(OR(AC806="Yes",AC806="No"),AC806,"")</f>
        <v/>
      </c>
      <c r="CB806" s="28" t="str">
        <f aca="false">IF(OR(AD806="Yes",AD806="No"),AD806,"")</f>
        <v/>
      </c>
      <c r="CC806" s="28" t="str">
        <f aca="false">IF(F806="","",F806)</f>
        <v/>
      </c>
      <c r="CD806" s="27"/>
      <c r="CE806" s="27"/>
    </row>
    <row r="807" customFormat="false" ht="15" hidden="false" customHeight="false" outlineLevel="0" collapsed="false">
      <c r="A807" s="27"/>
      <c r="B807" s="27"/>
      <c r="C807" s="27"/>
      <c r="D807" s="27"/>
      <c r="E807" s="27"/>
      <c r="F807" s="27"/>
      <c r="G807" s="27"/>
      <c r="H807" s="27"/>
      <c r="I807" s="27"/>
      <c r="J807" s="28" t="str">
        <f aca="false">IF(AND(N(H807)&gt;0,N(I807)&gt;0),ROUND(I807/(H807/100)^2,1),"")</f>
        <v/>
      </c>
      <c r="K807" s="27"/>
      <c r="L807" s="27"/>
      <c r="M807" s="27"/>
      <c r="N807" s="27"/>
      <c r="O807" s="27"/>
      <c r="P807" s="27"/>
      <c r="Q807" s="27"/>
      <c r="R807" s="29"/>
      <c r="S807" s="29"/>
      <c r="T807" s="27"/>
      <c r="U807" s="28" t="str">
        <f aca="false">IF(N(T807)=0,"",IF(T807&lt;12,"Under 12 months",IF(T807&lt;36,"12-35 months",IF(T807&lt;60,"36-59 months","≥60 months"))))</f>
        <v/>
      </c>
      <c r="V807" s="27"/>
      <c r="W807" s="30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9"/>
      <c r="AT807" s="30"/>
      <c r="AU807" s="30"/>
      <c r="AV807" s="30"/>
      <c r="AW807" s="27"/>
      <c r="AX807" s="27"/>
      <c r="AY807" s="29"/>
      <c r="AZ807" s="27"/>
      <c r="BA807" s="27"/>
      <c r="BB807" s="29"/>
      <c r="BC807" s="30"/>
      <c r="BD807" s="30"/>
      <c r="BE807" s="30"/>
      <c r="BF807" s="27"/>
      <c r="BG807" s="27"/>
      <c r="BH807" s="28" t="str">
        <f aca="false">IF(COUNT(BC807:BE807)=0,"",IF(MIN(BC807:BE807)&lt;=-2.5,"Yes","No"))</f>
        <v/>
      </c>
      <c r="BI807" s="27"/>
      <c r="BJ807" s="29"/>
      <c r="BK807" s="27"/>
      <c r="BL807" s="27"/>
      <c r="BM807" s="27"/>
      <c r="BN807" s="28" t="str">
        <f aca="false">IF(OR(AX807="Yes",BI807="Yes"),"Yes",IF(AND(AX807="No",BI807="No"),"No",IF(AND(AX807="",BI807=""),"","Unknown")))</f>
        <v/>
      </c>
      <c r="BO807" s="31" t="str">
        <f aca="false">IF(COUNT(AY807,BJ807)=0,"",MIN(AY807,BJ807))</f>
        <v/>
      </c>
      <c r="BP807" s="29"/>
      <c r="BQ807" s="29"/>
      <c r="BR807" s="29"/>
      <c r="BS807" s="28" t="str">
        <f aca="false">IF(AND(N(BP807)&gt;0,N(BR807)&gt;0),BR807-BP807,"")</f>
        <v/>
      </c>
      <c r="BT807" s="28" t="str">
        <f aca="false">IF(BS807="","",ROUND(BS807/365.25,2))</f>
        <v/>
      </c>
      <c r="BU807" s="28" t="str">
        <f aca="false">IF(BS807="","",IF(BS807&gt;=730.5,"Yes","No"))</f>
        <v/>
      </c>
      <c r="BV807" s="27"/>
      <c r="BW807" s="29"/>
      <c r="BX807" s="27"/>
      <c r="BY807" s="27"/>
      <c r="BZ807" s="28" t="str">
        <f aca="false">IF(N(E807)=0,"",IF(E807&lt;65,"Under 65","≥65"))</f>
        <v/>
      </c>
      <c r="CA807" s="28" t="str">
        <f aca="false">IF(OR(AC807="Yes",AC807="No"),AC807,"")</f>
        <v/>
      </c>
      <c r="CB807" s="28" t="str">
        <f aca="false">IF(OR(AD807="Yes",AD807="No"),AD807,"")</f>
        <v/>
      </c>
      <c r="CC807" s="28" t="str">
        <f aca="false">IF(F807="","",F807)</f>
        <v/>
      </c>
      <c r="CD807" s="27"/>
      <c r="CE807" s="27"/>
    </row>
    <row r="808" customFormat="false" ht="15" hidden="false" customHeight="false" outlineLevel="0" collapsed="false">
      <c r="A808" s="27"/>
      <c r="B808" s="27"/>
      <c r="C808" s="27"/>
      <c r="D808" s="27"/>
      <c r="E808" s="27"/>
      <c r="F808" s="27"/>
      <c r="G808" s="27"/>
      <c r="H808" s="27"/>
      <c r="I808" s="27"/>
      <c r="J808" s="28" t="str">
        <f aca="false">IF(AND(N(H808)&gt;0,N(I808)&gt;0),ROUND(I808/(H808/100)^2,1),"")</f>
        <v/>
      </c>
      <c r="K808" s="27"/>
      <c r="L808" s="27"/>
      <c r="M808" s="27"/>
      <c r="N808" s="27"/>
      <c r="O808" s="27"/>
      <c r="P808" s="27"/>
      <c r="Q808" s="27"/>
      <c r="R808" s="29"/>
      <c r="S808" s="29"/>
      <c r="T808" s="27"/>
      <c r="U808" s="28" t="str">
        <f aca="false">IF(N(T808)=0,"",IF(T808&lt;12,"Under 12 months",IF(T808&lt;36,"12-35 months",IF(T808&lt;60,"36-59 months","≥60 months"))))</f>
        <v/>
      </c>
      <c r="V808" s="27"/>
      <c r="W808" s="30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9"/>
      <c r="AT808" s="30"/>
      <c r="AU808" s="30"/>
      <c r="AV808" s="30"/>
      <c r="AW808" s="27"/>
      <c r="AX808" s="27"/>
      <c r="AY808" s="29"/>
      <c r="AZ808" s="27"/>
      <c r="BA808" s="27"/>
      <c r="BB808" s="29"/>
      <c r="BC808" s="30"/>
      <c r="BD808" s="30"/>
      <c r="BE808" s="30"/>
      <c r="BF808" s="27"/>
      <c r="BG808" s="27"/>
      <c r="BH808" s="28" t="str">
        <f aca="false">IF(COUNT(BC808:BE808)=0,"",IF(MIN(BC808:BE808)&lt;=-2.5,"Yes","No"))</f>
        <v/>
      </c>
      <c r="BI808" s="27"/>
      <c r="BJ808" s="29"/>
      <c r="BK808" s="27"/>
      <c r="BL808" s="27"/>
      <c r="BM808" s="27"/>
      <c r="BN808" s="28" t="str">
        <f aca="false">IF(OR(AX808="Yes",BI808="Yes"),"Yes",IF(AND(AX808="No",BI808="No"),"No",IF(AND(AX808="",BI808=""),"","Unknown")))</f>
        <v/>
      </c>
      <c r="BO808" s="31" t="str">
        <f aca="false">IF(COUNT(AY808,BJ808)=0,"",MIN(AY808,BJ808))</f>
        <v/>
      </c>
      <c r="BP808" s="29"/>
      <c r="BQ808" s="29"/>
      <c r="BR808" s="29"/>
      <c r="BS808" s="28" t="str">
        <f aca="false">IF(AND(N(BP808)&gt;0,N(BR808)&gt;0),BR808-BP808,"")</f>
        <v/>
      </c>
      <c r="BT808" s="28" t="str">
        <f aca="false">IF(BS808="","",ROUND(BS808/365.25,2))</f>
        <v/>
      </c>
      <c r="BU808" s="28" t="str">
        <f aca="false">IF(BS808="","",IF(BS808&gt;=730.5,"Yes","No"))</f>
        <v/>
      </c>
      <c r="BV808" s="27"/>
      <c r="BW808" s="29"/>
      <c r="BX808" s="27"/>
      <c r="BY808" s="27"/>
      <c r="BZ808" s="28" t="str">
        <f aca="false">IF(N(E808)=0,"",IF(E808&lt;65,"Under 65","≥65"))</f>
        <v/>
      </c>
      <c r="CA808" s="28" t="str">
        <f aca="false">IF(OR(AC808="Yes",AC808="No"),AC808,"")</f>
        <v/>
      </c>
      <c r="CB808" s="28" t="str">
        <f aca="false">IF(OR(AD808="Yes",AD808="No"),AD808,"")</f>
        <v/>
      </c>
      <c r="CC808" s="28" t="str">
        <f aca="false">IF(F808="","",F808)</f>
        <v/>
      </c>
      <c r="CD808" s="27"/>
      <c r="CE808" s="27"/>
    </row>
    <row r="809" customFormat="false" ht="15" hidden="false" customHeight="false" outlineLevel="0" collapsed="false">
      <c r="A809" s="27"/>
      <c r="B809" s="27"/>
      <c r="C809" s="27"/>
      <c r="D809" s="27"/>
      <c r="E809" s="27"/>
      <c r="F809" s="27"/>
      <c r="G809" s="27"/>
      <c r="H809" s="27"/>
      <c r="I809" s="27"/>
      <c r="J809" s="28" t="str">
        <f aca="false">IF(AND(N(H809)&gt;0,N(I809)&gt;0),ROUND(I809/(H809/100)^2,1),"")</f>
        <v/>
      </c>
      <c r="K809" s="27"/>
      <c r="L809" s="27"/>
      <c r="M809" s="27"/>
      <c r="N809" s="27"/>
      <c r="O809" s="27"/>
      <c r="P809" s="27"/>
      <c r="Q809" s="27"/>
      <c r="R809" s="29"/>
      <c r="S809" s="29"/>
      <c r="T809" s="27"/>
      <c r="U809" s="28" t="str">
        <f aca="false">IF(N(T809)=0,"",IF(T809&lt;12,"Under 12 months",IF(T809&lt;36,"12-35 months",IF(T809&lt;60,"36-59 months","≥60 months"))))</f>
        <v/>
      </c>
      <c r="V809" s="27"/>
      <c r="W809" s="30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9"/>
      <c r="AT809" s="30"/>
      <c r="AU809" s="30"/>
      <c r="AV809" s="30"/>
      <c r="AW809" s="27"/>
      <c r="AX809" s="27"/>
      <c r="AY809" s="29"/>
      <c r="AZ809" s="27"/>
      <c r="BA809" s="27"/>
      <c r="BB809" s="29"/>
      <c r="BC809" s="30"/>
      <c r="BD809" s="30"/>
      <c r="BE809" s="30"/>
      <c r="BF809" s="27"/>
      <c r="BG809" s="27"/>
      <c r="BH809" s="28" t="str">
        <f aca="false">IF(COUNT(BC809:BE809)=0,"",IF(MIN(BC809:BE809)&lt;=-2.5,"Yes","No"))</f>
        <v/>
      </c>
      <c r="BI809" s="27"/>
      <c r="BJ809" s="29"/>
      <c r="BK809" s="27"/>
      <c r="BL809" s="27"/>
      <c r="BM809" s="27"/>
      <c r="BN809" s="28" t="str">
        <f aca="false">IF(OR(AX809="Yes",BI809="Yes"),"Yes",IF(AND(AX809="No",BI809="No"),"No",IF(AND(AX809="",BI809=""),"","Unknown")))</f>
        <v/>
      </c>
      <c r="BO809" s="31" t="str">
        <f aca="false">IF(COUNT(AY809,BJ809)=0,"",MIN(AY809,BJ809))</f>
        <v/>
      </c>
      <c r="BP809" s="29"/>
      <c r="BQ809" s="29"/>
      <c r="BR809" s="29"/>
      <c r="BS809" s="28" t="str">
        <f aca="false">IF(AND(N(BP809)&gt;0,N(BR809)&gt;0),BR809-BP809,"")</f>
        <v/>
      </c>
      <c r="BT809" s="28" t="str">
        <f aca="false">IF(BS809="","",ROUND(BS809/365.25,2))</f>
        <v/>
      </c>
      <c r="BU809" s="28" t="str">
        <f aca="false">IF(BS809="","",IF(BS809&gt;=730.5,"Yes","No"))</f>
        <v/>
      </c>
      <c r="BV809" s="27"/>
      <c r="BW809" s="29"/>
      <c r="BX809" s="27"/>
      <c r="BY809" s="27"/>
      <c r="BZ809" s="28" t="str">
        <f aca="false">IF(N(E809)=0,"",IF(E809&lt;65,"Under 65","≥65"))</f>
        <v/>
      </c>
      <c r="CA809" s="28" t="str">
        <f aca="false">IF(OR(AC809="Yes",AC809="No"),AC809,"")</f>
        <v/>
      </c>
      <c r="CB809" s="28" t="str">
        <f aca="false">IF(OR(AD809="Yes",AD809="No"),AD809,"")</f>
        <v/>
      </c>
      <c r="CC809" s="28" t="str">
        <f aca="false">IF(F809="","",F809)</f>
        <v/>
      </c>
      <c r="CD809" s="27"/>
      <c r="CE809" s="27"/>
    </row>
    <row r="810" customFormat="false" ht="15" hidden="false" customHeight="false" outlineLevel="0" collapsed="false">
      <c r="A810" s="27"/>
      <c r="B810" s="27"/>
      <c r="C810" s="27"/>
      <c r="D810" s="27"/>
      <c r="E810" s="27"/>
      <c r="F810" s="27"/>
      <c r="G810" s="27"/>
      <c r="H810" s="27"/>
      <c r="I810" s="27"/>
      <c r="J810" s="28" t="str">
        <f aca="false">IF(AND(N(H810)&gt;0,N(I810)&gt;0),ROUND(I810/(H810/100)^2,1),"")</f>
        <v/>
      </c>
      <c r="K810" s="27"/>
      <c r="L810" s="27"/>
      <c r="M810" s="27"/>
      <c r="N810" s="27"/>
      <c r="O810" s="27"/>
      <c r="P810" s="27"/>
      <c r="Q810" s="27"/>
      <c r="R810" s="29"/>
      <c r="S810" s="29"/>
      <c r="T810" s="27"/>
      <c r="U810" s="28" t="str">
        <f aca="false">IF(N(T810)=0,"",IF(T810&lt;12,"Under 12 months",IF(T810&lt;36,"12-35 months",IF(T810&lt;60,"36-59 months","≥60 months"))))</f>
        <v/>
      </c>
      <c r="V810" s="27"/>
      <c r="W810" s="30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9"/>
      <c r="AT810" s="30"/>
      <c r="AU810" s="30"/>
      <c r="AV810" s="30"/>
      <c r="AW810" s="27"/>
      <c r="AX810" s="27"/>
      <c r="AY810" s="29"/>
      <c r="AZ810" s="27"/>
      <c r="BA810" s="27"/>
      <c r="BB810" s="29"/>
      <c r="BC810" s="30"/>
      <c r="BD810" s="30"/>
      <c r="BE810" s="30"/>
      <c r="BF810" s="27"/>
      <c r="BG810" s="27"/>
      <c r="BH810" s="28" t="str">
        <f aca="false">IF(COUNT(BC810:BE810)=0,"",IF(MIN(BC810:BE810)&lt;=-2.5,"Yes","No"))</f>
        <v/>
      </c>
      <c r="BI810" s="27"/>
      <c r="BJ810" s="29"/>
      <c r="BK810" s="27"/>
      <c r="BL810" s="27"/>
      <c r="BM810" s="27"/>
      <c r="BN810" s="28" t="str">
        <f aca="false">IF(OR(AX810="Yes",BI810="Yes"),"Yes",IF(AND(AX810="No",BI810="No"),"No",IF(AND(AX810="",BI810=""),"","Unknown")))</f>
        <v/>
      </c>
      <c r="BO810" s="31" t="str">
        <f aca="false">IF(COUNT(AY810,BJ810)=0,"",MIN(AY810,BJ810))</f>
        <v/>
      </c>
      <c r="BP810" s="29"/>
      <c r="BQ810" s="29"/>
      <c r="BR810" s="29"/>
      <c r="BS810" s="28" t="str">
        <f aca="false">IF(AND(N(BP810)&gt;0,N(BR810)&gt;0),BR810-BP810,"")</f>
        <v/>
      </c>
      <c r="BT810" s="28" t="str">
        <f aca="false">IF(BS810="","",ROUND(BS810/365.25,2))</f>
        <v/>
      </c>
      <c r="BU810" s="28" t="str">
        <f aca="false">IF(BS810="","",IF(BS810&gt;=730.5,"Yes","No"))</f>
        <v/>
      </c>
      <c r="BV810" s="27"/>
      <c r="BW810" s="29"/>
      <c r="BX810" s="27"/>
      <c r="BY810" s="27"/>
      <c r="BZ810" s="28" t="str">
        <f aca="false">IF(N(E810)=0,"",IF(E810&lt;65,"Under 65","≥65"))</f>
        <v/>
      </c>
      <c r="CA810" s="28" t="str">
        <f aca="false">IF(OR(AC810="Yes",AC810="No"),AC810,"")</f>
        <v/>
      </c>
      <c r="CB810" s="28" t="str">
        <f aca="false">IF(OR(AD810="Yes",AD810="No"),AD810,"")</f>
        <v/>
      </c>
      <c r="CC810" s="28" t="str">
        <f aca="false">IF(F810="","",F810)</f>
        <v/>
      </c>
      <c r="CD810" s="27"/>
      <c r="CE810" s="27"/>
    </row>
    <row r="811" customFormat="false" ht="15" hidden="false" customHeight="false" outlineLevel="0" collapsed="false">
      <c r="A811" s="27"/>
      <c r="B811" s="27"/>
      <c r="C811" s="27"/>
      <c r="D811" s="27"/>
      <c r="E811" s="27"/>
      <c r="F811" s="27"/>
      <c r="G811" s="27"/>
      <c r="H811" s="27"/>
      <c r="I811" s="27"/>
      <c r="J811" s="28" t="str">
        <f aca="false">IF(AND(N(H811)&gt;0,N(I811)&gt;0),ROUND(I811/(H811/100)^2,1),"")</f>
        <v/>
      </c>
      <c r="K811" s="27"/>
      <c r="L811" s="27"/>
      <c r="M811" s="27"/>
      <c r="N811" s="27"/>
      <c r="O811" s="27"/>
      <c r="P811" s="27"/>
      <c r="Q811" s="27"/>
      <c r="R811" s="29"/>
      <c r="S811" s="29"/>
      <c r="T811" s="27"/>
      <c r="U811" s="28" t="str">
        <f aca="false">IF(N(T811)=0,"",IF(T811&lt;12,"Under 12 months",IF(T811&lt;36,"12-35 months",IF(T811&lt;60,"36-59 months","≥60 months"))))</f>
        <v/>
      </c>
      <c r="V811" s="27"/>
      <c r="W811" s="30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9"/>
      <c r="AT811" s="30"/>
      <c r="AU811" s="30"/>
      <c r="AV811" s="30"/>
      <c r="AW811" s="27"/>
      <c r="AX811" s="27"/>
      <c r="AY811" s="29"/>
      <c r="AZ811" s="27"/>
      <c r="BA811" s="27"/>
      <c r="BB811" s="29"/>
      <c r="BC811" s="30"/>
      <c r="BD811" s="30"/>
      <c r="BE811" s="30"/>
      <c r="BF811" s="27"/>
      <c r="BG811" s="27"/>
      <c r="BH811" s="28" t="str">
        <f aca="false">IF(COUNT(BC811:BE811)=0,"",IF(MIN(BC811:BE811)&lt;=-2.5,"Yes","No"))</f>
        <v/>
      </c>
      <c r="BI811" s="27"/>
      <c r="BJ811" s="29"/>
      <c r="BK811" s="27"/>
      <c r="BL811" s="27"/>
      <c r="BM811" s="27"/>
      <c r="BN811" s="28" t="str">
        <f aca="false">IF(OR(AX811="Yes",BI811="Yes"),"Yes",IF(AND(AX811="No",BI811="No"),"No",IF(AND(AX811="",BI811=""),"","Unknown")))</f>
        <v/>
      </c>
      <c r="BO811" s="31" t="str">
        <f aca="false">IF(COUNT(AY811,BJ811)=0,"",MIN(AY811,BJ811))</f>
        <v/>
      </c>
      <c r="BP811" s="29"/>
      <c r="BQ811" s="29"/>
      <c r="BR811" s="29"/>
      <c r="BS811" s="28" t="str">
        <f aca="false">IF(AND(N(BP811)&gt;0,N(BR811)&gt;0),BR811-BP811,"")</f>
        <v/>
      </c>
      <c r="BT811" s="28" t="str">
        <f aca="false">IF(BS811="","",ROUND(BS811/365.25,2))</f>
        <v/>
      </c>
      <c r="BU811" s="28" t="str">
        <f aca="false">IF(BS811="","",IF(BS811&gt;=730.5,"Yes","No"))</f>
        <v/>
      </c>
      <c r="BV811" s="27"/>
      <c r="BW811" s="29"/>
      <c r="BX811" s="27"/>
      <c r="BY811" s="27"/>
      <c r="BZ811" s="28" t="str">
        <f aca="false">IF(N(E811)=0,"",IF(E811&lt;65,"Under 65","≥65"))</f>
        <v/>
      </c>
      <c r="CA811" s="28" t="str">
        <f aca="false">IF(OR(AC811="Yes",AC811="No"),AC811,"")</f>
        <v/>
      </c>
      <c r="CB811" s="28" t="str">
        <f aca="false">IF(OR(AD811="Yes",AD811="No"),AD811,"")</f>
        <v/>
      </c>
      <c r="CC811" s="28" t="str">
        <f aca="false">IF(F811="","",F811)</f>
        <v/>
      </c>
      <c r="CD811" s="27"/>
      <c r="CE811" s="27"/>
    </row>
    <row r="812" customFormat="false" ht="15" hidden="false" customHeight="false" outlineLevel="0" collapsed="false">
      <c r="A812" s="27"/>
      <c r="B812" s="27"/>
      <c r="C812" s="27"/>
      <c r="D812" s="27"/>
      <c r="E812" s="27"/>
      <c r="F812" s="27"/>
      <c r="G812" s="27"/>
      <c r="H812" s="27"/>
      <c r="I812" s="27"/>
      <c r="J812" s="28" t="str">
        <f aca="false">IF(AND(N(H812)&gt;0,N(I812)&gt;0),ROUND(I812/(H812/100)^2,1),"")</f>
        <v/>
      </c>
      <c r="K812" s="27"/>
      <c r="L812" s="27"/>
      <c r="M812" s="27"/>
      <c r="N812" s="27"/>
      <c r="O812" s="27"/>
      <c r="P812" s="27"/>
      <c r="Q812" s="27"/>
      <c r="R812" s="29"/>
      <c r="S812" s="29"/>
      <c r="T812" s="27"/>
      <c r="U812" s="28" t="str">
        <f aca="false">IF(N(T812)=0,"",IF(T812&lt;12,"Under 12 months",IF(T812&lt;36,"12-35 months",IF(T812&lt;60,"36-59 months","≥60 months"))))</f>
        <v/>
      </c>
      <c r="V812" s="27"/>
      <c r="W812" s="30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9"/>
      <c r="AT812" s="30"/>
      <c r="AU812" s="30"/>
      <c r="AV812" s="30"/>
      <c r="AW812" s="27"/>
      <c r="AX812" s="27"/>
      <c r="AY812" s="29"/>
      <c r="AZ812" s="27"/>
      <c r="BA812" s="27"/>
      <c r="BB812" s="29"/>
      <c r="BC812" s="30"/>
      <c r="BD812" s="30"/>
      <c r="BE812" s="30"/>
      <c r="BF812" s="27"/>
      <c r="BG812" s="27"/>
      <c r="BH812" s="28" t="str">
        <f aca="false">IF(COUNT(BC812:BE812)=0,"",IF(MIN(BC812:BE812)&lt;=-2.5,"Yes","No"))</f>
        <v/>
      </c>
      <c r="BI812" s="27"/>
      <c r="BJ812" s="29"/>
      <c r="BK812" s="27"/>
      <c r="BL812" s="27"/>
      <c r="BM812" s="27"/>
      <c r="BN812" s="28" t="str">
        <f aca="false">IF(OR(AX812="Yes",BI812="Yes"),"Yes",IF(AND(AX812="No",BI812="No"),"No",IF(AND(AX812="",BI812=""),"","Unknown")))</f>
        <v/>
      </c>
      <c r="BO812" s="31" t="str">
        <f aca="false">IF(COUNT(AY812,BJ812)=0,"",MIN(AY812,BJ812))</f>
        <v/>
      </c>
      <c r="BP812" s="29"/>
      <c r="BQ812" s="29"/>
      <c r="BR812" s="29"/>
      <c r="BS812" s="28" t="str">
        <f aca="false">IF(AND(N(BP812)&gt;0,N(BR812)&gt;0),BR812-BP812,"")</f>
        <v/>
      </c>
      <c r="BT812" s="28" t="str">
        <f aca="false">IF(BS812="","",ROUND(BS812/365.25,2))</f>
        <v/>
      </c>
      <c r="BU812" s="28" t="str">
        <f aca="false">IF(BS812="","",IF(BS812&gt;=730.5,"Yes","No"))</f>
        <v/>
      </c>
      <c r="BV812" s="27"/>
      <c r="BW812" s="29"/>
      <c r="BX812" s="27"/>
      <c r="BY812" s="27"/>
      <c r="BZ812" s="28" t="str">
        <f aca="false">IF(N(E812)=0,"",IF(E812&lt;65,"Under 65","≥65"))</f>
        <v/>
      </c>
      <c r="CA812" s="28" t="str">
        <f aca="false">IF(OR(AC812="Yes",AC812="No"),AC812,"")</f>
        <v/>
      </c>
      <c r="CB812" s="28" t="str">
        <f aca="false">IF(OR(AD812="Yes",AD812="No"),AD812,"")</f>
        <v/>
      </c>
      <c r="CC812" s="28" t="str">
        <f aca="false">IF(F812="","",F812)</f>
        <v/>
      </c>
      <c r="CD812" s="27"/>
      <c r="CE812" s="27"/>
    </row>
    <row r="813" customFormat="false" ht="15" hidden="false" customHeight="false" outlineLevel="0" collapsed="false">
      <c r="A813" s="27"/>
      <c r="B813" s="27"/>
      <c r="C813" s="27"/>
      <c r="D813" s="27"/>
      <c r="E813" s="27"/>
      <c r="F813" s="27"/>
      <c r="G813" s="27"/>
      <c r="H813" s="27"/>
      <c r="I813" s="27"/>
      <c r="J813" s="28" t="str">
        <f aca="false">IF(AND(N(H813)&gt;0,N(I813)&gt;0),ROUND(I813/(H813/100)^2,1),"")</f>
        <v/>
      </c>
      <c r="K813" s="27"/>
      <c r="L813" s="27"/>
      <c r="M813" s="27"/>
      <c r="N813" s="27"/>
      <c r="O813" s="27"/>
      <c r="P813" s="27"/>
      <c r="Q813" s="27"/>
      <c r="R813" s="29"/>
      <c r="S813" s="29"/>
      <c r="T813" s="27"/>
      <c r="U813" s="28" t="str">
        <f aca="false">IF(N(T813)=0,"",IF(T813&lt;12,"Under 12 months",IF(T813&lt;36,"12-35 months",IF(T813&lt;60,"36-59 months","≥60 months"))))</f>
        <v/>
      </c>
      <c r="V813" s="27"/>
      <c r="W813" s="30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9"/>
      <c r="AT813" s="30"/>
      <c r="AU813" s="30"/>
      <c r="AV813" s="30"/>
      <c r="AW813" s="27"/>
      <c r="AX813" s="27"/>
      <c r="AY813" s="29"/>
      <c r="AZ813" s="27"/>
      <c r="BA813" s="27"/>
      <c r="BB813" s="29"/>
      <c r="BC813" s="30"/>
      <c r="BD813" s="30"/>
      <c r="BE813" s="30"/>
      <c r="BF813" s="27"/>
      <c r="BG813" s="27"/>
      <c r="BH813" s="28" t="str">
        <f aca="false">IF(COUNT(BC813:BE813)=0,"",IF(MIN(BC813:BE813)&lt;=-2.5,"Yes","No"))</f>
        <v/>
      </c>
      <c r="BI813" s="27"/>
      <c r="BJ813" s="29"/>
      <c r="BK813" s="27"/>
      <c r="BL813" s="27"/>
      <c r="BM813" s="27"/>
      <c r="BN813" s="28" t="str">
        <f aca="false">IF(OR(AX813="Yes",BI813="Yes"),"Yes",IF(AND(AX813="No",BI813="No"),"No",IF(AND(AX813="",BI813=""),"","Unknown")))</f>
        <v/>
      </c>
      <c r="BO813" s="31" t="str">
        <f aca="false">IF(COUNT(AY813,BJ813)=0,"",MIN(AY813,BJ813))</f>
        <v/>
      </c>
      <c r="BP813" s="29"/>
      <c r="BQ813" s="29"/>
      <c r="BR813" s="29"/>
      <c r="BS813" s="28" t="str">
        <f aca="false">IF(AND(N(BP813)&gt;0,N(BR813)&gt;0),BR813-BP813,"")</f>
        <v/>
      </c>
      <c r="BT813" s="28" t="str">
        <f aca="false">IF(BS813="","",ROUND(BS813/365.25,2))</f>
        <v/>
      </c>
      <c r="BU813" s="28" t="str">
        <f aca="false">IF(BS813="","",IF(BS813&gt;=730.5,"Yes","No"))</f>
        <v/>
      </c>
      <c r="BV813" s="27"/>
      <c r="BW813" s="29"/>
      <c r="BX813" s="27"/>
      <c r="BY813" s="27"/>
      <c r="BZ813" s="28" t="str">
        <f aca="false">IF(N(E813)=0,"",IF(E813&lt;65,"Under 65","≥65"))</f>
        <v/>
      </c>
      <c r="CA813" s="28" t="str">
        <f aca="false">IF(OR(AC813="Yes",AC813="No"),AC813,"")</f>
        <v/>
      </c>
      <c r="CB813" s="28" t="str">
        <f aca="false">IF(OR(AD813="Yes",AD813="No"),AD813,"")</f>
        <v/>
      </c>
      <c r="CC813" s="28" t="str">
        <f aca="false">IF(F813="","",F813)</f>
        <v/>
      </c>
      <c r="CD813" s="27"/>
      <c r="CE813" s="27"/>
    </row>
    <row r="814" customFormat="false" ht="15" hidden="false" customHeight="false" outlineLevel="0" collapsed="false">
      <c r="A814" s="27"/>
      <c r="B814" s="27"/>
      <c r="C814" s="27"/>
      <c r="D814" s="27"/>
      <c r="E814" s="27"/>
      <c r="F814" s="27"/>
      <c r="G814" s="27"/>
      <c r="H814" s="27"/>
      <c r="I814" s="27"/>
      <c r="J814" s="28" t="str">
        <f aca="false">IF(AND(N(H814)&gt;0,N(I814)&gt;0),ROUND(I814/(H814/100)^2,1),"")</f>
        <v/>
      </c>
      <c r="K814" s="27"/>
      <c r="L814" s="27"/>
      <c r="M814" s="27"/>
      <c r="N814" s="27"/>
      <c r="O814" s="27"/>
      <c r="P814" s="27"/>
      <c r="Q814" s="27"/>
      <c r="R814" s="29"/>
      <c r="S814" s="29"/>
      <c r="T814" s="27"/>
      <c r="U814" s="28" t="str">
        <f aca="false">IF(N(T814)=0,"",IF(T814&lt;12,"Under 12 months",IF(T814&lt;36,"12-35 months",IF(T814&lt;60,"36-59 months","≥60 months"))))</f>
        <v/>
      </c>
      <c r="V814" s="27"/>
      <c r="W814" s="30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9"/>
      <c r="AT814" s="30"/>
      <c r="AU814" s="30"/>
      <c r="AV814" s="30"/>
      <c r="AW814" s="27"/>
      <c r="AX814" s="27"/>
      <c r="AY814" s="29"/>
      <c r="AZ814" s="27"/>
      <c r="BA814" s="27"/>
      <c r="BB814" s="29"/>
      <c r="BC814" s="30"/>
      <c r="BD814" s="30"/>
      <c r="BE814" s="30"/>
      <c r="BF814" s="27"/>
      <c r="BG814" s="27"/>
      <c r="BH814" s="28" t="str">
        <f aca="false">IF(COUNT(BC814:BE814)=0,"",IF(MIN(BC814:BE814)&lt;=-2.5,"Yes","No"))</f>
        <v/>
      </c>
      <c r="BI814" s="27"/>
      <c r="BJ814" s="29"/>
      <c r="BK814" s="27"/>
      <c r="BL814" s="27"/>
      <c r="BM814" s="27"/>
      <c r="BN814" s="28" t="str">
        <f aca="false">IF(OR(AX814="Yes",BI814="Yes"),"Yes",IF(AND(AX814="No",BI814="No"),"No",IF(AND(AX814="",BI814=""),"","Unknown")))</f>
        <v/>
      </c>
      <c r="BO814" s="31" t="str">
        <f aca="false">IF(COUNT(AY814,BJ814)=0,"",MIN(AY814,BJ814))</f>
        <v/>
      </c>
      <c r="BP814" s="29"/>
      <c r="BQ814" s="29"/>
      <c r="BR814" s="29"/>
      <c r="BS814" s="28" t="str">
        <f aca="false">IF(AND(N(BP814)&gt;0,N(BR814)&gt;0),BR814-BP814,"")</f>
        <v/>
      </c>
      <c r="BT814" s="28" t="str">
        <f aca="false">IF(BS814="","",ROUND(BS814/365.25,2))</f>
        <v/>
      </c>
      <c r="BU814" s="28" t="str">
        <f aca="false">IF(BS814="","",IF(BS814&gt;=730.5,"Yes","No"))</f>
        <v/>
      </c>
      <c r="BV814" s="27"/>
      <c r="BW814" s="29"/>
      <c r="BX814" s="27"/>
      <c r="BY814" s="27"/>
      <c r="BZ814" s="28" t="str">
        <f aca="false">IF(N(E814)=0,"",IF(E814&lt;65,"Under 65","≥65"))</f>
        <v/>
      </c>
      <c r="CA814" s="28" t="str">
        <f aca="false">IF(OR(AC814="Yes",AC814="No"),AC814,"")</f>
        <v/>
      </c>
      <c r="CB814" s="28" t="str">
        <f aca="false">IF(OR(AD814="Yes",AD814="No"),AD814,"")</f>
        <v/>
      </c>
      <c r="CC814" s="28" t="str">
        <f aca="false">IF(F814="","",F814)</f>
        <v/>
      </c>
      <c r="CD814" s="27"/>
      <c r="CE814" s="27"/>
    </row>
    <row r="815" customFormat="false" ht="15" hidden="false" customHeight="false" outlineLevel="0" collapsed="false">
      <c r="A815" s="27"/>
      <c r="B815" s="27"/>
      <c r="C815" s="27"/>
      <c r="D815" s="27"/>
      <c r="E815" s="27"/>
      <c r="F815" s="27"/>
      <c r="G815" s="27"/>
      <c r="H815" s="27"/>
      <c r="I815" s="27"/>
      <c r="J815" s="28" t="str">
        <f aca="false">IF(AND(N(H815)&gt;0,N(I815)&gt;0),ROUND(I815/(H815/100)^2,1),"")</f>
        <v/>
      </c>
      <c r="K815" s="27"/>
      <c r="L815" s="27"/>
      <c r="M815" s="27"/>
      <c r="N815" s="27"/>
      <c r="O815" s="27"/>
      <c r="P815" s="27"/>
      <c r="Q815" s="27"/>
      <c r="R815" s="29"/>
      <c r="S815" s="29"/>
      <c r="T815" s="27"/>
      <c r="U815" s="28" t="str">
        <f aca="false">IF(N(T815)=0,"",IF(T815&lt;12,"Under 12 months",IF(T815&lt;36,"12-35 months",IF(T815&lt;60,"36-59 months","≥60 months"))))</f>
        <v/>
      </c>
      <c r="V815" s="27"/>
      <c r="W815" s="30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9"/>
      <c r="AT815" s="30"/>
      <c r="AU815" s="30"/>
      <c r="AV815" s="30"/>
      <c r="AW815" s="27"/>
      <c r="AX815" s="27"/>
      <c r="AY815" s="29"/>
      <c r="AZ815" s="27"/>
      <c r="BA815" s="27"/>
      <c r="BB815" s="29"/>
      <c r="BC815" s="30"/>
      <c r="BD815" s="30"/>
      <c r="BE815" s="30"/>
      <c r="BF815" s="27"/>
      <c r="BG815" s="27"/>
      <c r="BH815" s="28" t="str">
        <f aca="false">IF(COUNT(BC815:BE815)=0,"",IF(MIN(BC815:BE815)&lt;=-2.5,"Yes","No"))</f>
        <v/>
      </c>
      <c r="BI815" s="27"/>
      <c r="BJ815" s="29"/>
      <c r="BK815" s="27"/>
      <c r="BL815" s="27"/>
      <c r="BM815" s="27"/>
      <c r="BN815" s="28" t="str">
        <f aca="false">IF(OR(AX815="Yes",BI815="Yes"),"Yes",IF(AND(AX815="No",BI815="No"),"No",IF(AND(AX815="",BI815=""),"","Unknown")))</f>
        <v/>
      </c>
      <c r="BO815" s="31" t="str">
        <f aca="false">IF(COUNT(AY815,BJ815)=0,"",MIN(AY815,BJ815))</f>
        <v/>
      </c>
      <c r="BP815" s="29"/>
      <c r="BQ815" s="29"/>
      <c r="BR815" s="29"/>
      <c r="BS815" s="28" t="str">
        <f aca="false">IF(AND(N(BP815)&gt;0,N(BR815)&gt;0),BR815-BP815,"")</f>
        <v/>
      </c>
      <c r="BT815" s="28" t="str">
        <f aca="false">IF(BS815="","",ROUND(BS815/365.25,2))</f>
        <v/>
      </c>
      <c r="BU815" s="28" t="str">
        <f aca="false">IF(BS815="","",IF(BS815&gt;=730.5,"Yes","No"))</f>
        <v/>
      </c>
      <c r="BV815" s="27"/>
      <c r="BW815" s="29"/>
      <c r="BX815" s="27"/>
      <c r="BY815" s="27"/>
      <c r="BZ815" s="28" t="str">
        <f aca="false">IF(N(E815)=0,"",IF(E815&lt;65,"Under 65","≥65"))</f>
        <v/>
      </c>
      <c r="CA815" s="28" t="str">
        <f aca="false">IF(OR(AC815="Yes",AC815="No"),AC815,"")</f>
        <v/>
      </c>
      <c r="CB815" s="28" t="str">
        <f aca="false">IF(OR(AD815="Yes",AD815="No"),AD815,"")</f>
        <v/>
      </c>
      <c r="CC815" s="28" t="str">
        <f aca="false">IF(F815="","",F815)</f>
        <v/>
      </c>
      <c r="CD815" s="27"/>
      <c r="CE815" s="27"/>
    </row>
    <row r="816" customFormat="false" ht="15" hidden="false" customHeight="false" outlineLevel="0" collapsed="false">
      <c r="A816" s="27"/>
      <c r="B816" s="27"/>
      <c r="C816" s="27"/>
      <c r="D816" s="27"/>
      <c r="E816" s="27"/>
      <c r="F816" s="27"/>
      <c r="G816" s="27"/>
      <c r="H816" s="27"/>
      <c r="I816" s="27"/>
      <c r="J816" s="28" t="str">
        <f aca="false">IF(AND(N(H816)&gt;0,N(I816)&gt;0),ROUND(I816/(H816/100)^2,1),"")</f>
        <v/>
      </c>
      <c r="K816" s="27"/>
      <c r="L816" s="27"/>
      <c r="M816" s="27"/>
      <c r="N816" s="27"/>
      <c r="O816" s="27"/>
      <c r="P816" s="27"/>
      <c r="Q816" s="27"/>
      <c r="R816" s="29"/>
      <c r="S816" s="29"/>
      <c r="T816" s="27"/>
      <c r="U816" s="28" t="str">
        <f aca="false">IF(N(T816)=0,"",IF(T816&lt;12,"Under 12 months",IF(T816&lt;36,"12-35 months",IF(T816&lt;60,"36-59 months","≥60 months"))))</f>
        <v/>
      </c>
      <c r="V816" s="27"/>
      <c r="W816" s="30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9"/>
      <c r="AT816" s="30"/>
      <c r="AU816" s="30"/>
      <c r="AV816" s="30"/>
      <c r="AW816" s="27"/>
      <c r="AX816" s="27"/>
      <c r="AY816" s="29"/>
      <c r="AZ816" s="27"/>
      <c r="BA816" s="27"/>
      <c r="BB816" s="29"/>
      <c r="BC816" s="30"/>
      <c r="BD816" s="30"/>
      <c r="BE816" s="30"/>
      <c r="BF816" s="27"/>
      <c r="BG816" s="27"/>
      <c r="BH816" s="28" t="str">
        <f aca="false">IF(COUNT(BC816:BE816)=0,"",IF(MIN(BC816:BE816)&lt;=-2.5,"Yes","No"))</f>
        <v/>
      </c>
      <c r="BI816" s="27"/>
      <c r="BJ816" s="29"/>
      <c r="BK816" s="27"/>
      <c r="BL816" s="27"/>
      <c r="BM816" s="27"/>
      <c r="BN816" s="28" t="str">
        <f aca="false">IF(OR(AX816="Yes",BI816="Yes"),"Yes",IF(AND(AX816="No",BI816="No"),"No",IF(AND(AX816="",BI816=""),"","Unknown")))</f>
        <v/>
      </c>
      <c r="BO816" s="31" t="str">
        <f aca="false">IF(COUNT(AY816,BJ816)=0,"",MIN(AY816,BJ816))</f>
        <v/>
      </c>
      <c r="BP816" s="29"/>
      <c r="BQ816" s="29"/>
      <c r="BR816" s="29"/>
      <c r="BS816" s="28" t="str">
        <f aca="false">IF(AND(N(BP816)&gt;0,N(BR816)&gt;0),BR816-BP816,"")</f>
        <v/>
      </c>
      <c r="BT816" s="28" t="str">
        <f aca="false">IF(BS816="","",ROUND(BS816/365.25,2))</f>
        <v/>
      </c>
      <c r="BU816" s="28" t="str">
        <f aca="false">IF(BS816="","",IF(BS816&gt;=730.5,"Yes","No"))</f>
        <v/>
      </c>
      <c r="BV816" s="27"/>
      <c r="BW816" s="29"/>
      <c r="BX816" s="27"/>
      <c r="BY816" s="27"/>
      <c r="BZ816" s="28" t="str">
        <f aca="false">IF(N(E816)=0,"",IF(E816&lt;65,"Under 65","≥65"))</f>
        <v/>
      </c>
      <c r="CA816" s="28" t="str">
        <f aca="false">IF(OR(AC816="Yes",AC816="No"),AC816,"")</f>
        <v/>
      </c>
      <c r="CB816" s="28" t="str">
        <f aca="false">IF(OR(AD816="Yes",AD816="No"),AD816,"")</f>
        <v/>
      </c>
      <c r="CC816" s="28" t="str">
        <f aca="false">IF(F816="","",F816)</f>
        <v/>
      </c>
      <c r="CD816" s="27"/>
      <c r="CE816" s="27"/>
    </row>
    <row r="817" customFormat="false" ht="15" hidden="false" customHeight="false" outlineLevel="0" collapsed="false">
      <c r="A817" s="27"/>
      <c r="B817" s="27"/>
      <c r="C817" s="27"/>
      <c r="D817" s="27"/>
      <c r="E817" s="27"/>
      <c r="F817" s="27"/>
      <c r="G817" s="27"/>
      <c r="H817" s="27"/>
      <c r="I817" s="27"/>
      <c r="J817" s="28" t="str">
        <f aca="false">IF(AND(N(H817)&gt;0,N(I817)&gt;0),ROUND(I817/(H817/100)^2,1),"")</f>
        <v/>
      </c>
      <c r="K817" s="27"/>
      <c r="L817" s="27"/>
      <c r="M817" s="27"/>
      <c r="N817" s="27"/>
      <c r="O817" s="27"/>
      <c r="P817" s="27"/>
      <c r="Q817" s="27"/>
      <c r="R817" s="29"/>
      <c r="S817" s="29"/>
      <c r="T817" s="27"/>
      <c r="U817" s="28" t="str">
        <f aca="false">IF(N(T817)=0,"",IF(T817&lt;12,"Under 12 months",IF(T817&lt;36,"12-35 months",IF(T817&lt;60,"36-59 months","≥60 months"))))</f>
        <v/>
      </c>
      <c r="V817" s="27"/>
      <c r="W817" s="30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9"/>
      <c r="AT817" s="30"/>
      <c r="AU817" s="30"/>
      <c r="AV817" s="30"/>
      <c r="AW817" s="27"/>
      <c r="AX817" s="27"/>
      <c r="AY817" s="29"/>
      <c r="AZ817" s="27"/>
      <c r="BA817" s="27"/>
      <c r="BB817" s="29"/>
      <c r="BC817" s="30"/>
      <c r="BD817" s="30"/>
      <c r="BE817" s="30"/>
      <c r="BF817" s="27"/>
      <c r="BG817" s="27"/>
      <c r="BH817" s="28" t="str">
        <f aca="false">IF(COUNT(BC817:BE817)=0,"",IF(MIN(BC817:BE817)&lt;=-2.5,"Yes","No"))</f>
        <v/>
      </c>
      <c r="BI817" s="27"/>
      <c r="BJ817" s="29"/>
      <c r="BK817" s="27"/>
      <c r="BL817" s="27"/>
      <c r="BM817" s="27"/>
      <c r="BN817" s="28" t="str">
        <f aca="false">IF(OR(AX817="Yes",BI817="Yes"),"Yes",IF(AND(AX817="No",BI817="No"),"No",IF(AND(AX817="",BI817=""),"","Unknown")))</f>
        <v/>
      </c>
      <c r="BO817" s="31" t="str">
        <f aca="false">IF(COUNT(AY817,BJ817)=0,"",MIN(AY817,BJ817))</f>
        <v/>
      </c>
      <c r="BP817" s="29"/>
      <c r="BQ817" s="29"/>
      <c r="BR817" s="29"/>
      <c r="BS817" s="28" t="str">
        <f aca="false">IF(AND(N(BP817)&gt;0,N(BR817)&gt;0),BR817-BP817,"")</f>
        <v/>
      </c>
      <c r="BT817" s="28" t="str">
        <f aca="false">IF(BS817="","",ROUND(BS817/365.25,2))</f>
        <v/>
      </c>
      <c r="BU817" s="28" t="str">
        <f aca="false">IF(BS817="","",IF(BS817&gt;=730.5,"Yes","No"))</f>
        <v/>
      </c>
      <c r="BV817" s="27"/>
      <c r="BW817" s="29"/>
      <c r="BX817" s="27"/>
      <c r="BY817" s="27"/>
      <c r="BZ817" s="28" t="str">
        <f aca="false">IF(N(E817)=0,"",IF(E817&lt;65,"Under 65","≥65"))</f>
        <v/>
      </c>
      <c r="CA817" s="28" t="str">
        <f aca="false">IF(OR(AC817="Yes",AC817="No"),AC817,"")</f>
        <v/>
      </c>
      <c r="CB817" s="28" t="str">
        <f aca="false">IF(OR(AD817="Yes",AD817="No"),AD817,"")</f>
        <v/>
      </c>
      <c r="CC817" s="28" t="str">
        <f aca="false">IF(F817="","",F817)</f>
        <v/>
      </c>
      <c r="CD817" s="27"/>
      <c r="CE817" s="27"/>
    </row>
    <row r="818" customFormat="false" ht="15" hidden="false" customHeight="false" outlineLevel="0" collapsed="false">
      <c r="A818" s="27"/>
      <c r="B818" s="27"/>
      <c r="C818" s="27"/>
      <c r="D818" s="27"/>
      <c r="E818" s="27"/>
      <c r="F818" s="27"/>
      <c r="G818" s="27"/>
      <c r="H818" s="27"/>
      <c r="I818" s="27"/>
      <c r="J818" s="28" t="str">
        <f aca="false">IF(AND(N(H818)&gt;0,N(I818)&gt;0),ROUND(I818/(H818/100)^2,1),"")</f>
        <v/>
      </c>
      <c r="K818" s="27"/>
      <c r="L818" s="27"/>
      <c r="M818" s="27"/>
      <c r="N818" s="27"/>
      <c r="O818" s="27"/>
      <c r="P818" s="27"/>
      <c r="Q818" s="27"/>
      <c r="R818" s="29"/>
      <c r="S818" s="29"/>
      <c r="T818" s="27"/>
      <c r="U818" s="28" t="str">
        <f aca="false">IF(N(T818)=0,"",IF(T818&lt;12,"Under 12 months",IF(T818&lt;36,"12-35 months",IF(T818&lt;60,"36-59 months","≥60 months"))))</f>
        <v/>
      </c>
      <c r="V818" s="27"/>
      <c r="W818" s="30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9"/>
      <c r="AT818" s="30"/>
      <c r="AU818" s="30"/>
      <c r="AV818" s="30"/>
      <c r="AW818" s="27"/>
      <c r="AX818" s="27"/>
      <c r="AY818" s="29"/>
      <c r="AZ818" s="27"/>
      <c r="BA818" s="27"/>
      <c r="BB818" s="29"/>
      <c r="BC818" s="30"/>
      <c r="BD818" s="30"/>
      <c r="BE818" s="30"/>
      <c r="BF818" s="27"/>
      <c r="BG818" s="27"/>
      <c r="BH818" s="28" t="str">
        <f aca="false">IF(COUNT(BC818:BE818)=0,"",IF(MIN(BC818:BE818)&lt;=-2.5,"Yes","No"))</f>
        <v/>
      </c>
      <c r="BI818" s="27"/>
      <c r="BJ818" s="29"/>
      <c r="BK818" s="27"/>
      <c r="BL818" s="27"/>
      <c r="BM818" s="27"/>
      <c r="BN818" s="28" t="str">
        <f aca="false">IF(OR(AX818="Yes",BI818="Yes"),"Yes",IF(AND(AX818="No",BI818="No"),"No",IF(AND(AX818="",BI818=""),"","Unknown")))</f>
        <v/>
      </c>
      <c r="BO818" s="31" t="str">
        <f aca="false">IF(COUNT(AY818,BJ818)=0,"",MIN(AY818,BJ818))</f>
        <v/>
      </c>
      <c r="BP818" s="29"/>
      <c r="BQ818" s="29"/>
      <c r="BR818" s="29"/>
      <c r="BS818" s="28" t="str">
        <f aca="false">IF(AND(N(BP818)&gt;0,N(BR818)&gt;0),BR818-BP818,"")</f>
        <v/>
      </c>
      <c r="BT818" s="28" t="str">
        <f aca="false">IF(BS818="","",ROUND(BS818/365.25,2))</f>
        <v/>
      </c>
      <c r="BU818" s="28" t="str">
        <f aca="false">IF(BS818="","",IF(BS818&gt;=730.5,"Yes","No"))</f>
        <v/>
      </c>
      <c r="BV818" s="27"/>
      <c r="BW818" s="29"/>
      <c r="BX818" s="27"/>
      <c r="BY818" s="27"/>
      <c r="BZ818" s="28" t="str">
        <f aca="false">IF(N(E818)=0,"",IF(E818&lt;65,"Under 65","≥65"))</f>
        <v/>
      </c>
      <c r="CA818" s="28" t="str">
        <f aca="false">IF(OR(AC818="Yes",AC818="No"),AC818,"")</f>
        <v/>
      </c>
      <c r="CB818" s="28" t="str">
        <f aca="false">IF(OR(AD818="Yes",AD818="No"),AD818,"")</f>
        <v/>
      </c>
      <c r="CC818" s="28" t="str">
        <f aca="false">IF(F818="","",F818)</f>
        <v/>
      </c>
      <c r="CD818" s="27"/>
      <c r="CE818" s="27"/>
    </row>
    <row r="819" customFormat="false" ht="15" hidden="false" customHeight="false" outlineLevel="0" collapsed="false">
      <c r="A819" s="27"/>
      <c r="B819" s="27"/>
      <c r="C819" s="27"/>
      <c r="D819" s="27"/>
      <c r="E819" s="27"/>
      <c r="F819" s="27"/>
      <c r="G819" s="27"/>
      <c r="H819" s="27"/>
      <c r="I819" s="27"/>
      <c r="J819" s="28" t="str">
        <f aca="false">IF(AND(N(H819)&gt;0,N(I819)&gt;0),ROUND(I819/(H819/100)^2,1),"")</f>
        <v/>
      </c>
      <c r="K819" s="27"/>
      <c r="L819" s="27"/>
      <c r="M819" s="27"/>
      <c r="N819" s="27"/>
      <c r="O819" s="27"/>
      <c r="P819" s="27"/>
      <c r="Q819" s="27"/>
      <c r="R819" s="29"/>
      <c r="S819" s="29"/>
      <c r="T819" s="27"/>
      <c r="U819" s="28" t="str">
        <f aca="false">IF(N(T819)=0,"",IF(T819&lt;12,"Under 12 months",IF(T819&lt;36,"12-35 months",IF(T819&lt;60,"36-59 months","≥60 months"))))</f>
        <v/>
      </c>
      <c r="V819" s="27"/>
      <c r="W819" s="30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9"/>
      <c r="AT819" s="30"/>
      <c r="AU819" s="30"/>
      <c r="AV819" s="30"/>
      <c r="AW819" s="27"/>
      <c r="AX819" s="27"/>
      <c r="AY819" s="29"/>
      <c r="AZ819" s="27"/>
      <c r="BA819" s="27"/>
      <c r="BB819" s="29"/>
      <c r="BC819" s="30"/>
      <c r="BD819" s="30"/>
      <c r="BE819" s="30"/>
      <c r="BF819" s="27"/>
      <c r="BG819" s="27"/>
      <c r="BH819" s="28" t="str">
        <f aca="false">IF(COUNT(BC819:BE819)=0,"",IF(MIN(BC819:BE819)&lt;=-2.5,"Yes","No"))</f>
        <v/>
      </c>
      <c r="BI819" s="27"/>
      <c r="BJ819" s="29"/>
      <c r="BK819" s="27"/>
      <c r="BL819" s="27"/>
      <c r="BM819" s="27"/>
      <c r="BN819" s="28" t="str">
        <f aca="false">IF(OR(AX819="Yes",BI819="Yes"),"Yes",IF(AND(AX819="No",BI819="No"),"No",IF(AND(AX819="",BI819=""),"","Unknown")))</f>
        <v/>
      </c>
      <c r="BO819" s="31" t="str">
        <f aca="false">IF(COUNT(AY819,BJ819)=0,"",MIN(AY819,BJ819))</f>
        <v/>
      </c>
      <c r="BP819" s="29"/>
      <c r="BQ819" s="29"/>
      <c r="BR819" s="29"/>
      <c r="BS819" s="28" t="str">
        <f aca="false">IF(AND(N(BP819)&gt;0,N(BR819)&gt;0),BR819-BP819,"")</f>
        <v/>
      </c>
      <c r="BT819" s="28" t="str">
        <f aca="false">IF(BS819="","",ROUND(BS819/365.25,2))</f>
        <v/>
      </c>
      <c r="BU819" s="28" t="str">
        <f aca="false">IF(BS819="","",IF(BS819&gt;=730.5,"Yes","No"))</f>
        <v/>
      </c>
      <c r="BV819" s="27"/>
      <c r="BW819" s="29"/>
      <c r="BX819" s="27"/>
      <c r="BY819" s="27"/>
      <c r="BZ819" s="28" t="str">
        <f aca="false">IF(N(E819)=0,"",IF(E819&lt;65,"Under 65","≥65"))</f>
        <v/>
      </c>
      <c r="CA819" s="28" t="str">
        <f aca="false">IF(OR(AC819="Yes",AC819="No"),AC819,"")</f>
        <v/>
      </c>
      <c r="CB819" s="28" t="str">
        <f aca="false">IF(OR(AD819="Yes",AD819="No"),AD819,"")</f>
        <v/>
      </c>
      <c r="CC819" s="28" t="str">
        <f aca="false">IF(F819="","",F819)</f>
        <v/>
      </c>
      <c r="CD819" s="27"/>
      <c r="CE819" s="27"/>
    </row>
    <row r="820" customFormat="false" ht="15" hidden="false" customHeight="false" outlineLevel="0" collapsed="false">
      <c r="A820" s="27"/>
      <c r="B820" s="27"/>
      <c r="C820" s="27"/>
      <c r="D820" s="27"/>
      <c r="E820" s="27"/>
      <c r="F820" s="27"/>
      <c r="G820" s="27"/>
      <c r="H820" s="27"/>
      <c r="I820" s="27"/>
      <c r="J820" s="28" t="str">
        <f aca="false">IF(AND(N(H820)&gt;0,N(I820)&gt;0),ROUND(I820/(H820/100)^2,1),"")</f>
        <v/>
      </c>
      <c r="K820" s="27"/>
      <c r="L820" s="27"/>
      <c r="M820" s="27"/>
      <c r="N820" s="27"/>
      <c r="O820" s="27"/>
      <c r="P820" s="27"/>
      <c r="Q820" s="27"/>
      <c r="R820" s="29"/>
      <c r="S820" s="29"/>
      <c r="T820" s="27"/>
      <c r="U820" s="28" t="str">
        <f aca="false">IF(N(T820)=0,"",IF(T820&lt;12,"Under 12 months",IF(T820&lt;36,"12-35 months",IF(T820&lt;60,"36-59 months","≥60 months"))))</f>
        <v/>
      </c>
      <c r="V820" s="27"/>
      <c r="W820" s="30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9"/>
      <c r="AT820" s="30"/>
      <c r="AU820" s="30"/>
      <c r="AV820" s="30"/>
      <c r="AW820" s="27"/>
      <c r="AX820" s="27"/>
      <c r="AY820" s="29"/>
      <c r="AZ820" s="27"/>
      <c r="BA820" s="27"/>
      <c r="BB820" s="29"/>
      <c r="BC820" s="30"/>
      <c r="BD820" s="30"/>
      <c r="BE820" s="30"/>
      <c r="BF820" s="27"/>
      <c r="BG820" s="27"/>
      <c r="BH820" s="28" t="str">
        <f aca="false">IF(COUNT(BC820:BE820)=0,"",IF(MIN(BC820:BE820)&lt;=-2.5,"Yes","No"))</f>
        <v/>
      </c>
      <c r="BI820" s="27"/>
      <c r="BJ820" s="29"/>
      <c r="BK820" s="27"/>
      <c r="BL820" s="27"/>
      <c r="BM820" s="27"/>
      <c r="BN820" s="28" t="str">
        <f aca="false">IF(OR(AX820="Yes",BI820="Yes"),"Yes",IF(AND(AX820="No",BI820="No"),"No",IF(AND(AX820="",BI820=""),"","Unknown")))</f>
        <v/>
      </c>
      <c r="BO820" s="31" t="str">
        <f aca="false">IF(COUNT(AY820,BJ820)=0,"",MIN(AY820,BJ820))</f>
        <v/>
      </c>
      <c r="BP820" s="29"/>
      <c r="BQ820" s="29"/>
      <c r="BR820" s="29"/>
      <c r="BS820" s="28" t="str">
        <f aca="false">IF(AND(N(BP820)&gt;0,N(BR820)&gt;0),BR820-BP820,"")</f>
        <v/>
      </c>
      <c r="BT820" s="28" t="str">
        <f aca="false">IF(BS820="","",ROUND(BS820/365.25,2))</f>
        <v/>
      </c>
      <c r="BU820" s="28" t="str">
        <f aca="false">IF(BS820="","",IF(BS820&gt;=730.5,"Yes","No"))</f>
        <v/>
      </c>
      <c r="BV820" s="27"/>
      <c r="BW820" s="29"/>
      <c r="BX820" s="27"/>
      <c r="BY820" s="27"/>
      <c r="BZ820" s="28" t="str">
        <f aca="false">IF(N(E820)=0,"",IF(E820&lt;65,"Under 65","≥65"))</f>
        <v/>
      </c>
      <c r="CA820" s="28" t="str">
        <f aca="false">IF(OR(AC820="Yes",AC820="No"),AC820,"")</f>
        <v/>
      </c>
      <c r="CB820" s="28" t="str">
        <f aca="false">IF(OR(AD820="Yes",AD820="No"),AD820,"")</f>
        <v/>
      </c>
      <c r="CC820" s="28" t="str">
        <f aca="false">IF(F820="","",F820)</f>
        <v/>
      </c>
      <c r="CD820" s="27"/>
      <c r="CE820" s="27"/>
    </row>
    <row r="821" customFormat="false" ht="15" hidden="false" customHeight="false" outlineLevel="0" collapsed="false">
      <c r="A821" s="27"/>
      <c r="B821" s="27"/>
      <c r="C821" s="27"/>
      <c r="D821" s="27"/>
      <c r="E821" s="27"/>
      <c r="F821" s="27"/>
      <c r="G821" s="27"/>
      <c r="H821" s="27"/>
      <c r="I821" s="27"/>
      <c r="J821" s="28" t="str">
        <f aca="false">IF(AND(N(H821)&gt;0,N(I821)&gt;0),ROUND(I821/(H821/100)^2,1),"")</f>
        <v/>
      </c>
      <c r="K821" s="27"/>
      <c r="L821" s="27"/>
      <c r="M821" s="27"/>
      <c r="N821" s="27"/>
      <c r="O821" s="27"/>
      <c r="P821" s="27"/>
      <c r="Q821" s="27"/>
      <c r="R821" s="29"/>
      <c r="S821" s="29"/>
      <c r="T821" s="27"/>
      <c r="U821" s="28" t="str">
        <f aca="false">IF(N(T821)=0,"",IF(T821&lt;12,"Under 12 months",IF(T821&lt;36,"12-35 months",IF(T821&lt;60,"36-59 months","≥60 months"))))</f>
        <v/>
      </c>
      <c r="V821" s="27"/>
      <c r="W821" s="30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9"/>
      <c r="AT821" s="30"/>
      <c r="AU821" s="30"/>
      <c r="AV821" s="30"/>
      <c r="AW821" s="27"/>
      <c r="AX821" s="27"/>
      <c r="AY821" s="29"/>
      <c r="AZ821" s="27"/>
      <c r="BA821" s="27"/>
      <c r="BB821" s="29"/>
      <c r="BC821" s="30"/>
      <c r="BD821" s="30"/>
      <c r="BE821" s="30"/>
      <c r="BF821" s="27"/>
      <c r="BG821" s="27"/>
      <c r="BH821" s="28" t="str">
        <f aca="false">IF(COUNT(BC821:BE821)=0,"",IF(MIN(BC821:BE821)&lt;=-2.5,"Yes","No"))</f>
        <v/>
      </c>
      <c r="BI821" s="27"/>
      <c r="BJ821" s="29"/>
      <c r="BK821" s="27"/>
      <c r="BL821" s="27"/>
      <c r="BM821" s="27"/>
      <c r="BN821" s="28" t="str">
        <f aca="false">IF(OR(AX821="Yes",BI821="Yes"),"Yes",IF(AND(AX821="No",BI821="No"),"No",IF(AND(AX821="",BI821=""),"","Unknown")))</f>
        <v/>
      </c>
      <c r="BO821" s="31" t="str">
        <f aca="false">IF(COUNT(AY821,BJ821)=0,"",MIN(AY821,BJ821))</f>
        <v/>
      </c>
      <c r="BP821" s="29"/>
      <c r="BQ821" s="29"/>
      <c r="BR821" s="29"/>
      <c r="BS821" s="28" t="str">
        <f aca="false">IF(AND(N(BP821)&gt;0,N(BR821)&gt;0),BR821-BP821,"")</f>
        <v/>
      </c>
      <c r="BT821" s="28" t="str">
        <f aca="false">IF(BS821="","",ROUND(BS821/365.25,2))</f>
        <v/>
      </c>
      <c r="BU821" s="28" t="str">
        <f aca="false">IF(BS821="","",IF(BS821&gt;=730.5,"Yes","No"))</f>
        <v/>
      </c>
      <c r="BV821" s="27"/>
      <c r="BW821" s="29"/>
      <c r="BX821" s="27"/>
      <c r="BY821" s="27"/>
      <c r="BZ821" s="28" t="str">
        <f aca="false">IF(N(E821)=0,"",IF(E821&lt;65,"Under 65","≥65"))</f>
        <v/>
      </c>
      <c r="CA821" s="28" t="str">
        <f aca="false">IF(OR(AC821="Yes",AC821="No"),AC821,"")</f>
        <v/>
      </c>
      <c r="CB821" s="28" t="str">
        <f aca="false">IF(OR(AD821="Yes",AD821="No"),AD821,"")</f>
        <v/>
      </c>
      <c r="CC821" s="28" t="str">
        <f aca="false">IF(F821="","",F821)</f>
        <v/>
      </c>
      <c r="CD821" s="27"/>
      <c r="CE821" s="27"/>
    </row>
    <row r="822" customFormat="false" ht="15" hidden="false" customHeight="false" outlineLevel="0" collapsed="false">
      <c r="A822" s="27"/>
      <c r="B822" s="27"/>
      <c r="C822" s="27"/>
      <c r="D822" s="27"/>
      <c r="E822" s="27"/>
      <c r="F822" s="27"/>
      <c r="G822" s="27"/>
      <c r="H822" s="27"/>
      <c r="I822" s="27"/>
      <c r="J822" s="28" t="str">
        <f aca="false">IF(AND(N(H822)&gt;0,N(I822)&gt;0),ROUND(I822/(H822/100)^2,1),"")</f>
        <v/>
      </c>
      <c r="K822" s="27"/>
      <c r="L822" s="27"/>
      <c r="M822" s="27"/>
      <c r="N822" s="27"/>
      <c r="O822" s="27"/>
      <c r="P822" s="27"/>
      <c r="Q822" s="27"/>
      <c r="R822" s="29"/>
      <c r="S822" s="29"/>
      <c r="T822" s="27"/>
      <c r="U822" s="28" t="str">
        <f aca="false">IF(N(T822)=0,"",IF(T822&lt;12,"Under 12 months",IF(T822&lt;36,"12-35 months",IF(T822&lt;60,"36-59 months","≥60 months"))))</f>
        <v/>
      </c>
      <c r="V822" s="27"/>
      <c r="W822" s="30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9"/>
      <c r="AT822" s="30"/>
      <c r="AU822" s="30"/>
      <c r="AV822" s="30"/>
      <c r="AW822" s="27"/>
      <c r="AX822" s="27"/>
      <c r="AY822" s="29"/>
      <c r="AZ822" s="27"/>
      <c r="BA822" s="27"/>
      <c r="BB822" s="29"/>
      <c r="BC822" s="30"/>
      <c r="BD822" s="30"/>
      <c r="BE822" s="30"/>
      <c r="BF822" s="27"/>
      <c r="BG822" s="27"/>
      <c r="BH822" s="28" t="str">
        <f aca="false">IF(COUNT(BC822:BE822)=0,"",IF(MIN(BC822:BE822)&lt;=-2.5,"Yes","No"))</f>
        <v/>
      </c>
      <c r="BI822" s="27"/>
      <c r="BJ822" s="29"/>
      <c r="BK822" s="27"/>
      <c r="BL822" s="27"/>
      <c r="BM822" s="27"/>
      <c r="BN822" s="28" t="str">
        <f aca="false">IF(OR(AX822="Yes",BI822="Yes"),"Yes",IF(AND(AX822="No",BI822="No"),"No",IF(AND(AX822="",BI822=""),"","Unknown")))</f>
        <v/>
      </c>
      <c r="BO822" s="31" t="str">
        <f aca="false">IF(COUNT(AY822,BJ822)=0,"",MIN(AY822,BJ822))</f>
        <v/>
      </c>
      <c r="BP822" s="29"/>
      <c r="BQ822" s="29"/>
      <c r="BR822" s="29"/>
      <c r="BS822" s="28" t="str">
        <f aca="false">IF(AND(N(BP822)&gt;0,N(BR822)&gt;0),BR822-BP822,"")</f>
        <v/>
      </c>
      <c r="BT822" s="28" t="str">
        <f aca="false">IF(BS822="","",ROUND(BS822/365.25,2))</f>
        <v/>
      </c>
      <c r="BU822" s="28" t="str">
        <f aca="false">IF(BS822="","",IF(BS822&gt;=730.5,"Yes","No"))</f>
        <v/>
      </c>
      <c r="BV822" s="27"/>
      <c r="BW822" s="29"/>
      <c r="BX822" s="27"/>
      <c r="BY822" s="27"/>
      <c r="BZ822" s="28" t="str">
        <f aca="false">IF(N(E822)=0,"",IF(E822&lt;65,"Under 65","≥65"))</f>
        <v/>
      </c>
      <c r="CA822" s="28" t="str">
        <f aca="false">IF(OR(AC822="Yes",AC822="No"),AC822,"")</f>
        <v/>
      </c>
      <c r="CB822" s="28" t="str">
        <f aca="false">IF(OR(AD822="Yes",AD822="No"),AD822,"")</f>
        <v/>
      </c>
      <c r="CC822" s="28" t="str">
        <f aca="false">IF(F822="","",F822)</f>
        <v/>
      </c>
      <c r="CD822" s="27"/>
      <c r="CE822" s="27"/>
    </row>
    <row r="823" customFormat="false" ht="15" hidden="false" customHeight="false" outlineLevel="0" collapsed="false">
      <c r="A823" s="27"/>
      <c r="B823" s="27"/>
      <c r="C823" s="27"/>
      <c r="D823" s="27"/>
      <c r="E823" s="27"/>
      <c r="F823" s="27"/>
      <c r="G823" s="27"/>
      <c r="H823" s="27"/>
      <c r="I823" s="27"/>
      <c r="J823" s="28" t="str">
        <f aca="false">IF(AND(N(H823)&gt;0,N(I823)&gt;0),ROUND(I823/(H823/100)^2,1),"")</f>
        <v/>
      </c>
      <c r="K823" s="27"/>
      <c r="L823" s="27"/>
      <c r="M823" s="27"/>
      <c r="N823" s="27"/>
      <c r="O823" s="27"/>
      <c r="P823" s="27"/>
      <c r="Q823" s="27"/>
      <c r="R823" s="29"/>
      <c r="S823" s="29"/>
      <c r="T823" s="27"/>
      <c r="U823" s="28" t="str">
        <f aca="false">IF(N(T823)=0,"",IF(T823&lt;12,"Under 12 months",IF(T823&lt;36,"12-35 months",IF(T823&lt;60,"36-59 months","≥60 months"))))</f>
        <v/>
      </c>
      <c r="V823" s="27"/>
      <c r="W823" s="30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9"/>
      <c r="AT823" s="30"/>
      <c r="AU823" s="30"/>
      <c r="AV823" s="30"/>
      <c r="AW823" s="27"/>
      <c r="AX823" s="27"/>
      <c r="AY823" s="29"/>
      <c r="AZ823" s="27"/>
      <c r="BA823" s="27"/>
      <c r="BB823" s="29"/>
      <c r="BC823" s="30"/>
      <c r="BD823" s="30"/>
      <c r="BE823" s="30"/>
      <c r="BF823" s="27"/>
      <c r="BG823" s="27"/>
      <c r="BH823" s="28" t="str">
        <f aca="false">IF(COUNT(BC823:BE823)=0,"",IF(MIN(BC823:BE823)&lt;=-2.5,"Yes","No"))</f>
        <v/>
      </c>
      <c r="BI823" s="27"/>
      <c r="BJ823" s="29"/>
      <c r="BK823" s="27"/>
      <c r="BL823" s="27"/>
      <c r="BM823" s="27"/>
      <c r="BN823" s="28" t="str">
        <f aca="false">IF(OR(AX823="Yes",BI823="Yes"),"Yes",IF(AND(AX823="No",BI823="No"),"No",IF(AND(AX823="",BI823=""),"","Unknown")))</f>
        <v/>
      </c>
      <c r="BO823" s="31" t="str">
        <f aca="false">IF(COUNT(AY823,BJ823)=0,"",MIN(AY823,BJ823))</f>
        <v/>
      </c>
      <c r="BP823" s="29"/>
      <c r="BQ823" s="29"/>
      <c r="BR823" s="29"/>
      <c r="BS823" s="28" t="str">
        <f aca="false">IF(AND(N(BP823)&gt;0,N(BR823)&gt;0),BR823-BP823,"")</f>
        <v/>
      </c>
      <c r="BT823" s="28" t="str">
        <f aca="false">IF(BS823="","",ROUND(BS823/365.25,2))</f>
        <v/>
      </c>
      <c r="BU823" s="28" t="str">
        <f aca="false">IF(BS823="","",IF(BS823&gt;=730.5,"Yes","No"))</f>
        <v/>
      </c>
      <c r="BV823" s="27"/>
      <c r="BW823" s="29"/>
      <c r="BX823" s="27"/>
      <c r="BY823" s="27"/>
      <c r="BZ823" s="28" t="str">
        <f aca="false">IF(N(E823)=0,"",IF(E823&lt;65,"Under 65","≥65"))</f>
        <v/>
      </c>
      <c r="CA823" s="28" t="str">
        <f aca="false">IF(OR(AC823="Yes",AC823="No"),AC823,"")</f>
        <v/>
      </c>
      <c r="CB823" s="28" t="str">
        <f aca="false">IF(OR(AD823="Yes",AD823="No"),AD823,"")</f>
        <v/>
      </c>
      <c r="CC823" s="28" t="str">
        <f aca="false">IF(F823="","",F823)</f>
        <v/>
      </c>
      <c r="CD823" s="27"/>
      <c r="CE823" s="27"/>
    </row>
    <row r="824" customFormat="false" ht="15" hidden="false" customHeight="false" outlineLevel="0" collapsed="false">
      <c r="A824" s="27"/>
      <c r="B824" s="27"/>
      <c r="C824" s="27"/>
      <c r="D824" s="27"/>
      <c r="E824" s="27"/>
      <c r="F824" s="27"/>
      <c r="G824" s="27"/>
      <c r="H824" s="27"/>
      <c r="I824" s="27"/>
      <c r="J824" s="28" t="str">
        <f aca="false">IF(AND(N(H824)&gt;0,N(I824)&gt;0),ROUND(I824/(H824/100)^2,1),"")</f>
        <v/>
      </c>
      <c r="K824" s="27"/>
      <c r="L824" s="27"/>
      <c r="M824" s="27"/>
      <c r="N824" s="27"/>
      <c r="O824" s="27"/>
      <c r="P824" s="27"/>
      <c r="Q824" s="27"/>
      <c r="R824" s="29"/>
      <c r="S824" s="29"/>
      <c r="T824" s="27"/>
      <c r="U824" s="28" t="str">
        <f aca="false">IF(N(T824)=0,"",IF(T824&lt;12,"Under 12 months",IF(T824&lt;36,"12-35 months",IF(T824&lt;60,"36-59 months","≥60 months"))))</f>
        <v/>
      </c>
      <c r="V824" s="27"/>
      <c r="W824" s="30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9"/>
      <c r="AT824" s="30"/>
      <c r="AU824" s="30"/>
      <c r="AV824" s="30"/>
      <c r="AW824" s="27"/>
      <c r="AX824" s="27"/>
      <c r="AY824" s="29"/>
      <c r="AZ824" s="27"/>
      <c r="BA824" s="27"/>
      <c r="BB824" s="29"/>
      <c r="BC824" s="30"/>
      <c r="BD824" s="30"/>
      <c r="BE824" s="30"/>
      <c r="BF824" s="27"/>
      <c r="BG824" s="27"/>
      <c r="BH824" s="28" t="str">
        <f aca="false">IF(COUNT(BC824:BE824)=0,"",IF(MIN(BC824:BE824)&lt;=-2.5,"Yes","No"))</f>
        <v/>
      </c>
      <c r="BI824" s="27"/>
      <c r="BJ824" s="29"/>
      <c r="BK824" s="27"/>
      <c r="BL824" s="27"/>
      <c r="BM824" s="27"/>
      <c r="BN824" s="28" t="str">
        <f aca="false">IF(OR(AX824="Yes",BI824="Yes"),"Yes",IF(AND(AX824="No",BI824="No"),"No",IF(AND(AX824="",BI824=""),"","Unknown")))</f>
        <v/>
      </c>
      <c r="BO824" s="31" t="str">
        <f aca="false">IF(COUNT(AY824,BJ824)=0,"",MIN(AY824,BJ824))</f>
        <v/>
      </c>
      <c r="BP824" s="29"/>
      <c r="BQ824" s="29"/>
      <c r="BR824" s="29"/>
      <c r="BS824" s="28" t="str">
        <f aca="false">IF(AND(N(BP824)&gt;0,N(BR824)&gt;0),BR824-BP824,"")</f>
        <v/>
      </c>
      <c r="BT824" s="28" t="str">
        <f aca="false">IF(BS824="","",ROUND(BS824/365.25,2))</f>
        <v/>
      </c>
      <c r="BU824" s="28" t="str">
        <f aca="false">IF(BS824="","",IF(BS824&gt;=730.5,"Yes","No"))</f>
        <v/>
      </c>
      <c r="BV824" s="27"/>
      <c r="BW824" s="29"/>
      <c r="BX824" s="27"/>
      <c r="BY824" s="27"/>
      <c r="BZ824" s="28" t="str">
        <f aca="false">IF(N(E824)=0,"",IF(E824&lt;65,"Under 65","≥65"))</f>
        <v/>
      </c>
      <c r="CA824" s="28" t="str">
        <f aca="false">IF(OR(AC824="Yes",AC824="No"),AC824,"")</f>
        <v/>
      </c>
      <c r="CB824" s="28" t="str">
        <f aca="false">IF(OR(AD824="Yes",AD824="No"),AD824,"")</f>
        <v/>
      </c>
      <c r="CC824" s="28" t="str">
        <f aca="false">IF(F824="","",F824)</f>
        <v/>
      </c>
      <c r="CD824" s="27"/>
      <c r="CE824" s="27"/>
    </row>
    <row r="825" customFormat="false" ht="15" hidden="false" customHeight="false" outlineLevel="0" collapsed="false">
      <c r="A825" s="27"/>
      <c r="B825" s="27"/>
      <c r="C825" s="27"/>
      <c r="D825" s="27"/>
      <c r="E825" s="27"/>
      <c r="F825" s="27"/>
      <c r="G825" s="27"/>
      <c r="H825" s="27"/>
      <c r="I825" s="27"/>
      <c r="J825" s="28" t="str">
        <f aca="false">IF(AND(N(H825)&gt;0,N(I825)&gt;0),ROUND(I825/(H825/100)^2,1),"")</f>
        <v/>
      </c>
      <c r="K825" s="27"/>
      <c r="L825" s="27"/>
      <c r="M825" s="27"/>
      <c r="N825" s="27"/>
      <c r="O825" s="27"/>
      <c r="P825" s="27"/>
      <c r="Q825" s="27"/>
      <c r="R825" s="29"/>
      <c r="S825" s="29"/>
      <c r="T825" s="27"/>
      <c r="U825" s="28" t="str">
        <f aca="false">IF(N(T825)=0,"",IF(T825&lt;12,"Under 12 months",IF(T825&lt;36,"12-35 months",IF(T825&lt;60,"36-59 months","≥60 months"))))</f>
        <v/>
      </c>
      <c r="V825" s="27"/>
      <c r="W825" s="30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9"/>
      <c r="AT825" s="30"/>
      <c r="AU825" s="30"/>
      <c r="AV825" s="30"/>
      <c r="AW825" s="27"/>
      <c r="AX825" s="27"/>
      <c r="AY825" s="29"/>
      <c r="AZ825" s="27"/>
      <c r="BA825" s="27"/>
      <c r="BB825" s="29"/>
      <c r="BC825" s="30"/>
      <c r="BD825" s="30"/>
      <c r="BE825" s="30"/>
      <c r="BF825" s="27"/>
      <c r="BG825" s="27"/>
      <c r="BH825" s="28" t="str">
        <f aca="false">IF(COUNT(BC825:BE825)=0,"",IF(MIN(BC825:BE825)&lt;=-2.5,"Yes","No"))</f>
        <v/>
      </c>
      <c r="BI825" s="27"/>
      <c r="BJ825" s="29"/>
      <c r="BK825" s="27"/>
      <c r="BL825" s="27"/>
      <c r="BM825" s="27"/>
      <c r="BN825" s="28" t="str">
        <f aca="false">IF(OR(AX825="Yes",BI825="Yes"),"Yes",IF(AND(AX825="No",BI825="No"),"No",IF(AND(AX825="",BI825=""),"","Unknown")))</f>
        <v/>
      </c>
      <c r="BO825" s="31" t="str">
        <f aca="false">IF(COUNT(AY825,BJ825)=0,"",MIN(AY825,BJ825))</f>
        <v/>
      </c>
      <c r="BP825" s="29"/>
      <c r="BQ825" s="29"/>
      <c r="BR825" s="29"/>
      <c r="BS825" s="28" t="str">
        <f aca="false">IF(AND(N(BP825)&gt;0,N(BR825)&gt;0),BR825-BP825,"")</f>
        <v/>
      </c>
      <c r="BT825" s="28" t="str">
        <f aca="false">IF(BS825="","",ROUND(BS825/365.25,2))</f>
        <v/>
      </c>
      <c r="BU825" s="28" t="str">
        <f aca="false">IF(BS825="","",IF(BS825&gt;=730.5,"Yes","No"))</f>
        <v/>
      </c>
      <c r="BV825" s="27"/>
      <c r="BW825" s="29"/>
      <c r="BX825" s="27"/>
      <c r="BY825" s="27"/>
      <c r="BZ825" s="28" t="str">
        <f aca="false">IF(N(E825)=0,"",IF(E825&lt;65,"Under 65","≥65"))</f>
        <v/>
      </c>
      <c r="CA825" s="28" t="str">
        <f aca="false">IF(OR(AC825="Yes",AC825="No"),AC825,"")</f>
        <v/>
      </c>
      <c r="CB825" s="28" t="str">
        <f aca="false">IF(OR(AD825="Yes",AD825="No"),AD825,"")</f>
        <v/>
      </c>
      <c r="CC825" s="28" t="str">
        <f aca="false">IF(F825="","",F825)</f>
        <v/>
      </c>
      <c r="CD825" s="27"/>
      <c r="CE825" s="27"/>
    </row>
    <row r="826" customFormat="false" ht="15" hidden="false" customHeight="false" outlineLevel="0" collapsed="false">
      <c r="A826" s="27"/>
      <c r="B826" s="27"/>
      <c r="C826" s="27"/>
      <c r="D826" s="27"/>
      <c r="E826" s="27"/>
      <c r="F826" s="27"/>
      <c r="G826" s="27"/>
      <c r="H826" s="27"/>
      <c r="I826" s="27"/>
      <c r="J826" s="28" t="str">
        <f aca="false">IF(AND(N(H826)&gt;0,N(I826)&gt;0),ROUND(I826/(H826/100)^2,1),"")</f>
        <v/>
      </c>
      <c r="K826" s="27"/>
      <c r="L826" s="27"/>
      <c r="M826" s="27"/>
      <c r="N826" s="27"/>
      <c r="O826" s="27"/>
      <c r="P826" s="27"/>
      <c r="Q826" s="27"/>
      <c r="R826" s="29"/>
      <c r="S826" s="29"/>
      <c r="T826" s="27"/>
      <c r="U826" s="28" t="str">
        <f aca="false">IF(N(T826)=0,"",IF(T826&lt;12,"Under 12 months",IF(T826&lt;36,"12-35 months",IF(T826&lt;60,"36-59 months","≥60 months"))))</f>
        <v/>
      </c>
      <c r="V826" s="27"/>
      <c r="W826" s="30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9"/>
      <c r="AT826" s="30"/>
      <c r="AU826" s="30"/>
      <c r="AV826" s="30"/>
      <c r="AW826" s="27"/>
      <c r="AX826" s="27"/>
      <c r="AY826" s="29"/>
      <c r="AZ826" s="27"/>
      <c r="BA826" s="27"/>
      <c r="BB826" s="29"/>
      <c r="BC826" s="30"/>
      <c r="BD826" s="30"/>
      <c r="BE826" s="30"/>
      <c r="BF826" s="27"/>
      <c r="BG826" s="27"/>
      <c r="BH826" s="28" t="str">
        <f aca="false">IF(COUNT(BC826:BE826)=0,"",IF(MIN(BC826:BE826)&lt;=-2.5,"Yes","No"))</f>
        <v/>
      </c>
      <c r="BI826" s="27"/>
      <c r="BJ826" s="29"/>
      <c r="BK826" s="27"/>
      <c r="BL826" s="27"/>
      <c r="BM826" s="27"/>
      <c r="BN826" s="28" t="str">
        <f aca="false">IF(OR(AX826="Yes",BI826="Yes"),"Yes",IF(AND(AX826="No",BI826="No"),"No",IF(AND(AX826="",BI826=""),"","Unknown")))</f>
        <v/>
      </c>
      <c r="BO826" s="31" t="str">
        <f aca="false">IF(COUNT(AY826,BJ826)=0,"",MIN(AY826,BJ826))</f>
        <v/>
      </c>
      <c r="BP826" s="29"/>
      <c r="BQ826" s="29"/>
      <c r="BR826" s="29"/>
      <c r="BS826" s="28" t="str">
        <f aca="false">IF(AND(N(BP826)&gt;0,N(BR826)&gt;0),BR826-BP826,"")</f>
        <v/>
      </c>
      <c r="BT826" s="28" t="str">
        <f aca="false">IF(BS826="","",ROUND(BS826/365.25,2))</f>
        <v/>
      </c>
      <c r="BU826" s="28" t="str">
        <f aca="false">IF(BS826="","",IF(BS826&gt;=730.5,"Yes","No"))</f>
        <v/>
      </c>
      <c r="BV826" s="27"/>
      <c r="BW826" s="29"/>
      <c r="BX826" s="27"/>
      <c r="BY826" s="27"/>
      <c r="BZ826" s="28" t="str">
        <f aca="false">IF(N(E826)=0,"",IF(E826&lt;65,"Under 65","≥65"))</f>
        <v/>
      </c>
      <c r="CA826" s="28" t="str">
        <f aca="false">IF(OR(AC826="Yes",AC826="No"),AC826,"")</f>
        <v/>
      </c>
      <c r="CB826" s="28" t="str">
        <f aca="false">IF(OR(AD826="Yes",AD826="No"),AD826,"")</f>
        <v/>
      </c>
      <c r="CC826" s="28" t="str">
        <f aca="false">IF(F826="","",F826)</f>
        <v/>
      </c>
      <c r="CD826" s="27"/>
      <c r="CE826" s="27"/>
    </row>
    <row r="827" customFormat="false" ht="15" hidden="false" customHeight="false" outlineLevel="0" collapsed="false">
      <c r="A827" s="27"/>
      <c r="B827" s="27"/>
      <c r="C827" s="27"/>
      <c r="D827" s="27"/>
      <c r="E827" s="27"/>
      <c r="F827" s="27"/>
      <c r="G827" s="27"/>
      <c r="H827" s="27"/>
      <c r="I827" s="27"/>
      <c r="J827" s="28" t="str">
        <f aca="false">IF(AND(N(H827)&gt;0,N(I827)&gt;0),ROUND(I827/(H827/100)^2,1),"")</f>
        <v/>
      </c>
      <c r="K827" s="27"/>
      <c r="L827" s="27"/>
      <c r="M827" s="27"/>
      <c r="N827" s="27"/>
      <c r="O827" s="27"/>
      <c r="P827" s="27"/>
      <c r="Q827" s="27"/>
      <c r="R827" s="29"/>
      <c r="S827" s="29"/>
      <c r="T827" s="27"/>
      <c r="U827" s="28" t="str">
        <f aca="false">IF(N(T827)=0,"",IF(T827&lt;12,"Under 12 months",IF(T827&lt;36,"12-35 months",IF(T827&lt;60,"36-59 months","≥60 months"))))</f>
        <v/>
      </c>
      <c r="V827" s="27"/>
      <c r="W827" s="30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9"/>
      <c r="AT827" s="30"/>
      <c r="AU827" s="30"/>
      <c r="AV827" s="30"/>
      <c r="AW827" s="27"/>
      <c r="AX827" s="27"/>
      <c r="AY827" s="29"/>
      <c r="AZ827" s="27"/>
      <c r="BA827" s="27"/>
      <c r="BB827" s="29"/>
      <c r="BC827" s="30"/>
      <c r="BD827" s="30"/>
      <c r="BE827" s="30"/>
      <c r="BF827" s="27"/>
      <c r="BG827" s="27"/>
      <c r="BH827" s="28" t="str">
        <f aca="false">IF(COUNT(BC827:BE827)=0,"",IF(MIN(BC827:BE827)&lt;=-2.5,"Yes","No"))</f>
        <v/>
      </c>
      <c r="BI827" s="27"/>
      <c r="BJ827" s="29"/>
      <c r="BK827" s="27"/>
      <c r="BL827" s="27"/>
      <c r="BM827" s="27"/>
      <c r="BN827" s="28" t="str">
        <f aca="false">IF(OR(AX827="Yes",BI827="Yes"),"Yes",IF(AND(AX827="No",BI827="No"),"No",IF(AND(AX827="",BI827=""),"","Unknown")))</f>
        <v/>
      </c>
      <c r="BO827" s="31" t="str">
        <f aca="false">IF(COUNT(AY827,BJ827)=0,"",MIN(AY827,BJ827))</f>
        <v/>
      </c>
      <c r="BP827" s="29"/>
      <c r="BQ827" s="29"/>
      <c r="BR827" s="29"/>
      <c r="BS827" s="28" t="str">
        <f aca="false">IF(AND(N(BP827)&gt;0,N(BR827)&gt;0),BR827-BP827,"")</f>
        <v/>
      </c>
      <c r="BT827" s="28" t="str">
        <f aca="false">IF(BS827="","",ROUND(BS827/365.25,2))</f>
        <v/>
      </c>
      <c r="BU827" s="28" t="str">
        <f aca="false">IF(BS827="","",IF(BS827&gt;=730.5,"Yes","No"))</f>
        <v/>
      </c>
      <c r="BV827" s="27"/>
      <c r="BW827" s="29"/>
      <c r="BX827" s="27"/>
      <c r="BY827" s="27"/>
      <c r="BZ827" s="28" t="str">
        <f aca="false">IF(N(E827)=0,"",IF(E827&lt;65,"Under 65","≥65"))</f>
        <v/>
      </c>
      <c r="CA827" s="28" t="str">
        <f aca="false">IF(OR(AC827="Yes",AC827="No"),AC827,"")</f>
        <v/>
      </c>
      <c r="CB827" s="28" t="str">
        <f aca="false">IF(OR(AD827="Yes",AD827="No"),AD827,"")</f>
        <v/>
      </c>
      <c r="CC827" s="28" t="str">
        <f aca="false">IF(F827="","",F827)</f>
        <v/>
      </c>
      <c r="CD827" s="27"/>
      <c r="CE827" s="27"/>
    </row>
    <row r="828" customFormat="false" ht="15" hidden="false" customHeight="false" outlineLevel="0" collapsed="false">
      <c r="A828" s="27"/>
      <c r="B828" s="27"/>
      <c r="C828" s="27"/>
      <c r="D828" s="27"/>
      <c r="E828" s="27"/>
      <c r="F828" s="27"/>
      <c r="G828" s="27"/>
      <c r="H828" s="27"/>
      <c r="I828" s="27"/>
      <c r="J828" s="28" t="str">
        <f aca="false">IF(AND(N(H828)&gt;0,N(I828)&gt;0),ROUND(I828/(H828/100)^2,1),"")</f>
        <v/>
      </c>
      <c r="K828" s="27"/>
      <c r="L828" s="27"/>
      <c r="M828" s="27"/>
      <c r="N828" s="27"/>
      <c r="O828" s="27"/>
      <c r="P828" s="27"/>
      <c r="Q828" s="27"/>
      <c r="R828" s="29"/>
      <c r="S828" s="29"/>
      <c r="T828" s="27"/>
      <c r="U828" s="28" t="str">
        <f aca="false">IF(N(T828)=0,"",IF(T828&lt;12,"Under 12 months",IF(T828&lt;36,"12-35 months",IF(T828&lt;60,"36-59 months","≥60 months"))))</f>
        <v/>
      </c>
      <c r="V828" s="27"/>
      <c r="W828" s="30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9"/>
      <c r="AT828" s="30"/>
      <c r="AU828" s="30"/>
      <c r="AV828" s="30"/>
      <c r="AW828" s="27"/>
      <c r="AX828" s="27"/>
      <c r="AY828" s="29"/>
      <c r="AZ828" s="27"/>
      <c r="BA828" s="27"/>
      <c r="BB828" s="29"/>
      <c r="BC828" s="30"/>
      <c r="BD828" s="30"/>
      <c r="BE828" s="30"/>
      <c r="BF828" s="27"/>
      <c r="BG828" s="27"/>
      <c r="BH828" s="28" t="str">
        <f aca="false">IF(COUNT(BC828:BE828)=0,"",IF(MIN(BC828:BE828)&lt;=-2.5,"Yes","No"))</f>
        <v/>
      </c>
      <c r="BI828" s="27"/>
      <c r="BJ828" s="29"/>
      <c r="BK828" s="27"/>
      <c r="BL828" s="27"/>
      <c r="BM828" s="27"/>
      <c r="BN828" s="28" t="str">
        <f aca="false">IF(OR(AX828="Yes",BI828="Yes"),"Yes",IF(AND(AX828="No",BI828="No"),"No",IF(AND(AX828="",BI828=""),"","Unknown")))</f>
        <v/>
      </c>
      <c r="BO828" s="31" t="str">
        <f aca="false">IF(COUNT(AY828,BJ828)=0,"",MIN(AY828,BJ828))</f>
        <v/>
      </c>
      <c r="BP828" s="29"/>
      <c r="BQ828" s="29"/>
      <c r="BR828" s="29"/>
      <c r="BS828" s="28" t="str">
        <f aca="false">IF(AND(N(BP828)&gt;0,N(BR828)&gt;0),BR828-BP828,"")</f>
        <v/>
      </c>
      <c r="BT828" s="28" t="str">
        <f aca="false">IF(BS828="","",ROUND(BS828/365.25,2))</f>
        <v/>
      </c>
      <c r="BU828" s="28" t="str">
        <f aca="false">IF(BS828="","",IF(BS828&gt;=730.5,"Yes","No"))</f>
        <v/>
      </c>
      <c r="BV828" s="27"/>
      <c r="BW828" s="29"/>
      <c r="BX828" s="27"/>
      <c r="BY828" s="27"/>
      <c r="BZ828" s="28" t="str">
        <f aca="false">IF(N(E828)=0,"",IF(E828&lt;65,"Under 65","≥65"))</f>
        <v/>
      </c>
      <c r="CA828" s="28" t="str">
        <f aca="false">IF(OR(AC828="Yes",AC828="No"),AC828,"")</f>
        <v/>
      </c>
      <c r="CB828" s="28" t="str">
        <f aca="false">IF(OR(AD828="Yes",AD828="No"),AD828,"")</f>
        <v/>
      </c>
      <c r="CC828" s="28" t="str">
        <f aca="false">IF(F828="","",F828)</f>
        <v/>
      </c>
      <c r="CD828" s="27"/>
      <c r="CE828" s="27"/>
    </row>
    <row r="829" customFormat="false" ht="15" hidden="false" customHeight="false" outlineLevel="0" collapsed="false">
      <c r="A829" s="27"/>
      <c r="B829" s="27"/>
      <c r="C829" s="27"/>
      <c r="D829" s="27"/>
      <c r="E829" s="27"/>
      <c r="F829" s="27"/>
      <c r="G829" s="27"/>
      <c r="H829" s="27"/>
      <c r="I829" s="27"/>
      <c r="J829" s="28" t="str">
        <f aca="false">IF(AND(N(H829)&gt;0,N(I829)&gt;0),ROUND(I829/(H829/100)^2,1),"")</f>
        <v/>
      </c>
      <c r="K829" s="27"/>
      <c r="L829" s="27"/>
      <c r="M829" s="27"/>
      <c r="N829" s="27"/>
      <c r="O829" s="27"/>
      <c r="P829" s="27"/>
      <c r="Q829" s="27"/>
      <c r="R829" s="29"/>
      <c r="S829" s="29"/>
      <c r="T829" s="27"/>
      <c r="U829" s="28" t="str">
        <f aca="false">IF(N(T829)=0,"",IF(T829&lt;12,"Under 12 months",IF(T829&lt;36,"12-35 months",IF(T829&lt;60,"36-59 months","≥60 months"))))</f>
        <v/>
      </c>
      <c r="V829" s="27"/>
      <c r="W829" s="30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9"/>
      <c r="AT829" s="30"/>
      <c r="AU829" s="30"/>
      <c r="AV829" s="30"/>
      <c r="AW829" s="27"/>
      <c r="AX829" s="27"/>
      <c r="AY829" s="29"/>
      <c r="AZ829" s="27"/>
      <c r="BA829" s="27"/>
      <c r="BB829" s="29"/>
      <c r="BC829" s="30"/>
      <c r="BD829" s="30"/>
      <c r="BE829" s="30"/>
      <c r="BF829" s="27"/>
      <c r="BG829" s="27"/>
      <c r="BH829" s="28" t="str">
        <f aca="false">IF(COUNT(BC829:BE829)=0,"",IF(MIN(BC829:BE829)&lt;=-2.5,"Yes","No"))</f>
        <v/>
      </c>
      <c r="BI829" s="27"/>
      <c r="BJ829" s="29"/>
      <c r="BK829" s="27"/>
      <c r="BL829" s="27"/>
      <c r="BM829" s="27"/>
      <c r="BN829" s="28" t="str">
        <f aca="false">IF(OR(AX829="Yes",BI829="Yes"),"Yes",IF(AND(AX829="No",BI829="No"),"No",IF(AND(AX829="",BI829=""),"","Unknown")))</f>
        <v/>
      </c>
      <c r="BO829" s="31" t="str">
        <f aca="false">IF(COUNT(AY829,BJ829)=0,"",MIN(AY829,BJ829))</f>
        <v/>
      </c>
      <c r="BP829" s="29"/>
      <c r="BQ829" s="29"/>
      <c r="BR829" s="29"/>
      <c r="BS829" s="28" t="str">
        <f aca="false">IF(AND(N(BP829)&gt;0,N(BR829)&gt;0),BR829-BP829,"")</f>
        <v/>
      </c>
      <c r="BT829" s="28" t="str">
        <f aca="false">IF(BS829="","",ROUND(BS829/365.25,2))</f>
        <v/>
      </c>
      <c r="BU829" s="28" t="str">
        <f aca="false">IF(BS829="","",IF(BS829&gt;=730.5,"Yes","No"))</f>
        <v/>
      </c>
      <c r="BV829" s="27"/>
      <c r="BW829" s="29"/>
      <c r="BX829" s="27"/>
      <c r="BY829" s="27"/>
      <c r="BZ829" s="28" t="str">
        <f aca="false">IF(N(E829)=0,"",IF(E829&lt;65,"Under 65","≥65"))</f>
        <v/>
      </c>
      <c r="CA829" s="28" t="str">
        <f aca="false">IF(OR(AC829="Yes",AC829="No"),AC829,"")</f>
        <v/>
      </c>
      <c r="CB829" s="28" t="str">
        <f aca="false">IF(OR(AD829="Yes",AD829="No"),AD829,"")</f>
        <v/>
      </c>
      <c r="CC829" s="28" t="str">
        <f aca="false">IF(F829="","",F829)</f>
        <v/>
      </c>
      <c r="CD829" s="27"/>
      <c r="CE829" s="27"/>
    </row>
    <row r="830" customFormat="false" ht="15" hidden="false" customHeight="false" outlineLevel="0" collapsed="false">
      <c r="A830" s="27"/>
      <c r="B830" s="27"/>
      <c r="C830" s="27"/>
      <c r="D830" s="27"/>
      <c r="E830" s="27"/>
      <c r="F830" s="27"/>
      <c r="G830" s="27"/>
      <c r="H830" s="27"/>
      <c r="I830" s="27"/>
      <c r="J830" s="28" t="str">
        <f aca="false">IF(AND(N(H830)&gt;0,N(I830)&gt;0),ROUND(I830/(H830/100)^2,1),"")</f>
        <v/>
      </c>
      <c r="K830" s="27"/>
      <c r="L830" s="27"/>
      <c r="M830" s="27"/>
      <c r="N830" s="27"/>
      <c r="O830" s="27"/>
      <c r="P830" s="27"/>
      <c r="Q830" s="27"/>
      <c r="R830" s="29"/>
      <c r="S830" s="29"/>
      <c r="T830" s="27"/>
      <c r="U830" s="28" t="str">
        <f aca="false">IF(N(T830)=0,"",IF(T830&lt;12,"Under 12 months",IF(T830&lt;36,"12-35 months",IF(T830&lt;60,"36-59 months","≥60 months"))))</f>
        <v/>
      </c>
      <c r="V830" s="27"/>
      <c r="W830" s="30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9"/>
      <c r="AT830" s="30"/>
      <c r="AU830" s="30"/>
      <c r="AV830" s="30"/>
      <c r="AW830" s="27"/>
      <c r="AX830" s="27"/>
      <c r="AY830" s="29"/>
      <c r="AZ830" s="27"/>
      <c r="BA830" s="27"/>
      <c r="BB830" s="29"/>
      <c r="BC830" s="30"/>
      <c r="BD830" s="30"/>
      <c r="BE830" s="30"/>
      <c r="BF830" s="27"/>
      <c r="BG830" s="27"/>
      <c r="BH830" s="28" t="str">
        <f aca="false">IF(COUNT(BC830:BE830)=0,"",IF(MIN(BC830:BE830)&lt;=-2.5,"Yes","No"))</f>
        <v/>
      </c>
      <c r="BI830" s="27"/>
      <c r="BJ830" s="29"/>
      <c r="BK830" s="27"/>
      <c r="BL830" s="27"/>
      <c r="BM830" s="27"/>
      <c r="BN830" s="28" t="str">
        <f aca="false">IF(OR(AX830="Yes",BI830="Yes"),"Yes",IF(AND(AX830="No",BI830="No"),"No",IF(AND(AX830="",BI830=""),"","Unknown")))</f>
        <v/>
      </c>
      <c r="BO830" s="31" t="str">
        <f aca="false">IF(COUNT(AY830,BJ830)=0,"",MIN(AY830,BJ830))</f>
        <v/>
      </c>
      <c r="BP830" s="29"/>
      <c r="BQ830" s="29"/>
      <c r="BR830" s="29"/>
      <c r="BS830" s="28" t="str">
        <f aca="false">IF(AND(N(BP830)&gt;0,N(BR830)&gt;0),BR830-BP830,"")</f>
        <v/>
      </c>
      <c r="BT830" s="28" t="str">
        <f aca="false">IF(BS830="","",ROUND(BS830/365.25,2))</f>
        <v/>
      </c>
      <c r="BU830" s="28" t="str">
        <f aca="false">IF(BS830="","",IF(BS830&gt;=730.5,"Yes","No"))</f>
        <v/>
      </c>
      <c r="BV830" s="27"/>
      <c r="BW830" s="29"/>
      <c r="BX830" s="27"/>
      <c r="BY830" s="27"/>
      <c r="BZ830" s="28" t="str">
        <f aca="false">IF(N(E830)=0,"",IF(E830&lt;65,"Under 65","≥65"))</f>
        <v/>
      </c>
      <c r="CA830" s="28" t="str">
        <f aca="false">IF(OR(AC830="Yes",AC830="No"),AC830,"")</f>
        <v/>
      </c>
      <c r="CB830" s="28" t="str">
        <f aca="false">IF(OR(AD830="Yes",AD830="No"),AD830,"")</f>
        <v/>
      </c>
      <c r="CC830" s="28" t="str">
        <f aca="false">IF(F830="","",F830)</f>
        <v/>
      </c>
      <c r="CD830" s="27"/>
      <c r="CE830" s="27"/>
    </row>
    <row r="831" customFormat="false" ht="15" hidden="false" customHeight="false" outlineLevel="0" collapsed="false">
      <c r="A831" s="27"/>
      <c r="B831" s="27"/>
      <c r="C831" s="27"/>
      <c r="D831" s="27"/>
      <c r="E831" s="27"/>
      <c r="F831" s="27"/>
      <c r="G831" s="27"/>
      <c r="H831" s="27"/>
      <c r="I831" s="27"/>
      <c r="J831" s="28" t="str">
        <f aca="false">IF(AND(N(H831)&gt;0,N(I831)&gt;0),ROUND(I831/(H831/100)^2,1),"")</f>
        <v/>
      </c>
      <c r="K831" s="27"/>
      <c r="L831" s="27"/>
      <c r="M831" s="27"/>
      <c r="N831" s="27"/>
      <c r="O831" s="27"/>
      <c r="P831" s="27"/>
      <c r="Q831" s="27"/>
      <c r="R831" s="29"/>
      <c r="S831" s="29"/>
      <c r="T831" s="27"/>
      <c r="U831" s="28" t="str">
        <f aca="false">IF(N(T831)=0,"",IF(T831&lt;12,"Under 12 months",IF(T831&lt;36,"12-35 months",IF(T831&lt;60,"36-59 months","≥60 months"))))</f>
        <v/>
      </c>
      <c r="V831" s="27"/>
      <c r="W831" s="30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9"/>
      <c r="AT831" s="30"/>
      <c r="AU831" s="30"/>
      <c r="AV831" s="30"/>
      <c r="AW831" s="27"/>
      <c r="AX831" s="27"/>
      <c r="AY831" s="29"/>
      <c r="AZ831" s="27"/>
      <c r="BA831" s="27"/>
      <c r="BB831" s="29"/>
      <c r="BC831" s="30"/>
      <c r="BD831" s="30"/>
      <c r="BE831" s="30"/>
      <c r="BF831" s="27"/>
      <c r="BG831" s="27"/>
      <c r="BH831" s="28" t="str">
        <f aca="false">IF(COUNT(BC831:BE831)=0,"",IF(MIN(BC831:BE831)&lt;=-2.5,"Yes","No"))</f>
        <v/>
      </c>
      <c r="BI831" s="27"/>
      <c r="BJ831" s="29"/>
      <c r="BK831" s="27"/>
      <c r="BL831" s="27"/>
      <c r="BM831" s="27"/>
      <c r="BN831" s="28" t="str">
        <f aca="false">IF(OR(AX831="Yes",BI831="Yes"),"Yes",IF(AND(AX831="No",BI831="No"),"No",IF(AND(AX831="",BI831=""),"","Unknown")))</f>
        <v/>
      </c>
      <c r="BO831" s="31" t="str">
        <f aca="false">IF(COUNT(AY831,BJ831)=0,"",MIN(AY831,BJ831))</f>
        <v/>
      </c>
      <c r="BP831" s="29"/>
      <c r="BQ831" s="29"/>
      <c r="BR831" s="29"/>
      <c r="BS831" s="28" t="str">
        <f aca="false">IF(AND(N(BP831)&gt;0,N(BR831)&gt;0),BR831-BP831,"")</f>
        <v/>
      </c>
      <c r="BT831" s="28" t="str">
        <f aca="false">IF(BS831="","",ROUND(BS831/365.25,2))</f>
        <v/>
      </c>
      <c r="BU831" s="28" t="str">
        <f aca="false">IF(BS831="","",IF(BS831&gt;=730.5,"Yes","No"))</f>
        <v/>
      </c>
      <c r="BV831" s="27"/>
      <c r="BW831" s="29"/>
      <c r="BX831" s="27"/>
      <c r="BY831" s="27"/>
      <c r="BZ831" s="28" t="str">
        <f aca="false">IF(N(E831)=0,"",IF(E831&lt;65,"Under 65","≥65"))</f>
        <v/>
      </c>
      <c r="CA831" s="28" t="str">
        <f aca="false">IF(OR(AC831="Yes",AC831="No"),AC831,"")</f>
        <v/>
      </c>
      <c r="CB831" s="28" t="str">
        <f aca="false">IF(OR(AD831="Yes",AD831="No"),AD831,"")</f>
        <v/>
      </c>
      <c r="CC831" s="28" t="str">
        <f aca="false">IF(F831="","",F831)</f>
        <v/>
      </c>
      <c r="CD831" s="27"/>
      <c r="CE831" s="27"/>
    </row>
    <row r="832" customFormat="false" ht="15" hidden="false" customHeight="false" outlineLevel="0" collapsed="false">
      <c r="A832" s="27"/>
      <c r="B832" s="27"/>
      <c r="C832" s="27"/>
      <c r="D832" s="27"/>
      <c r="E832" s="27"/>
      <c r="F832" s="27"/>
      <c r="G832" s="27"/>
      <c r="H832" s="27"/>
      <c r="I832" s="27"/>
      <c r="J832" s="28" t="str">
        <f aca="false">IF(AND(N(H832)&gt;0,N(I832)&gt;0),ROUND(I832/(H832/100)^2,1),"")</f>
        <v/>
      </c>
      <c r="K832" s="27"/>
      <c r="L832" s="27"/>
      <c r="M832" s="27"/>
      <c r="N832" s="27"/>
      <c r="O832" s="27"/>
      <c r="P832" s="27"/>
      <c r="Q832" s="27"/>
      <c r="R832" s="29"/>
      <c r="S832" s="29"/>
      <c r="T832" s="27"/>
      <c r="U832" s="28" t="str">
        <f aca="false">IF(N(T832)=0,"",IF(T832&lt;12,"Under 12 months",IF(T832&lt;36,"12-35 months",IF(T832&lt;60,"36-59 months","≥60 months"))))</f>
        <v/>
      </c>
      <c r="V832" s="27"/>
      <c r="W832" s="30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9"/>
      <c r="AT832" s="30"/>
      <c r="AU832" s="30"/>
      <c r="AV832" s="30"/>
      <c r="AW832" s="27"/>
      <c r="AX832" s="27"/>
      <c r="AY832" s="29"/>
      <c r="AZ832" s="27"/>
      <c r="BA832" s="27"/>
      <c r="BB832" s="29"/>
      <c r="BC832" s="30"/>
      <c r="BD832" s="30"/>
      <c r="BE832" s="30"/>
      <c r="BF832" s="27"/>
      <c r="BG832" s="27"/>
      <c r="BH832" s="28" t="str">
        <f aca="false">IF(COUNT(BC832:BE832)=0,"",IF(MIN(BC832:BE832)&lt;=-2.5,"Yes","No"))</f>
        <v/>
      </c>
      <c r="BI832" s="27"/>
      <c r="BJ832" s="29"/>
      <c r="BK832" s="27"/>
      <c r="BL832" s="27"/>
      <c r="BM832" s="27"/>
      <c r="BN832" s="28" t="str">
        <f aca="false">IF(OR(AX832="Yes",BI832="Yes"),"Yes",IF(AND(AX832="No",BI832="No"),"No",IF(AND(AX832="",BI832=""),"","Unknown")))</f>
        <v/>
      </c>
      <c r="BO832" s="31" t="str">
        <f aca="false">IF(COUNT(AY832,BJ832)=0,"",MIN(AY832,BJ832))</f>
        <v/>
      </c>
      <c r="BP832" s="29"/>
      <c r="BQ832" s="29"/>
      <c r="BR832" s="29"/>
      <c r="BS832" s="28" t="str">
        <f aca="false">IF(AND(N(BP832)&gt;0,N(BR832)&gt;0),BR832-BP832,"")</f>
        <v/>
      </c>
      <c r="BT832" s="28" t="str">
        <f aca="false">IF(BS832="","",ROUND(BS832/365.25,2))</f>
        <v/>
      </c>
      <c r="BU832" s="28" t="str">
        <f aca="false">IF(BS832="","",IF(BS832&gt;=730.5,"Yes","No"))</f>
        <v/>
      </c>
      <c r="BV832" s="27"/>
      <c r="BW832" s="29"/>
      <c r="BX832" s="27"/>
      <c r="BY832" s="27"/>
      <c r="BZ832" s="28" t="str">
        <f aca="false">IF(N(E832)=0,"",IF(E832&lt;65,"Under 65","≥65"))</f>
        <v/>
      </c>
      <c r="CA832" s="28" t="str">
        <f aca="false">IF(OR(AC832="Yes",AC832="No"),AC832,"")</f>
        <v/>
      </c>
      <c r="CB832" s="28" t="str">
        <f aca="false">IF(OR(AD832="Yes",AD832="No"),AD832,"")</f>
        <v/>
      </c>
      <c r="CC832" s="28" t="str">
        <f aca="false">IF(F832="","",F832)</f>
        <v/>
      </c>
      <c r="CD832" s="27"/>
      <c r="CE832" s="27"/>
    </row>
    <row r="833" customFormat="false" ht="15" hidden="false" customHeight="false" outlineLevel="0" collapsed="false">
      <c r="A833" s="27"/>
      <c r="B833" s="27"/>
      <c r="C833" s="27"/>
      <c r="D833" s="27"/>
      <c r="E833" s="27"/>
      <c r="F833" s="27"/>
      <c r="G833" s="27"/>
      <c r="H833" s="27"/>
      <c r="I833" s="27"/>
      <c r="J833" s="28" t="str">
        <f aca="false">IF(AND(N(H833)&gt;0,N(I833)&gt;0),ROUND(I833/(H833/100)^2,1),"")</f>
        <v/>
      </c>
      <c r="K833" s="27"/>
      <c r="L833" s="27"/>
      <c r="M833" s="27"/>
      <c r="N833" s="27"/>
      <c r="O833" s="27"/>
      <c r="P833" s="27"/>
      <c r="Q833" s="27"/>
      <c r="R833" s="29"/>
      <c r="S833" s="29"/>
      <c r="T833" s="27"/>
      <c r="U833" s="28" t="str">
        <f aca="false">IF(N(T833)=0,"",IF(T833&lt;12,"Under 12 months",IF(T833&lt;36,"12-35 months",IF(T833&lt;60,"36-59 months","≥60 months"))))</f>
        <v/>
      </c>
      <c r="V833" s="27"/>
      <c r="W833" s="30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9"/>
      <c r="AT833" s="30"/>
      <c r="AU833" s="30"/>
      <c r="AV833" s="30"/>
      <c r="AW833" s="27"/>
      <c r="AX833" s="27"/>
      <c r="AY833" s="29"/>
      <c r="AZ833" s="27"/>
      <c r="BA833" s="27"/>
      <c r="BB833" s="29"/>
      <c r="BC833" s="30"/>
      <c r="BD833" s="30"/>
      <c r="BE833" s="30"/>
      <c r="BF833" s="27"/>
      <c r="BG833" s="27"/>
      <c r="BH833" s="28" t="str">
        <f aca="false">IF(COUNT(BC833:BE833)=0,"",IF(MIN(BC833:BE833)&lt;=-2.5,"Yes","No"))</f>
        <v/>
      </c>
      <c r="BI833" s="27"/>
      <c r="BJ833" s="29"/>
      <c r="BK833" s="27"/>
      <c r="BL833" s="27"/>
      <c r="BM833" s="27"/>
      <c r="BN833" s="28" t="str">
        <f aca="false">IF(OR(AX833="Yes",BI833="Yes"),"Yes",IF(AND(AX833="No",BI833="No"),"No",IF(AND(AX833="",BI833=""),"","Unknown")))</f>
        <v/>
      </c>
      <c r="BO833" s="31" t="str">
        <f aca="false">IF(COUNT(AY833,BJ833)=0,"",MIN(AY833,BJ833))</f>
        <v/>
      </c>
      <c r="BP833" s="29"/>
      <c r="BQ833" s="29"/>
      <c r="BR833" s="29"/>
      <c r="BS833" s="28" t="str">
        <f aca="false">IF(AND(N(BP833)&gt;0,N(BR833)&gt;0),BR833-BP833,"")</f>
        <v/>
      </c>
      <c r="BT833" s="28" t="str">
        <f aca="false">IF(BS833="","",ROUND(BS833/365.25,2))</f>
        <v/>
      </c>
      <c r="BU833" s="28" t="str">
        <f aca="false">IF(BS833="","",IF(BS833&gt;=730.5,"Yes","No"))</f>
        <v/>
      </c>
      <c r="BV833" s="27"/>
      <c r="BW833" s="29"/>
      <c r="BX833" s="27"/>
      <c r="BY833" s="27"/>
      <c r="BZ833" s="28" t="str">
        <f aca="false">IF(N(E833)=0,"",IF(E833&lt;65,"Under 65","≥65"))</f>
        <v/>
      </c>
      <c r="CA833" s="28" t="str">
        <f aca="false">IF(OR(AC833="Yes",AC833="No"),AC833,"")</f>
        <v/>
      </c>
      <c r="CB833" s="28" t="str">
        <f aca="false">IF(OR(AD833="Yes",AD833="No"),AD833,"")</f>
        <v/>
      </c>
      <c r="CC833" s="28" t="str">
        <f aca="false">IF(F833="","",F833)</f>
        <v/>
      </c>
      <c r="CD833" s="27"/>
      <c r="CE833" s="27"/>
    </row>
    <row r="834" customFormat="false" ht="15" hidden="false" customHeight="false" outlineLevel="0" collapsed="false">
      <c r="A834" s="27"/>
      <c r="B834" s="27"/>
      <c r="C834" s="27"/>
      <c r="D834" s="27"/>
      <c r="E834" s="27"/>
      <c r="F834" s="27"/>
      <c r="G834" s="27"/>
      <c r="H834" s="27"/>
      <c r="I834" s="27"/>
      <c r="J834" s="28" t="str">
        <f aca="false">IF(AND(N(H834)&gt;0,N(I834)&gt;0),ROUND(I834/(H834/100)^2,1),"")</f>
        <v/>
      </c>
      <c r="K834" s="27"/>
      <c r="L834" s="27"/>
      <c r="M834" s="27"/>
      <c r="N834" s="27"/>
      <c r="O834" s="27"/>
      <c r="P834" s="27"/>
      <c r="Q834" s="27"/>
      <c r="R834" s="29"/>
      <c r="S834" s="29"/>
      <c r="T834" s="27"/>
      <c r="U834" s="28" t="str">
        <f aca="false">IF(N(T834)=0,"",IF(T834&lt;12,"Under 12 months",IF(T834&lt;36,"12-35 months",IF(T834&lt;60,"36-59 months","≥60 months"))))</f>
        <v/>
      </c>
      <c r="V834" s="27"/>
      <c r="W834" s="30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9"/>
      <c r="AT834" s="30"/>
      <c r="AU834" s="30"/>
      <c r="AV834" s="30"/>
      <c r="AW834" s="27"/>
      <c r="AX834" s="27"/>
      <c r="AY834" s="29"/>
      <c r="AZ834" s="27"/>
      <c r="BA834" s="27"/>
      <c r="BB834" s="29"/>
      <c r="BC834" s="30"/>
      <c r="BD834" s="30"/>
      <c r="BE834" s="30"/>
      <c r="BF834" s="27"/>
      <c r="BG834" s="27"/>
      <c r="BH834" s="28" t="str">
        <f aca="false">IF(COUNT(BC834:BE834)=0,"",IF(MIN(BC834:BE834)&lt;=-2.5,"Yes","No"))</f>
        <v/>
      </c>
      <c r="BI834" s="27"/>
      <c r="BJ834" s="29"/>
      <c r="BK834" s="27"/>
      <c r="BL834" s="27"/>
      <c r="BM834" s="27"/>
      <c r="BN834" s="28" t="str">
        <f aca="false">IF(OR(AX834="Yes",BI834="Yes"),"Yes",IF(AND(AX834="No",BI834="No"),"No",IF(AND(AX834="",BI834=""),"","Unknown")))</f>
        <v/>
      </c>
      <c r="BO834" s="31" t="str">
        <f aca="false">IF(COUNT(AY834,BJ834)=0,"",MIN(AY834,BJ834))</f>
        <v/>
      </c>
      <c r="BP834" s="29"/>
      <c r="BQ834" s="29"/>
      <c r="BR834" s="29"/>
      <c r="BS834" s="28" t="str">
        <f aca="false">IF(AND(N(BP834)&gt;0,N(BR834)&gt;0),BR834-BP834,"")</f>
        <v/>
      </c>
      <c r="BT834" s="28" t="str">
        <f aca="false">IF(BS834="","",ROUND(BS834/365.25,2))</f>
        <v/>
      </c>
      <c r="BU834" s="28" t="str">
        <f aca="false">IF(BS834="","",IF(BS834&gt;=730.5,"Yes","No"))</f>
        <v/>
      </c>
      <c r="BV834" s="27"/>
      <c r="BW834" s="29"/>
      <c r="BX834" s="27"/>
      <c r="BY834" s="27"/>
      <c r="BZ834" s="28" t="str">
        <f aca="false">IF(N(E834)=0,"",IF(E834&lt;65,"Under 65","≥65"))</f>
        <v/>
      </c>
      <c r="CA834" s="28" t="str">
        <f aca="false">IF(OR(AC834="Yes",AC834="No"),AC834,"")</f>
        <v/>
      </c>
      <c r="CB834" s="28" t="str">
        <f aca="false">IF(OR(AD834="Yes",AD834="No"),AD834,"")</f>
        <v/>
      </c>
      <c r="CC834" s="28" t="str">
        <f aca="false">IF(F834="","",F834)</f>
        <v/>
      </c>
      <c r="CD834" s="27"/>
      <c r="CE834" s="27"/>
    </row>
    <row r="835" customFormat="false" ht="15" hidden="false" customHeight="false" outlineLevel="0" collapsed="false">
      <c r="A835" s="27"/>
      <c r="B835" s="27"/>
      <c r="C835" s="27"/>
      <c r="D835" s="27"/>
      <c r="E835" s="27"/>
      <c r="F835" s="27"/>
      <c r="G835" s="27"/>
      <c r="H835" s="27"/>
      <c r="I835" s="27"/>
      <c r="J835" s="28" t="str">
        <f aca="false">IF(AND(N(H835)&gt;0,N(I835)&gt;0),ROUND(I835/(H835/100)^2,1),"")</f>
        <v/>
      </c>
      <c r="K835" s="27"/>
      <c r="L835" s="27"/>
      <c r="M835" s="27"/>
      <c r="N835" s="27"/>
      <c r="O835" s="27"/>
      <c r="P835" s="27"/>
      <c r="Q835" s="27"/>
      <c r="R835" s="29"/>
      <c r="S835" s="29"/>
      <c r="T835" s="27"/>
      <c r="U835" s="28" t="str">
        <f aca="false">IF(N(T835)=0,"",IF(T835&lt;12,"Under 12 months",IF(T835&lt;36,"12-35 months",IF(T835&lt;60,"36-59 months","≥60 months"))))</f>
        <v/>
      </c>
      <c r="V835" s="27"/>
      <c r="W835" s="30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9"/>
      <c r="AT835" s="30"/>
      <c r="AU835" s="30"/>
      <c r="AV835" s="30"/>
      <c r="AW835" s="27"/>
      <c r="AX835" s="27"/>
      <c r="AY835" s="29"/>
      <c r="AZ835" s="27"/>
      <c r="BA835" s="27"/>
      <c r="BB835" s="29"/>
      <c r="BC835" s="30"/>
      <c r="BD835" s="30"/>
      <c r="BE835" s="30"/>
      <c r="BF835" s="27"/>
      <c r="BG835" s="27"/>
      <c r="BH835" s="28" t="str">
        <f aca="false">IF(COUNT(BC835:BE835)=0,"",IF(MIN(BC835:BE835)&lt;=-2.5,"Yes","No"))</f>
        <v/>
      </c>
      <c r="BI835" s="27"/>
      <c r="BJ835" s="29"/>
      <c r="BK835" s="27"/>
      <c r="BL835" s="27"/>
      <c r="BM835" s="27"/>
      <c r="BN835" s="28" t="str">
        <f aca="false">IF(OR(AX835="Yes",BI835="Yes"),"Yes",IF(AND(AX835="No",BI835="No"),"No",IF(AND(AX835="",BI835=""),"","Unknown")))</f>
        <v/>
      </c>
      <c r="BO835" s="31" t="str">
        <f aca="false">IF(COUNT(AY835,BJ835)=0,"",MIN(AY835,BJ835))</f>
        <v/>
      </c>
      <c r="BP835" s="29"/>
      <c r="BQ835" s="29"/>
      <c r="BR835" s="29"/>
      <c r="BS835" s="28" t="str">
        <f aca="false">IF(AND(N(BP835)&gt;0,N(BR835)&gt;0),BR835-BP835,"")</f>
        <v/>
      </c>
      <c r="BT835" s="28" t="str">
        <f aca="false">IF(BS835="","",ROUND(BS835/365.25,2))</f>
        <v/>
      </c>
      <c r="BU835" s="28" t="str">
        <f aca="false">IF(BS835="","",IF(BS835&gt;=730.5,"Yes","No"))</f>
        <v/>
      </c>
      <c r="BV835" s="27"/>
      <c r="BW835" s="29"/>
      <c r="BX835" s="27"/>
      <c r="BY835" s="27"/>
      <c r="BZ835" s="28" t="str">
        <f aca="false">IF(N(E835)=0,"",IF(E835&lt;65,"Under 65","≥65"))</f>
        <v/>
      </c>
      <c r="CA835" s="28" t="str">
        <f aca="false">IF(OR(AC835="Yes",AC835="No"),AC835,"")</f>
        <v/>
      </c>
      <c r="CB835" s="28" t="str">
        <f aca="false">IF(OR(AD835="Yes",AD835="No"),AD835,"")</f>
        <v/>
      </c>
      <c r="CC835" s="28" t="str">
        <f aca="false">IF(F835="","",F835)</f>
        <v/>
      </c>
      <c r="CD835" s="27"/>
      <c r="CE835" s="27"/>
    </row>
    <row r="836" customFormat="false" ht="15" hidden="false" customHeight="false" outlineLevel="0" collapsed="false">
      <c r="A836" s="27"/>
      <c r="B836" s="27"/>
      <c r="C836" s="27"/>
      <c r="D836" s="27"/>
      <c r="E836" s="27"/>
      <c r="F836" s="27"/>
      <c r="G836" s="27"/>
      <c r="H836" s="27"/>
      <c r="I836" s="27"/>
      <c r="J836" s="28" t="str">
        <f aca="false">IF(AND(N(H836)&gt;0,N(I836)&gt;0),ROUND(I836/(H836/100)^2,1),"")</f>
        <v/>
      </c>
      <c r="K836" s="27"/>
      <c r="L836" s="27"/>
      <c r="M836" s="27"/>
      <c r="N836" s="27"/>
      <c r="O836" s="27"/>
      <c r="P836" s="27"/>
      <c r="Q836" s="27"/>
      <c r="R836" s="29"/>
      <c r="S836" s="29"/>
      <c r="T836" s="27"/>
      <c r="U836" s="28" t="str">
        <f aca="false">IF(N(T836)=0,"",IF(T836&lt;12,"Under 12 months",IF(T836&lt;36,"12-35 months",IF(T836&lt;60,"36-59 months","≥60 months"))))</f>
        <v/>
      </c>
      <c r="V836" s="27"/>
      <c r="W836" s="30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9"/>
      <c r="AT836" s="30"/>
      <c r="AU836" s="30"/>
      <c r="AV836" s="30"/>
      <c r="AW836" s="27"/>
      <c r="AX836" s="27"/>
      <c r="AY836" s="29"/>
      <c r="AZ836" s="27"/>
      <c r="BA836" s="27"/>
      <c r="BB836" s="29"/>
      <c r="BC836" s="30"/>
      <c r="BD836" s="30"/>
      <c r="BE836" s="30"/>
      <c r="BF836" s="27"/>
      <c r="BG836" s="27"/>
      <c r="BH836" s="28" t="str">
        <f aca="false">IF(COUNT(BC836:BE836)=0,"",IF(MIN(BC836:BE836)&lt;=-2.5,"Yes","No"))</f>
        <v/>
      </c>
      <c r="BI836" s="27"/>
      <c r="BJ836" s="29"/>
      <c r="BK836" s="27"/>
      <c r="BL836" s="27"/>
      <c r="BM836" s="27"/>
      <c r="BN836" s="28" t="str">
        <f aca="false">IF(OR(AX836="Yes",BI836="Yes"),"Yes",IF(AND(AX836="No",BI836="No"),"No",IF(AND(AX836="",BI836=""),"","Unknown")))</f>
        <v/>
      </c>
      <c r="BO836" s="31" t="str">
        <f aca="false">IF(COUNT(AY836,BJ836)=0,"",MIN(AY836,BJ836))</f>
        <v/>
      </c>
      <c r="BP836" s="29"/>
      <c r="BQ836" s="29"/>
      <c r="BR836" s="29"/>
      <c r="BS836" s="28" t="str">
        <f aca="false">IF(AND(N(BP836)&gt;0,N(BR836)&gt;0),BR836-BP836,"")</f>
        <v/>
      </c>
      <c r="BT836" s="28" t="str">
        <f aca="false">IF(BS836="","",ROUND(BS836/365.25,2))</f>
        <v/>
      </c>
      <c r="BU836" s="28" t="str">
        <f aca="false">IF(BS836="","",IF(BS836&gt;=730.5,"Yes","No"))</f>
        <v/>
      </c>
      <c r="BV836" s="27"/>
      <c r="BW836" s="29"/>
      <c r="BX836" s="27"/>
      <c r="BY836" s="27"/>
      <c r="BZ836" s="28" t="str">
        <f aca="false">IF(N(E836)=0,"",IF(E836&lt;65,"Under 65","≥65"))</f>
        <v/>
      </c>
      <c r="CA836" s="28" t="str">
        <f aca="false">IF(OR(AC836="Yes",AC836="No"),AC836,"")</f>
        <v/>
      </c>
      <c r="CB836" s="28" t="str">
        <f aca="false">IF(OR(AD836="Yes",AD836="No"),AD836,"")</f>
        <v/>
      </c>
      <c r="CC836" s="28" t="str">
        <f aca="false">IF(F836="","",F836)</f>
        <v/>
      </c>
      <c r="CD836" s="27"/>
      <c r="CE836" s="27"/>
    </row>
    <row r="837" customFormat="false" ht="15" hidden="false" customHeight="false" outlineLevel="0" collapsed="false">
      <c r="A837" s="27"/>
      <c r="B837" s="27"/>
      <c r="C837" s="27"/>
      <c r="D837" s="27"/>
      <c r="E837" s="27"/>
      <c r="F837" s="27"/>
      <c r="G837" s="27"/>
      <c r="H837" s="27"/>
      <c r="I837" s="27"/>
      <c r="J837" s="28" t="str">
        <f aca="false">IF(AND(N(H837)&gt;0,N(I837)&gt;0),ROUND(I837/(H837/100)^2,1),"")</f>
        <v/>
      </c>
      <c r="K837" s="27"/>
      <c r="L837" s="27"/>
      <c r="M837" s="27"/>
      <c r="N837" s="27"/>
      <c r="O837" s="27"/>
      <c r="P837" s="27"/>
      <c r="Q837" s="27"/>
      <c r="R837" s="29"/>
      <c r="S837" s="29"/>
      <c r="T837" s="27"/>
      <c r="U837" s="28" t="str">
        <f aca="false">IF(N(T837)=0,"",IF(T837&lt;12,"Under 12 months",IF(T837&lt;36,"12-35 months",IF(T837&lt;60,"36-59 months","≥60 months"))))</f>
        <v/>
      </c>
      <c r="V837" s="27"/>
      <c r="W837" s="30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9"/>
      <c r="AT837" s="30"/>
      <c r="AU837" s="30"/>
      <c r="AV837" s="30"/>
      <c r="AW837" s="27"/>
      <c r="AX837" s="27"/>
      <c r="AY837" s="29"/>
      <c r="AZ837" s="27"/>
      <c r="BA837" s="27"/>
      <c r="BB837" s="29"/>
      <c r="BC837" s="30"/>
      <c r="BD837" s="30"/>
      <c r="BE837" s="30"/>
      <c r="BF837" s="27"/>
      <c r="BG837" s="27"/>
      <c r="BH837" s="28" t="str">
        <f aca="false">IF(COUNT(BC837:BE837)=0,"",IF(MIN(BC837:BE837)&lt;=-2.5,"Yes","No"))</f>
        <v/>
      </c>
      <c r="BI837" s="27"/>
      <c r="BJ837" s="29"/>
      <c r="BK837" s="27"/>
      <c r="BL837" s="27"/>
      <c r="BM837" s="27"/>
      <c r="BN837" s="28" t="str">
        <f aca="false">IF(OR(AX837="Yes",BI837="Yes"),"Yes",IF(AND(AX837="No",BI837="No"),"No",IF(AND(AX837="",BI837=""),"","Unknown")))</f>
        <v/>
      </c>
      <c r="BO837" s="31" t="str">
        <f aca="false">IF(COUNT(AY837,BJ837)=0,"",MIN(AY837,BJ837))</f>
        <v/>
      </c>
      <c r="BP837" s="29"/>
      <c r="BQ837" s="29"/>
      <c r="BR837" s="29"/>
      <c r="BS837" s="28" t="str">
        <f aca="false">IF(AND(N(BP837)&gt;0,N(BR837)&gt;0),BR837-BP837,"")</f>
        <v/>
      </c>
      <c r="BT837" s="28" t="str">
        <f aca="false">IF(BS837="","",ROUND(BS837/365.25,2))</f>
        <v/>
      </c>
      <c r="BU837" s="28" t="str">
        <f aca="false">IF(BS837="","",IF(BS837&gt;=730.5,"Yes","No"))</f>
        <v/>
      </c>
      <c r="BV837" s="27"/>
      <c r="BW837" s="29"/>
      <c r="BX837" s="27"/>
      <c r="BY837" s="27"/>
      <c r="BZ837" s="28" t="str">
        <f aca="false">IF(N(E837)=0,"",IF(E837&lt;65,"Under 65","≥65"))</f>
        <v/>
      </c>
      <c r="CA837" s="28" t="str">
        <f aca="false">IF(OR(AC837="Yes",AC837="No"),AC837,"")</f>
        <v/>
      </c>
      <c r="CB837" s="28" t="str">
        <f aca="false">IF(OR(AD837="Yes",AD837="No"),AD837,"")</f>
        <v/>
      </c>
      <c r="CC837" s="28" t="str">
        <f aca="false">IF(F837="","",F837)</f>
        <v/>
      </c>
      <c r="CD837" s="27"/>
      <c r="CE837" s="27"/>
    </row>
    <row r="838" customFormat="false" ht="15" hidden="false" customHeight="false" outlineLevel="0" collapsed="false">
      <c r="A838" s="27"/>
      <c r="B838" s="27"/>
      <c r="C838" s="27"/>
      <c r="D838" s="27"/>
      <c r="E838" s="27"/>
      <c r="F838" s="27"/>
      <c r="G838" s="27"/>
      <c r="H838" s="27"/>
      <c r="I838" s="27"/>
      <c r="J838" s="28" t="str">
        <f aca="false">IF(AND(N(H838)&gt;0,N(I838)&gt;0),ROUND(I838/(H838/100)^2,1),"")</f>
        <v/>
      </c>
      <c r="K838" s="27"/>
      <c r="L838" s="27"/>
      <c r="M838" s="27"/>
      <c r="N838" s="27"/>
      <c r="O838" s="27"/>
      <c r="P838" s="27"/>
      <c r="Q838" s="27"/>
      <c r="R838" s="29"/>
      <c r="S838" s="29"/>
      <c r="T838" s="27"/>
      <c r="U838" s="28" t="str">
        <f aca="false">IF(N(T838)=0,"",IF(T838&lt;12,"Under 12 months",IF(T838&lt;36,"12-35 months",IF(T838&lt;60,"36-59 months","≥60 months"))))</f>
        <v/>
      </c>
      <c r="V838" s="27"/>
      <c r="W838" s="30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9"/>
      <c r="AT838" s="30"/>
      <c r="AU838" s="30"/>
      <c r="AV838" s="30"/>
      <c r="AW838" s="27"/>
      <c r="AX838" s="27"/>
      <c r="AY838" s="29"/>
      <c r="AZ838" s="27"/>
      <c r="BA838" s="27"/>
      <c r="BB838" s="29"/>
      <c r="BC838" s="30"/>
      <c r="BD838" s="30"/>
      <c r="BE838" s="30"/>
      <c r="BF838" s="27"/>
      <c r="BG838" s="27"/>
      <c r="BH838" s="28" t="str">
        <f aca="false">IF(COUNT(BC838:BE838)=0,"",IF(MIN(BC838:BE838)&lt;=-2.5,"Yes","No"))</f>
        <v/>
      </c>
      <c r="BI838" s="27"/>
      <c r="BJ838" s="29"/>
      <c r="BK838" s="27"/>
      <c r="BL838" s="27"/>
      <c r="BM838" s="27"/>
      <c r="BN838" s="28" t="str">
        <f aca="false">IF(OR(AX838="Yes",BI838="Yes"),"Yes",IF(AND(AX838="No",BI838="No"),"No",IF(AND(AX838="",BI838=""),"","Unknown")))</f>
        <v/>
      </c>
      <c r="BO838" s="31" t="str">
        <f aca="false">IF(COUNT(AY838,BJ838)=0,"",MIN(AY838,BJ838))</f>
        <v/>
      </c>
      <c r="BP838" s="29"/>
      <c r="BQ838" s="29"/>
      <c r="BR838" s="29"/>
      <c r="BS838" s="28" t="str">
        <f aca="false">IF(AND(N(BP838)&gt;0,N(BR838)&gt;0),BR838-BP838,"")</f>
        <v/>
      </c>
      <c r="BT838" s="28" t="str">
        <f aca="false">IF(BS838="","",ROUND(BS838/365.25,2))</f>
        <v/>
      </c>
      <c r="BU838" s="28" t="str">
        <f aca="false">IF(BS838="","",IF(BS838&gt;=730.5,"Yes","No"))</f>
        <v/>
      </c>
      <c r="BV838" s="27"/>
      <c r="BW838" s="29"/>
      <c r="BX838" s="27"/>
      <c r="BY838" s="27"/>
      <c r="BZ838" s="28" t="str">
        <f aca="false">IF(N(E838)=0,"",IF(E838&lt;65,"Under 65","≥65"))</f>
        <v/>
      </c>
      <c r="CA838" s="28" t="str">
        <f aca="false">IF(OR(AC838="Yes",AC838="No"),AC838,"")</f>
        <v/>
      </c>
      <c r="CB838" s="28" t="str">
        <f aca="false">IF(OR(AD838="Yes",AD838="No"),AD838,"")</f>
        <v/>
      </c>
      <c r="CC838" s="28" t="str">
        <f aca="false">IF(F838="","",F838)</f>
        <v/>
      </c>
      <c r="CD838" s="27"/>
      <c r="CE838" s="27"/>
    </row>
    <row r="839" customFormat="false" ht="15" hidden="false" customHeight="false" outlineLevel="0" collapsed="false">
      <c r="A839" s="27"/>
      <c r="B839" s="27"/>
      <c r="C839" s="27"/>
      <c r="D839" s="27"/>
      <c r="E839" s="27"/>
      <c r="F839" s="27"/>
      <c r="G839" s="27"/>
      <c r="H839" s="27"/>
      <c r="I839" s="27"/>
      <c r="J839" s="28" t="str">
        <f aca="false">IF(AND(N(H839)&gt;0,N(I839)&gt;0),ROUND(I839/(H839/100)^2,1),"")</f>
        <v/>
      </c>
      <c r="K839" s="27"/>
      <c r="L839" s="27"/>
      <c r="M839" s="27"/>
      <c r="N839" s="27"/>
      <c r="O839" s="27"/>
      <c r="P839" s="27"/>
      <c r="Q839" s="27"/>
      <c r="R839" s="29"/>
      <c r="S839" s="29"/>
      <c r="T839" s="27"/>
      <c r="U839" s="28" t="str">
        <f aca="false">IF(N(T839)=0,"",IF(T839&lt;12,"Under 12 months",IF(T839&lt;36,"12-35 months",IF(T839&lt;60,"36-59 months","≥60 months"))))</f>
        <v/>
      </c>
      <c r="V839" s="27"/>
      <c r="W839" s="30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9"/>
      <c r="AT839" s="30"/>
      <c r="AU839" s="30"/>
      <c r="AV839" s="30"/>
      <c r="AW839" s="27"/>
      <c r="AX839" s="27"/>
      <c r="AY839" s="29"/>
      <c r="AZ839" s="27"/>
      <c r="BA839" s="27"/>
      <c r="BB839" s="29"/>
      <c r="BC839" s="30"/>
      <c r="BD839" s="30"/>
      <c r="BE839" s="30"/>
      <c r="BF839" s="27"/>
      <c r="BG839" s="27"/>
      <c r="BH839" s="28" t="str">
        <f aca="false">IF(COUNT(BC839:BE839)=0,"",IF(MIN(BC839:BE839)&lt;=-2.5,"Yes","No"))</f>
        <v/>
      </c>
      <c r="BI839" s="27"/>
      <c r="BJ839" s="29"/>
      <c r="BK839" s="27"/>
      <c r="BL839" s="27"/>
      <c r="BM839" s="27"/>
      <c r="BN839" s="28" t="str">
        <f aca="false">IF(OR(AX839="Yes",BI839="Yes"),"Yes",IF(AND(AX839="No",BI839="No"),"No",IF(AND(AX839="",BI839=""),"","Unknown")))</f>
        <v/>
      </c>
      <c r="BO839" s="31" t="str">
        <f aca="false">IF(COUNT(AY839,BJ839)=0,"",MIN(AY839,BJ839))</f>
        <v/>
      </c>
      <c r="BP839" s="29"/>
      <c r="BQ839" s="29"/>
      <c r="BR839" s="29"/>
      <c r="BS839" s="28" t="str">
        <f aca="false">IF(AND(N(BP839)&gt;0,N(BR839)&gt;0),BR839-BP839,"")</f>
        <v/>
      </c>
      <c r="BT839" s="28" t="str">
        <f aca="false">IF(BS839="","",ROUND(BS839/365.25,2))</f>
        <v/>
      </c>
      <c r="BU839" s="28" t="str">
        <f aca="false">IF(BS839="","",IF(BS839&gt;=730.5,"Yes","No"))</f>
        <v/>
      </c>
      <c r="BV839" s="27"/>
      <c r="BW839" s="29"/>
      <c r="BX839" s="27"/>
      <c r="BY839" s="27"/>
      <c r="BZ839" s="28" t="str">
        <f aca="false">IF(N(E839)=0,"",IF(E839&lt;65,"Under 65","≥65"))</f>
        <v/>
      </c>
      <c r="CA839" s="28" t="str">
        <f aca="false">IF(OR(AC839="Yes",AC839="No"),AC839,"")</f>
        <v/>
      </c>
      <c r="CB839" s="28" t="str">
        <f aca="false">IF(OR(AD839="Yes",AD839="No"),AD839,"")</f>
        <v/>
      </c>
      <c r="CC839" s="28" t="str">
        <f aca="false">IF(F839="","",F839)</f>
        <v/>
      </c>
      <c r="CD839" s="27"/>
      <c r="CE839" s="27"/>
    </row>
    <row r="840" customFormat="false" ht="15" hidden="false" customHeight="false" outlineLevel="0" collapsed="false">
      <c r="A840" s="27"/>
      <c r="B840" s="27"/>
      <c r="C840" s="27"/>
      <c r="D840" s="27"/>
      <c r="E840" s="27"/>
      <c r="F840" s="27"/>
      <c r="G840" s="27"/>
      <c r="H840" s="27"/>
      <c r="I840" s="27"/>
      <c r="J840" s="28" t="str">
        <f aca="false">IF(AND(N(H840)&gt;0,N(I840)&gt;0),ROUND(I840/(H840/100)^2,1),"")</f>
        <v/>
      </c>
      <c r="K840" s="27"/>
      <c r="L840" s="27"/>
      <c r="M840" s="27"/>
      <c r="N840" s="27"/>
      <c r="O840" s="27"/>
      <c r="P840" s="27"/>
      <c r="Q840" s="27"/>
      <c r="R840" s="29"/>
      <c r="S840" s="29"/>
      <c r="T840" s="27"/>
      <c r="U840" s="28" t="str">
        <f aca="false">IF(N(T840)=0,"",IF(T840&lt;12,"Under 12 months",IF(T840&lt;36,"12-35 months",IF(T840&lt;60,"36-59 months","≥60 months"))))</f>
        <v/>
      </c>
      <c r="V840" s="27"/>
      <c r="W840" s="30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9"/>
      <c r="AT840" s="30"/>
      <c r="AU840" s="30"/>
      <c r="AV840" s="30"/>
      <c r="AW840" s="27"/>
      <c r="AX840" s="27"/>
      <c r="AY840" s="29"/>
      <c r="AZ840" s="27"/>
      <c r="BA840" s="27"/>
      <c r="BB840" s="29"/>
      <c r="BC840" s="30"/>
      <c r="BD840" s="30"/>
      <c r="BE840" s="30"/>
      <c r="BF840" s="27"/>
      <c r="BG840" s="27"/>
      <c r="BH840" s="28" t="str">
        <f aca="false">IF(COUNT(BC840:BE840)=0,"",IF(MIN(BC840:BE840)&lt;=-2.5,"Yes","No"))</f>
        <v/>
      </c>
      <c r="BI840" s="27"/>
      <c r="BJ840" s="29"/>
      <c r="BK840" s="27"/>
      <c r="BL840" s="27"/>
      <c r="BM840" s="27"/>
      <c r="BN840" s="28" t="str">
        <f aca="false">IF(OR(AX840="Yes",BI840="Yes"),"Yes",IF(AND(AX840="No",BI840="No"),"No",IF(AND(AX840="",BI840=""),"","Unknown")))</f>
        <v/>
      </c>
      <c r="BO840" s="31" t="str">
        <f aca="false">IF(COUNT(AY840,BJ840)=0,"",MIN(AY840,BJ840))</f>
        <v/>
      </c>
      <c r="BP840" s="29"/>
      <c r="BQ840" s="29"/>
      <c r="BR840" s="29"/>
      <c r="BS840" s="28" t="str">
        <f aca="false">IF(AND(N(BP840)&gt;0,N(BR840)&gt;0),BR840-BP840,"")</f>
        <v/>
      </c>
      <c r="BT840" s="28" t="str">
        <f aca="false">IF(BS840="","",ROUND(BS840/365.25,2))</f>
        <v/>
      </c>
      <c r="BU840" s="28" t="str">
        <f aca="false">IF(BS840="","",IF(BS840&gt;=730.5,"Yes","No"))</f>
        <v/>
      </c>
      <c r="BV840" s="27"/>
      <c r="BW840" s="29"/>
      <c r="BX840" s="27"/>
      <c r="BY840" s="27"/>
      <c r="BZ840" s="28" t="str">
        <f aca="false">IF(N(E840)=0,"",IF(E840&lt;65,"Under 65","≥65"))</f>
        <v/>
      </c>
      <c r="CA840" s="28" t="str">
        <f aca="false">IF(OR(AC840="Yes",AC840="No"),AC840,"")</f>
        <v/>
      </c>
      <c r="CB840" s="28" t="str">
        <f aca="false">IF(OR(AD840="Yes",AD840="No"),AD840,"")</f>
        <v/>
      </c>
      <c r="CC840" s="28" t="str">
        <f aca="false">IF(F840="","",F840)</f>
        <v/>
      </c>
      <c r="CD840" s="27"/>
      <c r="CE840" s="27"/>
    </row>
    <row r="841" customFormat="false" ht="15" hidden="false" customHeight="false" outlineLevel="0" collapsed="false">
      <c r="A841" s="27"/>
      <c r="B841" s="27"/>
      <c r="C841" s="27"/>
      <c r="D841" s="27"/>
      <c r="E841" s="27"/>
      <c r="F841" s="27"/>
      <c r="G841" s="27"/>
      <c r="H841" s="27"/>
      <c r="I841" s="27"/>
      <c r="J841" s="28" t="str">
        <f aca="false">IF(AND(N(H841)&gt;0,N(I841)&gt;0),ROUND(I841/(H841/100)^2,1),"")</f>
        <v/>
      </c>
      <c r="K841" s="27"/>
      <c r="L841" s="27"/>
      <c r="M841" s="27"/>
      <c r="N841" s="27"/>
      <c r="O841" s="27"/>
      <c r="P841" s="27"/>
      <c r="Q841" s="27"/>
      <c r="R841" s="29"/>
      <c r="S841" s="29"/>
      <c r="T841" s="27"/>
      <c r="U841" s="28" t="str">
        <f aca="false">IF(N(T841)=0,"",IF(T841&lt;12,"Under 12 months",IF(T841&lt;36,"12-35 months",IF(T841&lt;60,"36-59 months","≥60 months"))))</f>
        <v/>
      </c>
      <c r="V841" s="27"/>
      <c r="W841" s="30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9"/>
      <c r="AT841" s="30"/>
      <c r="AU841" s="30"/>
      <c r="AV841" s="30"/>
      <c r="AW841" s="27"/>
      <c r="AX841" s="27"/>
      <c r="AY841" s="29"/>
      <c r="AZ841" s="27"/>
      <c r="BA841" s="27"/>
      <c r="BB841" s="29"/>
      <c r="BC841" s="30"/>
      <c r="BD841" s="30"/>
      <c r="BE841" s="30"/>
      <c r="BF841" s="27"/>
      <c r="BG841" s="27"/>
      <c r="BH841" s="28" t="str">
        <f aca="false">IF(COUNT(BC841:BE841)=0,"",IF(MIN(BC841:BE841)&lt;=-2.5,"Yes","No"))</f>
        <v/>
      </c>
      <c r="BI841" s="27"/>
      <c r="BJ841" s="29"/>
      <c r="BK841" s="27"/>
      <c r="BL841" s="27"/>
      <c r="BM841" s="27"/>
      <c r="BN841" s="28" t="str">
        <f aca="false">IF(OR(AX841="Yes",BI841="Yes"),"Yes",IF(AND(AX841="No",BI841="No"),"No",IF(AND(AX841="",BI841=""),"","Unknown")))</f>
        <v/>
      </c>
      <c r="BO841" s="31" t="str">
        <f aca="false">IF(COUNT(AY841,BJ841)=0,"",MIN(AY841,BJ841))</f>
        <v/>
      </c>
      <c r="BP841" s="29"/>
      <c r="BQ841" s="29"/>
      <c r="BR841" s="29"/>
      <c r="BS841" s="28" t="str">
        <f aca="false">IF(AND(N(BP841)&gt;0,N(BR841)&gt;0),BR841-BP841,"")</f>
        <v/>
      </c>
      <c r="BT841" s="28" t="str">
        <f aca="false">IF(BS841="","",ROUND(BS841/365.25,2))</f>
        <v/>
      </c>
      <c r="BU841" s="28" t="str">
        <f aca="false">IF(BS841="","",IF(BS841&gt;=730.5,"Yes","No"))</f>
        <v/>
      </c>
      <c r="BV841" s="27"/>
      <c r="BW841" s="29"/>
      <c r="BX841" s="27"/>
      <c r="BY841" s="27"/>
      <c r="BZ841" s="28" t="str">
        <f aca="false">IF(N(E841)=0,"",IF(E841&lt;65,"Under 65","≥65"))</f>
        <v/>
      </c>
      <c r="CA841" s="28" t="str">
        <f aca="false">IF(OR(AC841="Yes",AC841="No"),AC841,"")</f>
        <v/>
      </c>
      <c r="CB841" s="28" t="str">
        <f aca="false">IF(OR(AD841="Yes",AD841="No"),AD841,"")</f>
        <v/>
      </c>
      <c r="CC841" s="28" t="str">
        <f aca="false">IF(F841="","",F841)</f>
        <v/>
      </c>
      <c r="CD841" s="27"/>
      <c r="CE841" s="27"/>
    </row>
    <row r="842" customFormat="false" ht="15" hidden="false" customHeight="false" outlineLevel="0" collapsed="false">
      <c r="A842" s="27"/>
      <c r="B842" s="27"/>
      <c r="C842" s="27"/>
      <c r="D842" s="27"/>
      <c r="E842" s="27"/>
      <c r="F842" s="27"/>
      <c r="G842" s="27"/>
      <c r="H842" s="27"/>
      <c r="I842" s="27"/>
      <c r="J842" s="28" t="str">
        <f aca="false">IF(AND(N(H842)&gt;0,N(I842)&gt;0),ROUND(I842/(H842/100)^2,1),"")</f>
        <v/>
      </c>
      <c r="K842" s="27"/>
      <c r="L842" s="27"/>
      <c r="M842" s="27"/>
      <c r="N842" s="27"/>
      <c r="O842" s="27"/>
      <c r="P842" s="27"/>
      <c r="Q842" s="27"/>
      <c r="R842" s="29"/>
      <c r="S842" s="29"/>
      <c r="T842" s="27"/>
      <c r="U842" s="28" t="str">
        <f aca="false">IF(N(T842)=0,"",IF(T842&lt;12,"Under 12 months",IF(T842&lt;36,"12-35 months",IF(T842&lt;60,"36-59 months","≥60 months"))))</f>
        <v/>
      </c>
      <c r="V842" s="27"/>
      <c r="W842" s="30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9"/>
      <c r="AT842" s="30"/>
      <c r="AU842" s="30"/>
      <c r="AV842" s="30"/>
      <c r="AW842" s="27"/>
      <c r="AX842" s="27"/>
      <c r="AY842" s="29"/>
      <c r="AZ842" s="27"/>
      <c r="BA842" s="27"/>
      <c r="BB842" s="29"/>
      <c r="BC842" s="30"/>
      <c r="BD842" s="30"/>
      <c r="BE842" s="30"/>
      <c r="BF842" s="27"/>
      <c r="BG842" s="27"/>
      <c r="BH842" s="28" t="str">
        <f aca="false">IF(COUNT(BC842:BE842)=0,"",IF(MIN(BC842:BE842)&lt;=-2.5,"Yes","No"))</f>
        <v/>
      </c>
      <c r="BI842" s="27"/>
      <c r="BJ842" s="29"/>
      <c r="BK842" s="27"/>
      <c r="BL842" s="27"/>
      <c r="BM842" s="27"/>
      <c r="BN842" s="28" t="str">
        <f aca="false">IF(OR(AX842="Yes",BI842="Yes"),"Yes",IF(AND(AX842="No",BI842="No"),"No",IF(AND(AX842="",BI842=""),"","Unknown")))</f>
        <v/>
      </c>
      <c r="BO842" s="31" t="str">
        <f aca="false">IF(COUNT(AY842,BJ842)=0,"",MIN(AY842,BJ842))</f>
        <v/>
      </c>
      <c r="BP842" s="29"/>
      <c r="BQ842" s="29"/>
      <c r="BR842" s="29"/>
      <c r="BS842" s="28" t="str">
        <f aca="false">IF(AND(N(BP842)&gt;0,N(BR842)&gt;0),BR842-BP842,"")</f>
        <v/>
      </c>
      <c r="BT842" s="28" t="str">
        <f aca="false">IF(BS842="","",ROUND(BS842/365.25,2))</f>
        <v/>
      </c>
      <c r="BU842" s="28" t="str">
        <f aca="false">IF(BS842="","",IF(BS842&gt;=730.5,"Yes","No"))</f>
        <v/>
      </c>
      <c r="BV842" s="27"/>
      <c r="BW842" s="29"/>
      <c r="BX842" s="27"/>
      <c r="BY842" s="27"/>
      <c r="BZ842" s="28" t="str">
        <f aca="false">IF(N(E842)=0,"",IF(E842&lt;65,"Under 65","≥65"))</f>
        <v/>
      </c>
      <c r="CA842" s="28" t="str">
        <f aca="false">IF(OR(AC842="Yes",AC842="No"),AC842,"")</f>
        <v/>
      </c>
      <c r="CB842" s="28" t="str">
        <f aca="false">IF(OR(AD842="Yes",AD842="No"),AD842,"")</f>
        <v/>
      </c>
      <c r="CC842" s="28" t="str">
        <f aca="false">IF(F842="","",F842)</f>
        <v/>
      </c>
      <c r="CD842" s="27"/>
      <c r="CE842" s="27"/>
    </row>
    <row r="843" customFormat="false" ht="15" hidden="false" customHeight="false" outlineLevel="0" collapsed="false">
      <c r="A843" s="27"/>
      <c r="B843" s="27"/>
      <c r="C843" s="27"/>
      <c r="D843" s="27"/>
      <c r="E843" s="27"/>
      <c r="F843" s="27"/>
      <c r="G843" s="27"/>
      <c r="H843" s="27"/>
      <c r="I843" s="27"/>
      <c r="J843" s="28" t="str">
        <f aca="false">IF(AND(N(H843)&gt;0,N(I843)&gt;0),ROUND(I843/(H843/100)^2,1),"")</f>
        <v/>
      </c>
      <c r="K843" s="27"/>
      <c r="L843" s="27"/>
      <c r="M843" s="27"/>
      <c r="N843" s="27"/>
      <c r="O843" s="27"/>
      <c r="P843" s="27"/>
      <c r="Q843" s="27"/>
      <c r="R843" s="29"/>
      <c r="S843" s="29"/>
      <c r="T843" s="27"/>
      <c r="U843" s="28" t="str">
        <f aca="false">IF(N(T843)=0,"",IF(T843&lt;12,"Under 12 months",IF(T843&lt;36,"12-35 months",IF(T843&lt;60,"36-59 months","≥60 months"))))</f>
        <v/>
      </c>
      <c r="V843" s="27"/>
      <c r="W843" s="30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9"/>
      <c r="AT843" s="30"/>
      <c r="AU843" s="30"/>
      <c r="AV843" s="30"/>
      <c r="AW843" s="27"/>
      <c r="AX843" s="27"/>
      <c r="AY843" s="29"/>
      <c r="AZ843" s="27"/>
      <c r="BA843" s="27"/>
      <c r="BB843" s="29"/>
      <c r="BC843" s="30"/>
      <c r="BD843" s="30"/>
      <c r="BE843" s="30"/>
      <c r="BF843" s="27"/>
      <c r="BG843" s="27"/>
      <c r="BH843" s="28" t="str">
        <f aca="false">IF(COUNT(BC843:BE843)=0,"",IF(MIN(BC843:BE843)&lt;=-2.5,"Yes","No"))</f>
        <v/>
      </c>
      <c r="BI843" s="27"/>
      <c r="BJ843" s="29"/>
      <c r="BK843" s="27"/>
      <c r="BL843" s="27"/>
      <c r="BM843" s="27"/>
      <c r="BN843" s="28" t="str">
        <f aca="false">IF(OR(AX843="Yes",BI843="Yes"),"Yes",IF(AND(AX843="No",BI843="No"),"No",IF(AND(AX843="",BI843=""),"","Unknown")))</f>
        <v/>
      </c>
      <c r="BO843" s="31" t="str">
        <f aca="false">IF(COUNT(AY843,BJ843)=0,"",MIN(AY843,BJ843))</f>
        <v/>
      </c>
      <c r="BP843" s="29"/>
      <c r="BQ843" s="29"/>
      <c r="BR843" s="29"/>
      <c r="BS843" s="28" t="str">
        <f aca="false">IF(AND(N(BP843)&gt;0,N(BR843)&gt;0),BR843-BP843,"")</f>
        <v/>
      </c>
      <c r="BT843" s="28" t="str">
        <f aca="false">IF(BS843="","",ROUND(BS843/365.25,2))</f>
        <v/>
      </c>
      <c r="BU843" s="28" t="str">
        <f aca="false">IF(BS843="","",IF(BS843&gt;=730.5,"Yes","No"))</f>
        <v/>
      </c>
      <c r="BV843" s="27"/>
      <c r="BW843" s="29"/>
      <c r="BX843" s="27"/>
      <c r="BY843" s="27"/>
      <c r="BZ843" s="28" t="str">
        <f aca="false">IF(N(E843)=0,"",IF(E843&lt;65,"Under 65","≥65"))</f>
        <v/>
      </c>
      <c r="CA843" s="28" t="str">
        <f aca="false">IF(OR(AC843="Yes",AC843="No"),AC843,"")</f>
        <v/>
      </c>
      <c r="CB843" s="28" t="str">
        <f aca="false">IF(OR(AD843="Yes",AD843="No"),AD843,"")</f>
        <v/>
      </c>
      <c r="CC843" s="28" t="str">
        <f aca="false">IF(F843="","",F843)</f>
        <v/>
      </c>
      <c r="CD843" s="27"/>
      <c r="CE843" s="27"/>
    </row>
    <row r="844" customFormat="false" ht="15" hidden="false" customHeight="false" outlineLevel="0" collapsed="false">
      <c r="A844" s="27"/>
      <c r="B844" s="27"/>
      <c r="C844" s="27"/>
      <c r="D844" s="27"/>
      <c r="E844" s="27"/>
      <c r="F844" s="27"/>
      <c r="G844" s="27"/>
      <c r="H844" s="27"/>
      <c r="I844" s="27"/>
      <c r="J844" s="28" t="str">
        <f aca="false">IF(AND(N(H844)&gt;0,N(I844)&gt;0),ROUND(I844/(H844/100)^2,1),"")</f>
        <v/>
      </c>
      <c r="K844" s="27"/>
      <c r="L844" s="27"/>
      <c r="M844" s="27"/>
      <c r="N844" s="27"/>
      <c r="O844" s="27"/>
      <c r="P844" s="27"/>
      <c r="Q844" s="27"/>
      <c r="R844" s="29"/>
      <c r="S844" s="29"/>
      <c r="T844" s="27"/>
      <c r="U844" s="28" t="str">
        <f aca="false">IF(N(T844)=0,"",IF(T844&lt;12,"Under 12 months",IF(T844&lt;36,"12-35 months",IF(T844&lt;60,"36-59 months","≥60 months"))))</f>
        <v/>
      </c>
      <c r="V844" s="27"/>
      <c r="W844" s="30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9"/>
      <c r="AT844" s="30"/>
      <c r="AU844" s="30"/>
      <c r="AV844" s="30"/>
      <c r="AW844" s="27"/>
      <c r="AX844" s="27"/>
      <c r="AY844" s="29"/>
      <c r="AZ844" s="27"/>
      <c r="BA844" s="27"/>
      <c r="BB844" s="29"/>
      <c r="BC844" s="30"/>
      <c r="BD844" s="30"/>
      <c r="BE844" s="30"/>
      <c r="BF844" s="27"/>
      <c r="BG844" s="27"/>
      <c r="BH844" s="28" t="str">
        <f aca="false">IF(COUNT(BC844:BE844)=0,"",IF(MIN(BC844:BE844)&lt;=-2.5,"Yes","No"))</f>
        <v/>
      </c>
      <c r="BI844" s="27"/>
      <c r="BJ844" s="29"/>
      <c r="BK844" s="27"/>
      <c r="BL844" s="27"/>
      <c r="BM844" s="27"/>
      <c r="BN844" s="28" t="str">
        <f aca="false">IF(OR(AX844="Yes",BI844="Yes"),"Yes",IF(AND(AX844="No",BI844="No"),"No",IF(AND(AX844="",BI844=""),"","Unknown")))</f>
        <v/>
      </c>
      <c r="BO844" s="31" t="str">
        <f aca="false">IF(COUNT(AY844,BJ844)=0,"",MIN(AY844,BJ844))</f>
        <v/>
      </c>
      <c r="BP844" s="29"/>
      <c r="BQ844" s="29"/>
      <c r="BR844" s="29"/>
      <c r="BS844" s="28" t="str">
        <f aca="false">IF(AND(N(BP844)&gt;0,N(BR844)&gt;0),BR844-BP844,"")</f>
        <v/>
      </c>
      <c r="BT844" s="28" t="str">
        <f aca="false">IF(BS844="","",ROUND(BS844/365.25,2))</f>
        <v/>
      </c>
      <c r="BU844" s="28" t="str">
        <f aca="false">IF(BS844="","",IF(BS844&gt;=730.5,"Yes","No"))</f>
        <v/>
      </c>
      <c r="BV844" s="27"/>
      <c r="BW844" s="29"/>
      <c r="BX844" s="27"/>
      <c r="BY844" s="27"/>
      <c r="BZ844" s="28" t="str">
        <f aca="false">IF(N(E844)=0,"",IF(E844&lt;65,"Under 65","≥65"))</f>
        <v/>
      </c>
      <c r="CA844" s="28" t="str">
        <f aca="false">IF(OR(AC844="Yes",AC844="No"),AC844,"")</f>
        <v/>
      </c>
      <c r="CB844" s="28" t="str">
        <f aca="false">IF(OR(AD844="Yes",AD844="No"),AD844,"")</f>
        <v/>
      </c>
      <c r="CC844" s="28" t="str">
        <f aca="false">IF(F844="","",F844)</f>
        <v/>
      </c>
      <c r="CD844" s="27"/>
      <c r="CE844" s="27"/>
    </row>
    <row r="845" customFormat="false" ht="15" hidden="false" customHeight="false" outlineLevel="0" collapsed="false">
      <c r="A845" s="27"/>
      <c r="B845" s="27"/>
      <c r="C845" s="27"/>
      <c r="D845" s="27"/>
      <c r="E845" s="27"/>
      <c r="F845" s="27"/>
      <c r="G845" s="27"/>
      <c r="H845" s="27"/>
      <c r="I845" s="27"/>
      <c r="J845" s="28" t="str">
        <f aca="false">IF(AND(N(H845)&gt;0,N(I845)&gt;0),ROUND(I845/(H845/100)^2,1),"")</f>
        <v/>
      </c>
      <c r="K845" s="27"/>
      <c r="L845" s="27"/>
      <c r="M845" s="27"/>
      <c r="N845" s="27"/>
      <c r="O845" s="27"/>
      <c r="P845" s="27"/>
      <c r="Q845" s="27"/>
      <c r="R845" s="29"/>
      <c r="S845" s="29"/>
      <c r="T845" s="27"/>
      <c r="U845" s="28" t="str">
        <f aca="false">IF(N(T845)=0,"",IF(T845&lt;12,"Under 12 months",IF(T845&lt;36,"12-35 months",IF(T845&lt;60,"36-59 months","≥60 months"))))</f>
        <v/>
      </c>
      <c r="V845" s="27"/>
      <c r="W845" s="30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9"/>
      <c r="AT845" s="30"/>
      <c r="AU845" s="30"/>
      <c r="AV845" s="30"/>
      <c r="AW845" s="27"/>
      <c r="AX845" s="27"/>
      <c r="AY845" s="29"/>
      <c r="AZ845" s="27"/>
      <c r="BA845" s="27"/>
      <c r="BB845" s="29"/>
      <c r="BC845" s="30"/>
      <c r="BD845" s="30"/>
      <c r="BE845" s="30"/>
      <c r="BF845" s="27"/>
      <c r="BG845" s="27"/>
      <c r="BH845" s="28" t="str">
        <f aca="false">IF(COUNT(BC845:BE845)=0,"",IF(MIN(BC845:BE845)&lt;=-2.5,"Yes","No"))</f>
        <v/>
      </c>
      <c r="BI845" s="27"/>
      <c r="BJ845" s="29"/>
      <c r="BK845" s="27"/>
      <c r="BL845" s="27"/>
      <c r="BM845" s="27"/>
      <c r="BN845" s="28" t="str">
        <f aca="false">IF(OR(AX845="Yes",BI845="Yes"),"Yes",IF(AND(AX845="No",BI845="No"),"No",IF(AND(AX845="",BI845=""),"","Unknown")))</f>
        <v/>
      </c>
      <c r="BO845" s="31" t="str">
        <f aca="false">IF(COUNT(AY845,BJ845)=0,"",MIN(AY845,BJ845))</f>
        <v/>
      </c>
      <c r="BP845" s="29"/>
      <c r="BQ845" s="29"/>
      <c r="BR845" s="29"/>
      <c r="BS845" s="28" t="str">
        <f aca="false">IF(AND(N(BP845)&gt;0,N(BR845)&gt;0),BR845-BP845,"")</f>
        <v/>
      </c>
      <c r="BT845" s="28" t="str">
        <f aca="false">IF(BS845="","",ROUND(BS845/365.25,2))</f>
        <v/>
      </c>
      <c r="BU845" s="28" t="str">
        <f aca="false">IF(BS845="","",IF(BS845&gt;=730.5,"Yes","No"))</f>
        <v/>
      </c>
      <c r="BV845" s="27"/>
      <c r="BW845" s="29"/>
      <c r="BX845" s="27"/>
      <c r="BY845" s="27"/>
      <c r="BZ845" s="28" t="str">
        <f aca="false">IF(N(E845)=0,"",IF(E845&lt;65,"Under 65","≥65"))</f>
        <v/>
      </c>
      <c r="CA845" s="28" t="str">
        <f aca="false">IF(OR(AC845="Yes",AC845="No"),AC845,"")</f>
        <v/>
      </c>
      <c r="CB845" s="28" t="str">
        <f aca="false">IF(OR(AD845="Yes",AD845="No"),AD845,"")</f>
        <v/>
      </c>
      <c r="CC845" s="28" t="str">
        <f aca="false">IF(F845="","",F845)</f>
        <v/>
      </c>
      <c r="CD845" s="27"/>
      <c r="CE845" s="27"/>
    </row>
    <row r="846" customFormat="false" ht="15" hidden="false" customHeight="false" outlineLevel="0" collapsed="false">
      <c r="A846" s="27"/>
      <c r="B846" s="27"/>
      <c r="C846" s="27"/>
      <c r="D846" s="27"/>
      <c r="E846" s="27"/>
      <c r="F846" s="27"/>
      <c r="G846" s="27"/>
      <c r="H846" s="27"/>
      <c r="I846" s="27"/>
      <c r="J846" s="28" t="str">
        <f aca="false">IF(AND(N(H846)&gt;0,N(I846)&gt;0),ROUND(I846/(H846/100)^2,1),"")</f>
        <v/>
      </c>
      <c r="K846" s="27"/>
      <c r="L846" s="27"/>
      <c r="M846" s="27"/>
      <c r="N846" s="27"/>
      <c r="O846" s="27"/>
      <c r="P846" s="27"/>
      <c r="Q846" s="27"/>
      <c r="R846" s="29"/>
      <c r="S846" s="29"/>
      <c r="T846" s="27"/>
      <c r="U846" s="28" t="str">
        <f aca="false">IF(N(T846)=0,"",IF(T846&lt;12,"Under 12 months",IF(T846&lt;36,"12-35 months",IF(T846&lt;60,"36-59 months","≥60 months"))))</f>
        <v/>
      </c>
      <c r="V846" s="27"/>
      <c r="W846" s="30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9"/>
      <c r="AT846" s="30"/>
      <c r="AU846" s="30"/>
      <c r="AV846" s="30"/>
      <c r="AW846" s="27"/>
      <c r="AX846" s="27"/>
      <c r="AY846" s="29"/>
      <c r="AZ846" s="27"/>
      <c r="BA846" s="27"/>
      <c r="BB846" s="29"/>
      <c r="BC846" s="30"/>
      <c r="BD846" s="30"/>
      <c r="BE846" s="30"/>
      <c r="BF846" s="27"/>
      <c r="BG846" s="27"/>
      <c r="BH846" s="28" t="str">
        <f aca="false">IF(COUNT(BC846:BE846)=0,"",IF(MIN(BC846:BE846)&lt;=-2.5,"Yes","No"))</f>
        <v/>
      </c>
      <c r="BI846" s="27"/>
      <c r="BJ846" s="29"/>
      <c r="BK846" s="27"/>
      <c r="BL846" s="27"/>
      <c r="BM846" s="27"/>
      <c r="BN846" s="28" t="str">
        <f aca="false">IF(OR(AX846="Yes",BI846="Yes"),"Yes",IF(AND(AX846="No",BI846="No"),"No",IF(AND(AX846="",BI846=""),"","Unknown")))</f>
        <v/>
      </c>
      <c r="BO846" s="31" t="str">
        <f aca="false">IF(COUNT(AY846,BJ846)=0,"",MIN(AY846,BJ846))</f>
        <v/>
      </c>
      <c r="BP846" s="29"/>
      <c r="BQ846" s="29"/>
      <c r="BR846" s="29"/>
      <c r="BS846" s="28" t="str">
        <f aca="false">IF(AND(N(BP846)&gt;0,N(BR846)&gt;0),BR846-BP846,"")</f>
        <v/>
      </c>
      <c r="BT846" s="28" t="str">
        <f aca="false">IF(BS846="","",ROUND(BS846/365.25,2))</f>
        <v/>
      </c>
      <c r="BU846" s="28" t="str">
        <f aca="false">IF(BS846="","",IF(BS846&gt;=730.5,"Yes","No"))</f>
        <v/>
      </c>
      <c r="BV846" s="27"/>
      <c r="BW846" s="29"/>
      <c r="BX846" s="27"/>
      <c r="BY846" s="27"/>
      <c r="BZ846" s="28" t="str">
        <f aca="false">IF(N(E846)=0,"",IF(E846&lt;65,"Under 65","≥65"))</f>
        <v/>
      </c>
      <c r="CA846" s="28" t="str">
        <f aca="false">IF(OR(AC846="Yes",AC846="No"),AC846,"")</f>
        <v/>
      </c>
      <c r="CB846" s="28" t="str">
        <f aca="false">IF(OR(AD846="Yes",AD846="No"),AD846,"")</f>
        <v/>
      </c>
      <c r="CC846" s="28" t="str">
        <f aca="false">IF(F846="","",F846)</f>
        <v/>
      </c>
      <c r="CD846" s="27"/>
      <c r="CE846" s="27"/>
    </row>
    <row r="847" customFormat="false" ht="15" hidden="false" customHeight="false" outlineLevel="0" collapsed="false">
      <c r="A847" s="27"/>
      <c r="B847" s="27"/>
      <c r="C847" s="27"/>
      <c r="D847" s="27"/>
      <c r="E847" s="27"/>
      <c r="F847" s="27"/>
      <c r="G847" s="27"/>
      <c r="H847" s="27"/>
      <c r="I847" s="27"/>
      <c r="J847" s="28" t="str">
        <f aca="false">IF(AND(N(H847)&gt;0,N(I847)&gt;0),ROUND(I847/(H847/100)^2,1),"")</f>
        <v/>
      </c>
      <c r="K847" s="27"/>
      <c r="L847" s="27"/>
      <c r="M847" s="27"/>
      <c r="N847" s="27"/>
      <c r="O847" s="27"/>
      <c r="P847" s="27"/>
      <c r="Q847" s="27"/>
      <c r="R847" s="29"/>
      <c r="S847" s="29"/>
      <c r="T847" s="27"/>
      <c r="U847" s="28" t="str">
        <f aca="false">IF(N(T847)=0,"",IF(T847&lt;12,"Under 12 months",IF(T847&lt;36,"12-35 months",IF(T847&lt;60,"36-59 months","≥60 months"))))</f>
        <v/>
      </c>
      <c r="V847" s="27"/>
      <c r="W847" s="30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9"/>
      <c r="AT847" s="30"/>
      <c r="AU847" s="30"/>
      <c r="AV847" s="30"/>
      <c r="AW847" s="27"/>
      <c r="AX847" s="27"/>
      <c r="AY847" s="29"/>
      <c r="AZ847" s="27"/>
      <c r="BA847" s="27"/>
      <c r="BB847" s="29"/>
      <c r="BC847" s="30"/>
      <c r="BD847" s="30"/>
      <c r="BE847" s="30"/>
      <c r="BF847" s="27"/>
      <c r="BG847" s="27"/>
      <c r="BH847" s="28" t="str">
        <f aca="false">IF(COUNT(BC847:BE847)=0,"",IF(MIN(BC847:BE847)&lt;=-2.5,"Yes","No"))</f>
        <v/>
      </c>
      <c r="BI847" s="27"/>
      <c r="BJ847" s="29"/>
      <c r="BK847" s="27"/>
      <c r="BL847" s="27"/>
      <c r="BM847" s="27"/>
      <c r="BN847" s="28" t="str">
        <f aca="false">IF(OR(AX847="Yes",BI847="Yes"),"Yes",IF(AND(AX847="No",BI847="No"),"No",IF(AND(AX847="",BI847=""),"","Unknown")))</f>
        <v/>
      </c>
      <c r="BO847" s="31" t="str">
        <f aca="false">IF(COUNT(AY847,BJ847)=0,"",MIN(AY847,BJ847))</f>
        <v/>
      </c>
      <c r="BP847" s="29"/>
      <c r="BQ847" s="29"/>
      <c r="BR847" s="29"/>
      <c r="BS847" s="28" t="str">
        <f aca="false">IF(AND(N(BP847)&gt;0,N(BR847)&gt;0),BR847-BP847,"")</f>
        <v/>
      </c>
      <c r="BT847" s="28" t="str">
        <f aca="false">IF(BS847="","",ROUND(BS847/365.25,2))</f>
        <v/>
      </c>
      <c r="BU847" s="28" t="str">
        <f aca="false">IF(BS847="","",IF(BS847&gt;=730.5,"Yes","No"))</f>
        <v/>
      </c>
      <c r="BV847" s="27"/>
      <c r="BW847" s="29"/>
      <c r="BX847" s="27"/>
      <c r="BY847" s="27"/>
      <c r="BZ847" s="28" t="str">
        <f aca="false">IF(N(E847)=0,"",IF(E847&lt;65,"Under 65","≥65"))</f>
        <v/>
      </c>
      <c r="CA847" s="28" t="str">
        <f aca="false">IF(OR(AC847="Yes",AC847="No"),AC847,"")</f>
        <v/>
      </c>
      <c r="CB847" s="28" t="str">
        <f aca="false">IF(OR(AD847="Yes",AD847="No"),AD847,"")</f>
        <v/>
      </c>
      <c r="CC847" s="28" t="str">
        <f aca="false">IF(F847="","",F847)</f>
        <v/>
      </c>
      <c r="CD847" s="27"/>
      <c r="CE847" s="27"/>
    </row>
    <row r="848" customFormat="false" ht="15" hidden="false" customHeight="false" outlineLevel="0" collapsed="false">
      <c r="A848" s="27"/>
      <c r="B848" s="27"/>
      <c r="C848" s="27"/>
      <c r="D848" s="27"/>
      <c r="E848" s="27"/>
      <c r="F848" s="27"/>
      <c r="G848" s="27"/>
      <c r="H848" s="27"/>
      <c r="I848" s="27"/>
      <c r="J848" s="28" t="str">
        <f aca="false">IF(AND(N(H848)&gt;0,N(I848)&gt;0),ROUND(I848/(H848/100)^2,1),"")</f>
        <v/>
      </c>
      <c r="K848" s="27"/>
      <c r="L848" s="27"/>
      <c r="M848" s="27"/>
      <c r="N848" s="27"/>
      <c r="O848" s="27"/>
      <c r="P848" s="27"/>
      <c r="Q848" s="27"/>
      <c r="R848" s="29"/>
      <c r="S848" s="29"/>
      <c r="T848" s="27"/>
      <c r="U848" s="28" t="str">
        <f aca="false">IF(N(T848)=0,"",IF(T848&lt;12,"Under 12 months",IF(T848&lt;36,"12-35 months",IF(T848&lt;60,"36-59 months","≥60 months"))))</f>
        <v/>
      </c>
      <c r="V848" s="27"/>
      <c r="W848" s="30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9"/>
      <c r="AT848" s="30"/>
      <c r="AU848" s="30"/>
      <c r="AV848" s="30"/>
      <c r="AW848" s="27"/>
      <c r="AX848" s="27"/>
      <c r="AY848" s="29"/>
      <c r="AZ848" s="27"/>
      <c r="BA848" s="27"/>
      <c r="BB848" s="29"/>
      <c r="BC848" s="30"/>
      <c r="BD848" s="30"/>
      <c r="BE848" s="30"/>
      <c r="BF848" s="27"/>
      <c r="BG848" s="27"/>
      <c r="BH848" s="28" t="str">
        <f aca="false">IF(COUNT(BC848:BE848)=0,"",IF(MIN(BC848:BE848)&lt;=-2.5,"Yes","No"))</f>
        <v/>
      </c>
      <c r="BI848" s="27"/>
      <c r="BJ848" s="29"/>
      <c r="BK848" s="27"/>
      <c r="BL848" s="27"/>
      <c r="BM848" s="27"/>
      <c r="BN848" s="28" t="str">
        <f aca="false">IF(OR(AX848="Yes",BI848="Yes"),"Yes",IF(AND(AX848="No",BI848="No"),"No",IF(AND(AX848="",BI848=""),"","Unknown")))</f>
        <v/>
      </c>
      <c r="BO848" s="31" t="str">
        <f aca="false">IF(COUNT(AY848,BJ848)=0,"",MIN(AY848,BJ848))</f>
        <v/>
      </c>
      <c r="BP848" s="29"/>
      <c r="BQ848" s="29"/>
      <c r="BR848" s="29"/>
      <c r="BS848" s="28" t="str">
        <f aca="false">IF(AND(N(BP848)&gt;0,N(BR848)&gt;0),BR848-BP848,"")</f>
        <v/>
      </c>
      <c r="BT848" s="28" t="str">
        <f aca="false">IF(BS848="","",ROUND(BS848/365.25,2))</f>
        <v/>
      </c>
      <c r="BU848" s="28" t="str">
        <f aca="false">IF(BS848="","",IF(BS848&gt;=730.5,"Yes","No"))</f>
        <v/>
      </c>
      <c r="BV848" s="27"/>
      <c r="BW848" s="29"/>
      <c r="BX848" s="27"/>
      <c r="BY848" s="27"/>
      <c r="BZ848" s="28" t="str">
        <f aca="false">IF(N(E848)=0,"",IF(E848&lt;65,"Under 65","≥65"))</f>
        <v/>
      </c>
      <c r="CA848" s="28" t="str">
        <f aca="false">IF(OR(AC848="Yes",AC848="No"),AC848,"")</f>
        <v/>
      </c>
      <c r="CB848" s="28" t="str">
        <f aca="false">IF(OR(AD848="Yes",AD848="No"),AD848,"")</f>
        <v/>
      </c>
      <c r="CC848" s="28" t="str">
        <f aca="false">IF(F848="","",F848)</f>
        <v/>
      </c>
      <c r="CD848" s="27"/>
      <c r="CE848" s="27"/>
    </row>
    <row r="849" customFormat="false" ht="15" hidden="false" customHeight="false" outlineLevel="0" collapsed="false">
      <c r="A849" s="27"/>
      <c r="B849" s="27"/>
      <c r="C849" s="27"/>
      <c r="D849" s="27"/>
      <c r="E849" s="27"/>
      <c r="F849" s="27"/>
      <c r="G849" s="27"/>
      <c r="H849" s="27"/>
      <c r="I849" s="27"/>
      <c r="J849" s="28" t="str">
        <f aca="false">IF(AND(N(H849)&gt;0,N(I849)&gt;0),ROUND(I849/(H849/100)^2,1),"")</f>
        <v/>
      </c>
      <c r="K849" s="27"/>
      <c r="L849" s="27"/>
      <c r="M849" s="27"/>
      <c r="N849" s="27"/>
      <c r="O849" s="27"/>
      <c r="P849" s="27"/>
      <c r="Q849" s="27"/>
      <c r="R849" s="29"/>
      <c r="S849" s="29"/>
      <c r="T849" s="27"/>
      <c r="U849" s="28" t="str">
        <f aca="false">IF(N(T849)=0,"",IF(T849&lt;12,"Under 12 months",IF(T849&lt;36,"12-35 months",IF(T849&lt;60,"36-59 months","≥60 months"))))</f>
        <v/>
      </c>
      <c r="V849" s="27"/>
      <c r="W849" s="30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9"/>
      <c r="AT849" s="30"/>
      <c r="AU849" s="30"/>
      <c r="AV849" s="30"/>
      <c r="AW849" s="27"/>
      <c r="AX849" s="27"/>
      <c r="AY849" s="29"/>
      <c r="AZ849" s="27"/>
      <c r="BA849" s="27"/>
      <c r="BB849" s="29"/>
      <c r="BC849" s="30"/>
      <c r="BD849" s="30"/>
      <c r="BE849" s="30"/>
      <c r="BF849" s="27"/>
      <c r="BG849" s="27"/>
      <c r="BH849" s="28" t="str">
        <f aca="false">IF(COUNT(BC849:BE849)=0,"",IF(MIN(BC849:BE849)&lt;=-2.5,"Yes","No"))</f>
        <v/>
      </c>
      <c r="BI849" s="27"/>
      <c r="BJ849" s="29"/>
      <c r="BK849" s="27"/>
      <c r="BL849" s="27"/>
      <c r="BM849" s="27"/>
      <c r="BN849" s="28" t="str">
        <f aca="false">IF(OR(AX849="Yes",BI849="Yes"),"Yes",IF(AND(AX849="No",BI849="No"),"No",IF(AND(AX849="",BI849=""),"","Unknown")))</f>
        <v/>
      </c>
      <c r="BO849" s="31" t="str">
        <f aca="false">IF(COUNT(AY849,BJ849)=0,"",MIN(AY849,BJ849))</f>
        <v/>
      </c>
      <c r="BP849" s="29"/>
      <c r="BQ849" s="29"/>
      <c r="BR849" s="29"/>
      <c r="BS849" s="28" t="str">
        <f aca="false">IF(AND(N(BP849)&gt;0,N(BR849)&gt;0),BR849-BP849,"")</f>
        <v/>
      </c>
      <c r="BT849" s="28" t="str">
        <f aca="false">IF(BS849="","",ROUND(BS849/365.25,2))</f>
        <v/>
      </c>
      <c r="BU849" s="28" t="str">
        <f aca="false">IF(BS849="","",IF(BS849&gt;=730.5,"Yes","No"))</f>
        <v/>
      </c>
      <c r="BV849" s="27"/>
      <c r="BW849" s="29"/>
      <c r="BX849" s="27"/>
      <c r="BY849" s="27"/>
      <c r="BZ849" s="28" t="str">
        <f aca="false">IF(N(E849)=0,"",IF(E849&lt;65,"Under 65","≥65"))</f>
        <v/>
      </c>
      <c r="CA849" s="28" t="str">
        <f aca="false">IF(OR(AC849="Yes",AC849="No"),AC849,"")</f>
        <v/>
      </c>
      <c r="CB849" s="28" t="str">
        <f aca="false">IF(OR(AD849="Yes",AD849="No"),AD849,"")</f>
        <v/>
      </c>
      <c r="CC849" s="28" t="str">
        <f aca="false">IF(F849="","",F849)</f>
        <v/>
      </c>
      <c r="CD849" s="27"/>
      <c r="CE849" s="27"/>
    </row>
    <row r="850" customFormat="false" ht="15" hidden="false" customHeight="false" outlineLevel="0" collapsed="false">
      <c r="A850" s="27"/>
      <c r="B850" s="27"/>
      <c r="C850" s="27"/>
      <c r="D850" s="27"/>
      <c r="E850" s="27"/>
      <c r="F850" s="27"/>
      <c r="G850" s="27"/>
      <c r="H850" s="27"/>
      <c r="I850" s="27"/>
      <c r="J850" s="28" t="str">
        <f aca="false">IF(AND(N(H850)&gt;0,N(I850)&gt;0),ROUND(I850/(H850/100)^2,1),"")</f>
        <v/>
      </c>
      <c r="K850" s="27"/>
      <c r="L850" s="27"/>
      <c r="M850" s="27"/>
      <c r="N850" s="27"/>
      <c r="O850" s="27"/>
      <c r="P850" s="27"/>
      <c r="Q850" s="27"/>
      <c r="R850" s="29"/>
      <c r="S850" s="29"/>
      <c r="T850" s="27"/>
      <c r="U850" s="28" t="str">
        <f aca="false">IF(N(T850)=0,"",IF(T850&lt;12,"Under 12 months",IF(T850&lt;36,"12-35 months",IF(T850&lt;60,"36-59 months","≥60 months"))))</f>
        <v/>
      </c>
      <c r="V850" s="27"/>
      <c r="W850" s="30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9"/>
      <c r="AT850" s="30"/>
      <c r="AU850" s="30"/>
      <c r="AV850" s="30"/>
      <c r="AW850" s="27"/>
      <c r="AX850" s="27"/>
      <c r="AY850" s="29"/>
      <c r="AZ850" s="27"/>
      <c r="BA850" s="27"/>
      <c r="BB850" s="29"/>
      <c r="BC850" s="30"/>
      <c r="BD850" s="30"/>
      <c r="BE850" s="30"/>
      <c r="BF850" s="27"/>
      <c r="BG850" s="27"/>
      <c r="BH850" s="28" t="str">
        <f aca="false">IF(COUNT(BC850:BE850)=0,"",IF(MIN(BC850:BE850)&lt;=-2.5,"Yes","No"))</f>
        <v/>
      </c>
      <c r="BI850" s="27"/>
      <c r="BJ850" s="29"/>
      <c r="BK850" s="27"/>
      <c r="BL850" s="27"/>
      <c r="BM850" s="27"/>
      <c r="BN850" s="28" t="str">
        <f aca="false">IF(OR(AX850="Yes",BI850="Yes"),"Yes",IF(AND(AX850="No",BI850="No"),"No",IF(AND(AX850="",BI850=""),"","Unknown")))</f>
        <v/>
      </c>
      <c r="BO850" s="31" t="str">
        <f aca="false">IF(COUNT(AY850,BJ850)=0,"",MIN(AY850,BJ850))</f>
        <v/>
      </c>
      <c r="BP850" s="29"/>
      <c r="BQ850" s="29"/>
      <c r="BR850" s="29"/>
      <c r="BS850" s="28" t="str">
        <f aca="false">IF(AND(N(BP850)&gt;0,N(BR850)&gt;0),BR850-BP850,"")</f>
        <v/>
      </c>
      <c r="BT850" s="28" t="str">
        <f aca="false">IF(BS850="","",ROUND(BS850/365.25,2))</f>
        <v/>
      </c>
      <c r="BU850" s="28" t="str">
        <f aca="false">IF(BS850="","",IF(BS850&gt;=730.5,"Yes","No"))</f>
        <v/>
      </c>
      <c r="BV850" s="27"/>
      <c r="BW850" s="29"/>
      <c r="BX850" s="27"/>
      <c r="BY850" s="27"/>
      <c r="BZ850" s="28" t="str">
        <f aca="false">IF(N(E850)=0,"",IF(E850&lt;65,"Under 65","≥65"))</f>
        <v/>
      </c>
      <c r="CA850" s="28" t="str">
        <f aca="false">IF(OR(AC850="Yes",AC850="No"),AC850,"")</f>
        <v/>
      </c>
      <c r="CB850" s="28" t="str">
        <f aca="false">IF(OR(AD850="Yes",AD850="No"),AD850,"")</f>
        <v/>
      </c>
      <c r="CC850" s="28" t="str">
        <f aca="false">IF(F850="","",F850)</f>
        <v/>
      </c>
      <c r="CD850" s="27"/>
      <c r="CE850" s="27"/>
    </row>
    <row r="851" customFormat="false" ht="15" hidden="false" customHeight="false" outlineLevel="0" collapsed="false">
      <c r="A851" s="27"/>
      <c r="B851" s="27"/>
      <c r="C851" s="27"/>
      <c r="D851" s="27"/>
      <c r="E851" s="27"/>
      <c r="F851" s="27"/>
      <c r="G851" s="27"/>
      <c r="H851" s="27"/>
      <c r="I851" s="27"/>
      <c r="J851" s="28" t="str">
        <f aca="false">IF(AND(N(H851)&gt;0,N(I851)&gt;0),ROUND(I851/(H851/100)^2,1),"")</f>
        <v/>
      </c>
      <c r="K851" s="27"/>
      <c r="L851" s="27"/>
      <c r="M851" s="27"/>
      <c r="N851" s="27"/>
      <c r="O851" s="27"/>
      <c r="P851" s="27"/>
      <c r="Q851" s="27"/>
      <c r="R851" s="29"/>
      <c r="S851" s="29"/>
      <c r="T851" s="27"/>
      <c r="U851" s="28" t="str">
        <f aca="false">IF(N(T851)=0,"",IF(T851&lt;12,"Under 12 months",IF(T851&lt;36,"12-35 months",IF(T851&lt;60,"36-59 months","≥60 months"))))</f>
        <v/>
      </c>
      <c r="V851" s="27"/>
      <c r="W851" s="30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9"/>
      <c r="AT851" s="30"/>
      <c r="AU851" s="30"/>
      <c r="AV851" s="30"/>
      <c r="AW851" s="27"/>
      <c r="AX851" s="27"/>
      <c r="AY851" s="29"/>
      <c r="AZ851" s="27"/>
      <c r="BA851" s="27"/>
      <c r="BB851" s="29"/>
      <c r="BC851" s="30"/>
      <c r="BD851" s="30"/>
      <c r="BE851" s="30"/>
      <c r="BF851" s="27"/>
      <c r="BG851" s="27"/>
      <c r="BH851" s="28" t="str">
        <f aca="false">IF(COUNT(BC851:BE851)=0,"",IF(MIN(BC851:BE851)&lt;=-2.5,"Yes","No"))</f>
        <v/>
      </c>
      <c r="BI851" s="27"/>
      <c r="BJ851" s="29"/>
      <c r="BK851" s="27"/>
      <c r="BL851" s="27"/>
      <c r="BM851" s="27"/>
      <c r="BN851" s="28" t="str">
        <f aca="false">IF(OR(AX851="Yes",BI851="Yes"),"Yes",IF(AND(AX851="No",BI851="No"),"No",IF(AND(AX851="",BI851=""),"","Unknown")))</f>
        <v/>
      </c>
      <c r="BO851" s="31" t="str">
        <f aca="false">IF(COUNT(AY851,BJ851)=0,"",MIN(AY851,BJ851))</f>
        <v/>
      </c>
      <c r="BP851" s="29"/>
      <c r="BQ851" s="29"/>
      <c r="BR851" s="29"/>
      <c r="BS851" s="28" t="str">
        <f aca="false">IF(AND(N(BP851)&gt;0,N(BR851)&gt;0),BR851-BP851,"")</f>
        <v/>
      </c>
      <c r="BT851" s="28" t="str">
        <f aca="false">IF(BS851="","",ROUND(BS851/365.25,2))</f>
        <v/>
      </c>
      <c r="BU851" s="28" t="str">
        <f aca="false">IF(BS851="","",IF(BS851&gt;=730.5,"Yes","No"))</f>
        <v/>
      </c>
      <c r="BV851" s="27"/>
      <c r="BW851" s="29"/>
      <c r="BX851" s="27"/>
      <c r="BY851" s="27"/>
      <c r="BZ851" s="28" t="str">
        <f aca="false">IF(N(E851)=0,"",IF(E851&lt;65,"Under 65","≥65"))</f>
        <v/>
      </c>
      <c r="CA851" s="28" t="str">
        <f aca="false">IF(OR(AC851="Yes",AC851="No"),AC851,"")</f>
        <v/>
      </c>
      <c r="CB851" s="28" t="str">
        <f aca="false">IF(OR(AD851="Yes",AD851="No"),AD851,"")</f>
        <v/>
      </c>
      <c r="CC851" s="28" t="str">
        <f aca="false">IF(F851="","",F851)</f>
        <v/>
      </c>
      <c r="CD851" s="27"/>
      <c r="CE851" s="27"/>
    </row>
    <row r="852" customFormat="false" ht="15" hidden="false" customHeight="false" outlineLevel="0" collapsed="false">
      <c r="A852" s="27"/>
      <c r="B852" s="27"/>
      <c r="C852" s="27"/>
      <c r="D852" s="27"/>
      <c r="E852" s="27"/>
      <c r="F852" s="27"/>
      <c r="G852" s="27"/>
      <c r="H852" s="27"/>
      <c r="I852" s="27"/>
      <c r="J852" s="28" t="str">
        <f aca="false">IF(AND(N(H852)&gt;0,N(I852)&gt;0),ROUND(I852/(H852/100)^2,1),"")</f>
        <v/>
      </c>
      <c r="K852" s="27"/>
      <c r="L852" s="27"/>
      <c r="M852" s="27"/>
      <c r="N852" s="27"/>
      <c r="O852" s="27"/>
      <c r="P852" s="27"/>
      <c r="Q852" s="27"/>
      <c r="R852" s="29"/>
      <c r="S852" s="29"/>
      <c r="T852" s="27"/>
      <c r="U852" s="28" t="str">
        <f aca="false">IF(N(T852)=0,"",IF(T852&lt;12,"Under 12 months",IF(T852&lt;36,"12-35 months",IF(T852&lt;60,"36-59 months","≥60 months"))))</f>
        <v/>
      </c>
      <c r="V852" s="27"/>
      <c r="W852" s="30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9"/>
      <c r="AT852" s="30"/>
      <c r="AU852" s="30"/>
      <c r="AV852" s="30"/>
      <c r="AW852" s="27"/>
      <c r="AX852" s="27"/>
      <c r="AY852" s="29"/>
      <c r="AZ852" s="27"/>
      <c r="BA852" s="27"/>
      <c r="BB852" s="29"/>
      <c r="BC852" s="30"/>
      <c r="BD852" s="30"/>
      <c r="BE852" s="30"/>
      <c r="BF852" s="27"/>
      <c r="BG852" s="27"/>
      <c r="BH852" s="28" t="str">
        <f aca="false">IF(COUNT(BC852:BE852)=0,"",IF(MIN(BC852:BE852)&lt;=-2.5,"Yes","No"))</f>
        <v/>
      </c>
      <c r="BI852" s="27"/>
      <c r="BJ852" s="29"/>
      <c r="BK852" s="27"/>
      <c r="BL852" s="27"/>
      <c r="BM852" s="27"/>
      <c r="BN852" s="28" t="str">
        <f aca="false">IF(OR(AX852="Yes",BI852="Yes"),"Yes",IF(AND(AX852="No",BI852="No"),"No",IF(AND(AX852="",BI852=""),"","Unknown")))</f>
        <v/>
      </c>
      <c r="BO852" s="31" t="str">
        <f aca="false">IF(COUNT(AY852,BJ852)=0,"",MIN(AY852,BJ852))</f>
        <v/>
      </c>
      <c r="BP852" s="29"/>
      <c r="BQ852" s="29"/>
      <c r="BR852" s="29"/>
      <c r="BS852" s="28" t="str">
        <f aca="false">IF(AND(N(BP852)&gt;0,N(BR852)&gt;0),BR852-BP852,"")</f>
        <v/>
      </c>
      <c r="BT852" s="28" t="str">
        <f aca="false">IF(BS852="","",ROUND(BS852/365.25,2))</f>
        <v/>
      </c>
      <c r="BU852" s="28" t="str">
        <f aca="false">IF(BS852="","",IF(BS852&gt;=730.5,"Yes","No"))</f>
        <v/>
      </c>
      <c r="BV852" s="27"/>
      <c r="BW852" s="29"/>
      <c r="BX852" s="27"/>
      <c r="BY852" s="27"/>
      <c r="BZ852" s="28" t="str">
        <f aca="false">IF(N(E852)=0,"",IF(E852&lt;65,"Under 65","≥65"))</f>
        <v/>
      </c>
      <c r="CA852" s="28" t="str">
        <f aca="false">IF(OR(AC852="Yes",AC852="No"),AC852,"")</f>
        <v/>
      </c>
      <c r="CB852" s="28" t="str">
        <f aca="false">IF(OR(AD852="Yes",AD852="No"),AD852,"")</f>
        <v/>
      </c>
      <c r="CC852" s="28" t="str">
        <f aca="false">IF(F852="","",F852)</f>
        <v/>
      </c>
      <c r="CD852" s="27"/>
      <c r="CE852" s="27"/>
    </row>
    <row r="853" customFormat="false" ht="15" hidden="false" customHeight="false" outlineLevel="0" collapsed="false">
      <c r="A853" s="27"/>
      <c r="B853" s="27"/>
      <c r="C853" s="27"/>
      <c r="D853" s="27"/>
      <c r="E853" s="27"/>
      <c r="F853" s="27"/>
      <c r="G853" s="27"/>
      <c r="H853" s="27"/>
      <c r="I853" s="27"/>
      <c r="J853" s="28" t="str">
        <f aca="false">IF(AND(N(H853)&gt;0,N(I853)&gt;0),ROUND(I853/(H853/100)^2,1),"")</f>
        <v/>
      </c>
      <c r="K853" s="27"/>
      <c r="L853" s="27"/>
      <c r="M853" s="27"/>
      <c r="N853" s="27"/>
      <c r="O853" s="27"/>
      <c r="P853" s="27"/>
      <c r="Q853" s="27"/>
      <c r="R853" s="29"/>
      <c r="S853" s="29"/>
      <c r="T853" s="27"/>
      <c r="U853" s="28" t="str">
        <f aca="false">IF(N(T853)=0,"",IF(T853&lt;12,"Under 12 months",IF(T853&lt;36,"12-35 months",IF(T853&lt;60,"36-59 months","≥60 months"))))</f>
        <v/>
      </c>
      <c r="V853" s="27"/>
      <c r="W853" s="30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9"/>
      <c r="AT853" s="30"/>
      <c r="AU853" s="30"/>
      <c r="AV853" s="30"/>
      <c r="AW853" s="27"/>
      <c r="AX853" s="27"/>
      <c r="AY853" s="29"/>
      <c r="AZ853" s="27"/>
      <c r="BA853" s="27"/>
      <c r="BB853" s="29"/>
      <c r="BC853" s="30"/>
      <c r="BD853" s="30"/>
      <c r="BE853" s="30"/>
      <c r="BF853" s="27"/>
      <c r="BG853" s="27"/>
      <c r="BH853" s="28" t="str">
        <f aca="false">IF(COUNT(BC853:BE853)=0,"",IF(MIN(BC853:BE853)&lt;=-2.5,"Yes","No"))</f>
        <v/>
      </c>
      <c r="BI853" s="27"/>
      <c r="BJ853" s="29"/>
      <c r="BK853" s="27"/>
      <c r="BL853" s="27"/>
      <c r="BM853" s="27"/>
      <c r="BN853" s="28" t="str">
        <f aca="false">IF(OR(AX853="Yes",BI853="Yes"),"Yes",IF(AND(AX853="No",BI853="No"),"No",IF(AND(AX853="",BI853=""),"","Unknown")))</f>
        <v/>
      </c>
      <c r="BO853" s="31" t="str">
        <f aca="false">IF(COUNT(AY853,BJ853)=0,"",MIN(AY853,BJ853))</f>
        <v/>
      </c>
      <c r="BP853" s="29"/>
      <c r="BQ853" s="29"/>
      <c r="BR853" s="29"/>
      <c r="BS853" s="28" t="str">
        <f aca="false">IF(AND(N(BP853)&gt;0,N(BR853)&gt;0),BR853-BP853,"")</f>
        <v/>
      </c>
      <c r="BT853" s="28" t="str">
        <f aca="false">IF(BS853="","",ROUND(BS853/365.25,2))</f>
        <v/>
      </c>
      <c r="BU853" s="28" t="str">
        <f aca="false">IF(BS853="","",IF(BS853&gt;=730.5,"Yes","No"))</f>
        <v/>
      </c>
      <c r="BV853" s="27"/>
      <c r="BW853" s="29"/>
      <c r="BX853" s="27"/>
      <c r="BY853" s="27"/>
      <c r="BZ853" s="28" t="str">
        <f aca="false">IF(N(E853)=0,"",IF(E853&lt;65,"Under 65","≥65"))</f>
        <v/>
      </c>
      <c r="CA853" s="28" t="str">
        <f aca="false">IF(OR(AC853="Yes",AC853="No"),AC853,"")</f>
        <v/>
      </c>
      <c r="CB853" s="28" t="str">
        <f aca="false">IF(OR(AD853="Yes",AD853="No"),AD853,"")</f>
        <v/>
      </c>
      <c r="CC853" s="28" t="str">
        <f aca="false">IF(F853="","",F853)</f>
        <v/>
      </c>
      <c r="CD853" s="27"/>
      <c r="CE853" s="27"/>
    </row>
    <row r="854" customFormat="false" ht="15" hidden="false" customHeight="false" outlineLevel="0" collapsed="false">
      <c r="A854" s="27"/>
      <c r="B854" s="27"/>
      <c r="C854" s="27"/>
      <c r="D854" s="27"/>
      <c r="E854" s="27"/>
      <c r="F854" s="27"/>
      <c r="G854" s="27"/>
      <c r="H854" s="27"/>
      <c r="I854" s="27"/>
      <c r="J854" s="28" t="str">
        <f aca="false">IF(AND(N(H854)&gt;0,N(I854)&gt;0),ROUND(I854/(H854/100)^2,1),"")</f>
        <v/>
      </c>
      <c r="K854" s="27"/>
      <c r="L854" s="27"/>
      <c r="M854" s="27"/>
      <c r="N854" s="27"/>
      <c r="O854" s="27"/>
      <c r="P854" s="27"/>
      <c r="Q854" s="27"/>
      <c r="R854" s="29"/>
      <c r="S854" s="29"/>
      <c r="T854" s="27"/>
      <c r="U854" s="28" t="str">
        <f aca="false">IF(N(T854)=0,"",IF(T854&lt;12,"Under 12 months",IF(T854&lt;36,"12-35 months",IF(T854&lt;60,"36-59 months","≥60 months"))))</f>
        <v/>
      </c>
      <c r="V854" s="27"/>
      <c r="W854" s="30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9"/>
      <c r="AT854" s="30"/>
      <c r="AU854" s="30"/>
      <c r="AV854" s="30"/>
      <c r="AW854" s="27"/>
      <c r="AX854" s="27"/>
      <c r="AY854" s="29"/>
      <c r="AZ854" s="27"/>
      <c r="BA854" s="27"/>
      <c r="BB854" s="29"/>
      <c r="BC854" s="30"/>
      <c r="BD854" s="30"/>
      <c r="BE854" s="30"/>
      <c r="BF854" s="27"/>
      <c r="BG854" s="27"/>
      <c r="BH854" s="28" t="str">
        <f aca="false">IF(COUNT(BC854:BE854)=0,"",IF(MIN(BC854:BE854)&lt;=-2.5,"Yes","No"))</f>
        <v/>
      </c>
      <c r="BI854" s="27"/>
      <c r="BJ854" s="29"/>
      <c r="BK854" s="27"/>
      <c r="BL854" s="27"/>
      <c r="BM854" s="27"/>
      <c r="BN854" s="28" t="str">
        <f aca="false">IF(OR(AX854="Yes",BI854="Yes"),"Yes",IF(AND(AX854="No",BI854="No"),"No",IF(AND(AX854="",BI854=""),"","Unknown")))</f>
        <v/>
      </c>
      <c r="BO854" s="31" t="str">
        <f aca="false">IF(COUNT(AY854,BJ854)=0,"",MIN(AY854,BJ854))</f>
        <v/>
      </c>
      <c r="BP854" s="29"/>
      <c r="BQ854" s="29"/>
      <c r="BR854" s="29"/>
      <c r="BS854" s="28" t="str">
        <f aca="false">IF(AND(N(BP854)&gt;0,N(BR854)&gt;0),BR854-BP854,"")</f>
        <v/>
      </c>
      <c r="BT854" s="28" t="str">
        <f aca="false">IF(BS854="","",ROUND(BS854/365.25,2))</f>
        <v/>
      </c>
      <c r="BU854" s="28" t="str">
        <f aca="false">IF(BS854="","",IF(BS854&gt;=730.5,"Yes","No"))</f>
        <v/>
      </c>
      <c r="BV854" s="27"/>
      <c r="BW854" s="29"/>
      <c r="BX854" s="27"/>
      <c r="BY854" s="27"/>
      <c r="BZ854" s="28" t="str">
        <f aca="false">IF(N(E854)=0,"",IF(E854&lt;65,"Under 65","≥65"))</f>
        <v/>
      </c>
      <c r="CA854" s="28" t="str">
        <f aca="false">IF(OR(AC854="Yes",AC854="No"),AC854,"")</f>
        <v/>
      </c>
      <c r="CB854" s="28" t="str">
        <f aca="false">IF(OR(AD854="Yes",AD854="No"),AD854,"")</f>
        <v/>
      </c>
      <c r="CC854" s="28" t="str">
        <f aca="false">IF(F854="","",F854)</f>
        <v/>
      </c>
      <c r="CD854" s="27"/>
      <c r="CE854" s="27"/>
    </row>
    <row r="855" customFormat="false" ht="15" hidden="false" customHeight="false" outlineLevel="0" collapsed="false">
      <c r="A855" s="27"/>
      <c r="B855" s="27"/>
      <c r="C855" s="27"/>
      <c r="D855" s="27"/>
      <c r="E855" s="27"/>
      <c r="F855" s="27"/>
      <c r="G855" s="27"/>
      <c r="H855" s="27"/>
      <c r="I855" s="27"/>
      <c r="J855" s="28" t="str">
        <f aca="false">IF(AND(N(H855)&gt;0,N(I855)&gt;0),ROUND(I855/(H855/100)^2,1),"")</f>
        <v/>
      </c>
      <c r="K855" s="27"/>
      <c r="L855" s="27"/>
      <c r="M855" s="27"/>
      <c r="N855" s="27"/>
      <c r="O855" s="27"/>
      <c r="P855" s="27"/>
      <c r="Q855" s="27"/>
      <c r="R855" s="29"/>
      <c r="S855" s="29"/>
      <c r="T855" s="27"/>
      <c r="U855" s="28" t="str">
        <f aca="false">IF(N(T855)=0,"",IF(T855&lt;12,"Under 12 months",IF(T855&lt;36,"12-35 months",IF(T855&lt;60,"36-59 months","≥60 months"))))</f>
        <v/>
      </c>
      <c r="V855" s="27"/>
      <c r="W855" s="30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9"/>
      <c r="AT855" s="30"/>
      <c r="AU855" s="30"/>
      <c r="AV855" s="30"/>
      <c r="AW855" s="27"/>
      <c r="AX855" s="27"/>
      <c r="AY855" s="29"/>
      <c r="AZ855" s="27"/>
      <c r="BA855" s="27"/>
      <c r="BB855" s="29"/>
      <c r="BC855" s="30"/>
      <c r="BD855" s="30"/>
      <c r="BE855" s="30"/>
      <c r="BF855" s="27"/>
      <c r="BG855" s="27"/>
      <c r="BH855" s="28" t="str">
        <f aca="false">IF(COUNT(BC855:BE855)=0,"",IF(MIN(BC855:BE855)&lt;=-2.5,"Yes","No"))</f>
        <v/>
      </c>
      <c r="BI855" s="27"/>
      <c r="BJ855" s="29"/>
      <c r="BK855" s="27"/>
      <c r="BL855" s="27"/>
      <c r="BM855" s="27"/>
      <c r="BN855" s="28" t="str">
        <f aca="false">IF(OR(AX855="Yes",BI855="Yes"),"Yes",IF(AND(AX855="No",BI855="No"),"No",IF(AND(AX855="",BI855=""),"","Unknown")))</f>
        <v/>
      </c>
      <c r="BO855" s="31" t="str">
        <f aca="false">IF(COUNT(AY855,BJ855)=0,"",MIN(AY855,BJ855))</f>
        <v/>
      </c>
      <c r="BP855" s="29"/>
      <c r="BQ855" s="29"/>
      <c r="BR855" s="29"/>
      <c r="BS855" s="28" t="str">
        <f aca="false">IF(AND(N(BP855)&gt;0,N(BR855)&gt;0),BR855-BP855,"")</f>
        <v/>
      </c>
      <c r="BT855" s="28" t="str">
        <f aca="false">IF(BS855="","",ROUND(BS855/365.25,2))</f>
        <v/>
      </c>
      <c r="BU855" s="28" t="str">
        <f aca="false">IF(BS855="","",IF(BS855&gt;=730.5,"Yes","No"))</f>
        <v/>
      </c>
      <c r="BV855" s="27"/>
      <c r="BW855" s="29"/>
      <c r="BX855" s="27"/>
      <c r="BY855" s="27"/>
      <c r="BZ855" s="28" t="str">
        <f aca="false">IF(N(E855)=0,"",IF(E855&lt;65,"Under 65","≥65"))</f>
        <v/>
      </c>
      <c r="CA855" s="28" t="str">
        <f aca="false">IF(OR(AC855="Yes",AC855="No"),AC855,"")</f>
        <v/>
      </c>
      <c r="CB855" s="28" t="str">
        <f aca="false">IF(OR(AD855="Yes",AD855="No"),AD855,"")</f>
        <v/>
      </c>
      <c r="CC855" s="28" t="str">
        <f aca="false">IF(F855="","",F855)</f>
        <v/>
      </c>
      <c r="CD855" s="27"/>
      <c r="CE855" s="27"/>
    </row>
    <row r="856" customFormat="false" ht="15" hidden="false" customHeight="false" outlineLevel="0" collapsed="false">
      <c r="A856" s="27"/>
      <c r="B856" s="27"/>
      <c r="C856" s="27"/>
      <c r="D856" s="27"/>
      <c r="E856" s="27"/>
      <c r="F856" s="27"/>
      <c r="G856" s="27"/>
      <c r="H856" s="27"/>
      <c r="I856" s="27"/>
      <c r="J856" s="28" t="str">
        <f aca="false">IF(AND(N(H856)&gt;0,N(I856)&gt;0),ROUND(I856/(H856/100)^2,1),"")</f>
        <v/>
      </c>
      <c r="K856" s="27"/>
      <c r="L856" s="27"/>
      <c r="M856" s="27"/>
      <c r="N856" s="27"/>
      <c r="O856" s="27"/>
      <c r="P856" s="27"/>
      <c r="Q856" s="27"/>
      <c r="R856" s="29"/>
      <c r="S856" s="29"/>
      <c r="T856" s="27"/>
      <c r="U856" s="28" t="str">
        <f aca="false">IF(N(T856)=0,"",IF(T856&lt;12,"Under 12 months",IF(T856&lt;36,"12-35 months",IF(T856&lt;60,"36-59 months","≥60 months"))))</f>
        <v/>
      </c>
      <c r="V856" s="27"/>
      <c r="W856" s="30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9"/>
      <c r="AT856" s="30"/>
      <c r="AU856" s="30"/>
      <c r="AV856" s="30"/>
      <c r="AW856" s="27"/>
      <c r="AX856" s="27"/>
      <c r="AY856" s="29"/>
      <c r="AZ856" s="27"/>
      <c r="BA856" s="27"/>
      <c r="BB856" s="29"/>
      <c r="BC856" s="30"/>
      <c r="BD856" s="30"/>
      <c r="BE856" s="30"/>
      <c r="BF856" s="27"/>
      <c r="BG856" s="27"/>
      <c r="BH856" s="28" t="str">
        <f aca="false">IF(COUNT(BC856:BE856)=0,"",IF(MIN(BC856:BE856)&lt;=-2.5,"Yes","No"))</f>
        <v/>
      </c>
      <c r="BI856" s="27"/>
      <c r="BJ856" s="29"/>
      <c r="BK856" s="27"/>
      <c r="BL856" s="27"/>
      <c r="BM856" s="27"/>
      <c r="BN856" s="28" t="str">
        <f aca="false">IF(OR(AX856="Yes",BI856="Yes"),"Yes",IF(AND(AX856="No",BI856="No"),"No",IF(AND(AX856="",BI856=""),"","Unknown")))</f>
        <v/>
      </c>
      <c r="BO856" s="31" t="str">
        <f aca="false">IF(COUNT(AY856,BJ856)=0,"",MIN(AY856,BJ856))</f>
        <v/>
      </c>
      <c r="BP856" s="29"/>
      <c r="BQ856" s="29"/>
      <c r="BR856" s="29"/>
      <c r="BS856" s="28" t="str">
        <f aca="false">IF(AND(N(BP856)&gt;0,N(BR856)&gt;0),BR856-BP856,"")</f>
        <v/>
      </c>
      <c r="BT856" s="28" t="str">
        <f aca="false">IF(BS856="","",ROUND(BS856/365.25,2))</f>
        <v/>
      </c>
      <c r="BU856" s="28" t="str">
        <f aca="false">IF(BS856="","",IF(BS856&gt;=730.5,"Yes","No"))</f>
        <v/>
      </c>
      <c r="BV856" s="27"/>
      <c r="BW856" s="29"/>
      <c r="BX856" s="27"/>
      <c r="BY856" s="27"/>
      <c r="BZ856" s="28" t="str">
        <f aca="false">IF(N(E856)=0,"",IF(E856&lt;65,"Under 65","≥65"))</f>
        <v/>
      </c>
      <c r="CA856" s="28" t="str">
        <f aca="false">IF(OR(AC856="Yes",AC856="No"),AC856,"")</f>
        <v/>
      </c>
      <c r="CB856" s="28" t="str">
        <f aca="false">IF(OR(AD856="Yes",AD856="No"),AD856,"")</f>
        <v/>
      </c>
      <c r="CC856" s="28" t="str">
        <f aca="false">IF(F856="","",F856)</f>
        <v/>
      </c>
      <c r="CD856" s="27"/>
      <c r="CE856" s="27"/>
    </row>
    <row r="857" customFormat="false" ht="15" hidden="false" customHeight="false" outlineLevel="0" collapsed="false">
      <c r="A857" s="27"/>
      <c r="B857" s="27"/>
      <c r="C857" s="27"/>
      <c r="D857" s="27"/>
      <c r="E857" s="27"/>
      <c r="F857" s="27"/>
      <c r="G857" s="27"/>
      <c r="H857" s="27"/>
      <c r="I857" s="27"/>
      <c r="J857" s="28" t="str">
        <f aca="false">IF(AND(N(H857)&gt;0,N(I857)&gt;0),ROUND(I857/(H857/100)^2,1),"")</f>
        <v/>
      </c>
      <c r="K857" s="27"/>
      <c r="L857" s="27"/>
      <c r="M857" s="27"/>
      <c r="N857" s="27"/>
      <c r="O857" s="27"/>
      <c r="P857" s="27"/>
      <c r="Q857" s="27"/>
      <c r="R857" s="29"/>
      <c r="S857" s="29"/>
      <c r="T857" s="27"/>
      <c r="U857" s="28" t="str">
        <f aca="false">IF(N(T857)=0,"",IF(T857&lt;12,"Under 12 months",IF(T857&lt;36,"12-35 months",IF(T857&lt;60,"36-59 months","≥60 months"))))</f>
        <v/>
      </c>
      <c r="V857" s="27"/>
      <c r="W857" s="30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9"/>
      <c r="AT857" s="30"/>
      <c r="AU857" s="30"/>
      <c r="AV857" s="30"/>
      <c r="AW857" s="27"/>
      <c r="AX857" s="27"/>
      <c r="AY857" s="29"/>
      <c r="AZ857" s="27"/>
      <c r="BA857" s="27"/>
      <c r="BB857" s="29"/>
      <c r="BC857" s="30"/>
      <c r="BD857" s="30"/>
      <c r="BE857" s="30"/>
      <c r="BF857" s="27"/>
      <c r="BG857" s="27"/>
      <c r="BH857" s="28" t="str">
        <f aca="false">IF(COUNT(BC857:BE857)=0,"",IF(MIN(BC857:BE857)&lt;=-2.5,"Yes","No"))</f>
        <v/>
      </c>
      <c r="BI857" s="27"/>
      <c r="BJ857" s="29"/>
      <c r="BK857" s="27"/>
      <c r="BL857" s="27"/>
      <c r="BM857" s="27"/>
      <c r="BN857" s="28" t="str">
        <f aca="false">IF(OR(AX857="Yes",BI857="Yes"),"Yes",IF(AND(AX857="No",BI857="No"),"No",IF(AND(AX857="",BI857=""),"","Unknown")))</f>
        <v/>
      </c>
      <c r="BO857" s="31" t="str">
        <f aca="false">IF(COUNT(AY857,BJ857)=0,"",MIN(AY857,BJ857))</f>
        <v/>
      </c>
      <c r="BP857" s="29"/>
      <c r="BQ857" s="29"/>
      <c r="BR857" s="29"/>
      <c r="BS857" s="28" t="str">
        <f aca="false">IF(AND(N(BP857)&gt;0,N(BR857)&gt;0),BR857-BP857,"")</f>
        <v/>
      </c>
      <c r="BT857" s="28" t="str">
        <f aca="false">IF(BS857="","",ROUND(BS857/365.25,2))</f>
        <v/>
      </c>
      <c r="BU857" s="28" t="str">
        <f aca="false">IF(BS857="","",IF(BS857&gt;=730.5,"Yes","No"))</f>
        <v/>
      </c>
      <c r="BV857" s="27"/>
      <c r="BW857" s="29"/>
      <c r="BX857" s="27"/>
      <c r="BY857" s="27"/>
      <c r="BZ857" s="28" t="str">
        <f aca="false">IF(N(E857)=0,"",IF(E857&lt;65,"Under 65","≥65"))</f>
        <v/>
      </c>
      <c r="CA857" s="28" t="str">
        <f aca="false">IF(OR(AC857="Yes",AC857="No"),AC857,"")</f>
        <v/>
      </c>
      <c r="CB857" s="28" t="str">
        <f aca="false">IF(OR(AD857="Yes",AD857="No"),AD857,"")</f>
        <v/>
      </c>
      <c r="CC857" s="28" t="str">
        <f aca="false">IF(F857="","",F857)</f>
        <v/>
      </c>
      <c r="CD857" s="27"/>
      <c r="CE857" s="27"/>
    </row>
    <row r="858" customFormat="false" ht="15" hidden="false" customHeight="false" outlineLevel="0" collapsed="false">
      <c r="A858" s="27"/>
      <c r="B858" s="27"/>
      <c r="C858" s="27"/>
      <c r="D858" s="27"/>
      <c r="E858" s="27"/>
      <c r="F858" s="27"/>
      <c r="G858" s="27"/>
      <c r="H858" s="27"/>
      <c r="I858" s="27"/>
      <c r="J858" s="28" t="str">
        <f aca="false">IF(AND(N(H858)&gt;0,N(I858)&gt;0),ROUND(I858/(H858/100)^2,1),"")</f>
        <v/>
      </c>
      <c r="K858" s="27"/>
      <c r="L858" s="27"/>
      <c r="M858" s="27"/>
      <c r="N858" s="27"/>
      <c r="O858" s="27"/>
      <c r="P858" s="27"/>
      <c r="Q858" s="27"/>
      <c r="R858" s="29"/>
      <c r="S858" s="29"/>
      <c r="T858" s="27"/>
      <c r="U858" s="28" t="str">
        <f aca="false">IF(N(T858)=0,"",IF(T858&lt;12,"Under 12 months",IF(T858&lt;36,"12-35 months",IF(T858&lt;60,"36-59 months","≥60 months"))))</f>
        <v/>
      </c>
      <c r="V858" s="27"/>
      <c r="W858" s="30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9"/>
      <c r="AT858" s="30"/>
      <c r="AU858" s="30"/>
      <c r="AV858" s="30"/>
      <c r="AW858" s="27"/>
      <c r="AX858" s="27"/>
      <c r="AY858" s="29"/>
      <c r="AZ858" s="27"/>
      <c r="BA858" s="27"/>
      <c r="BB858" s="29"/>
      <c r="BC858" s="30"/>
      <c r="BD858" s="30"/>
      <c r="BE858" s="30"/>
      <c r="BF858" s="27"/>
      <c r="BG858" s="27"/>
      <c r="BH858" s="28" t="str">
        <f aca="false">IF(COUNT(BC858:BE858)=0,"",IF(MIN(BC858:BE858)&lt;=-2.5,"Yes","No"))</f>
        <v/>
      </c>
      <c r="BI858" s="27"/>
      <c r="BJ858" s="29"/>
      <c r="BK858" s="27"/>
      <c r="BL858" s="27"/>
      <c r="BM858" s="27"/>
      <c r="BN858" s="28" t="str">
        <f aca="false">IF(OR(AX858="Yes",BI858="Yes"),"Yes",IF(AND(AX858="No",BI858="No"),"No",IF(AND(AX858="",BI858=""),"","Unknown")))</f>
        <v/>
      </c>
      <c r="BO858" s="31" t="str">
        <f aca="false">IF(COUNT(AY858,BJ858)=0,"",MIN(AY858,BJ858))</f>
        <v/>
      </c>
      <c r="BP858" s="29"/>
      <c r="BQ858" s="29"/>
      <c r="BR858" s="29"/>
      <c r="BS858" s="28" t="str">
        <f aca="false">IF(AND(N(BP858)&gt;0,N(BR858)&gt;0),BR858-BP858,"")</f>
        <v/>
      </c>
      <c r="BT858" s="28" t="str">
        <f aca="false">IF(BS858="","",ROUND(BS858/365.25,2))</f>
        <v/>
      </c>
      <c r="BU858" s="28" t="str">
        <f aca="false">IF(BS858="","",IF(BS858&gt;=730.5,"Yes","No"))</f>
        <v/>
      </c>
      <c r="BV858" s="27"/>
      <c r="BW858" s="29"/>
      <c r="BX858" s="27"/>
      <c r="BY858" s="27"/>
      <c r="BZ858" s="28" t="str">
        <f aca="false">IF(N(E858)=0,"",IF(E858&lt;65,"Under 65","≥65"))</f>
        <v/>
      </c>
      <c r="CA858" s="28" t="str">
        <f aca="false">IF(OR(AC858="Yes",AC858="No"),AC858,"")</f>
        <v/>
      </c>
      <c r="CB858" s="28" t="str">
        <f aca="false">IF(OR(AD858="Yes",AD858="No"),AD858,"")</f>
        <v/>
      </c>
      <c r="CC858" s="28" t="str">
        <f aca="false">IF(F858="","",F858)</f>
        <v/>
      </c>
      <c r="CD858" s="27"/>
      <c r="CE858" s="27"/>
    </row>
    <row r="859" customFormat="false" ht="15" hidden="false" customHeight="false" outlineLevel="0" collapsed="false">
      <c r="A859" s="27"/>
      <c r="B859" s="27"/>
      <c r="C859" s="27"/>
      <c r="D859" s="27"/>
      <c r="E859" s="27"/>
      <c r="F859" s="27"/>
      <c r="G859" s="27"/>
      <c r="H859" s="27"/>
      <c r="I859" s="27"/>
      <c r="J859" s="28" t="str">
        <f aca="false">IF(AND(N(H859)&gt;0,N(I859)&gt;0),ROUND(I859/(H859/100)^2,1),"")</f>
        <v/>
      </c>
      <c r="K859" s="27"/>
      <c r="L859" s="27"/>
      <c r="M859" s="27"/>
      <c r="N859" s="27"/>
      <c r="O859" s="27"/>
      <c r="P859" s="27"/>
      <c r="Q859" s="27"/>
      <c r="R859" s="29"/>
      <c r="S859" s="29"/>
      <c r="T859" s="27"/>
      <c r="U859" s="28" t="str">
        <f aca="false">IF(N(T859)=0,"",IF(T859&lt;12,"Under 12 months",IF(T859&lt;36,"12-35 months",IF(T859&lt;60,"36-59 months","≥60 months"))))</f>
        <v/>
      </c>
      <c r="V859" s="27"/>
      <c r="W859" s="30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9"/>
      <c r="AT859" s="30"/>
      <c r="AU859" s="30"/>
      <c r="AV859" s="30"/>
      <c r="AW859" s="27"/>
      <c r="AX859" s="27"/>
      <c r="AY859" s="29"/>
      <c r="AZ859" s="27"/>
      <c r="BA859" s="27"/>
      <c r="BB859" s="29"/>
      <c r="BC859" s="30"/>
      <c r="BD859" s="30"/>
      <c r="BE859" s="30"/>
      <c r="BF859" s="27"/>
      <c r="BG859" s="27"/>
      <c r="BH859" s="28" t="str">
        <f aca="false">IF(COUNT(BC859:BE859)=0,"",IF(MIN(BC859:BE859)&lt;=-2.5,"Yes","No"))</f>
        <v/>
      </c>
      <c r="BI859" s="27"/>
      <c r="BJ859" s="29"/>
      <c r="BK859" s="27"/>
      <c r="BL859" s="27"/>
      <c r="BM859" s="27"/>
      <c r="BN859" s="28" t="str">
        <f aca="false">IF(OR(AX859="Yes",BI859="Yes"),"Yes",IF(AND(AX859="No",BI859="No"),"No",IF(AND(AX859="",BI859=""),"","Unknown")))</f>
        <v/>
      </c>
      <c r="BO859" s="31" t="str">
        <f aca="false">IF(COUNT(AY859,BJ859)=0,"",MIN(AY859,BJ859))</f>
        <v/>
      </c>
      <c r="BP859" s="29"/>
      <c r="BQ859" s="29"/>
      <c r="BR859" s="29"/>
      <c r="BS859" s="28" t="str">
        <f aca="false">IF(AND(N(BP859)&gt;0,N(BR859)&gt;0),BR859-BP859,"")</f>
        <v/>
      </c>
      <c r="BT859" s="28" t="str">
        <f aca="false">IF(BS859="","",ROUND(BS859/365.25,2))</f>
        <v/>
      </c>
      <c r="BU859" s="28" t="str">
        <f aca="false">IF(BS859="","",IF(BS859&gt;=730.5,"Yes","No"))</f>
        <v/>
      </c>
      <c r="BV859" s="27"/>
      <c r="BW859" s="29"/>
      <c r="BX859" s="27"/>
      <c r="BY859" s="27"/>
      <c r="BZ859" s="28" t="str">
        <f aca="false">IF(N(E859)=0,"",IF(E859&lt;65,"Under 65","≥65"))</f>
        <v/>
      </c>
      <c r="CA859" s="28" t="str">
        <f aca="false">IF(OR(AC859="Yes",AC859="No"),AC859,"")</f>
        <v/>
      </c>
      <c r="CB859" s="28" t="str">
        <f aca="false">IF(OR(AD859="Yes",AD859="No"),AD859,"")</f>
        <v/>
      </c>
      <c r="CC859" s="28" t="str">
        <f aca="false">IF(F859="","",F859)</f>
        <v/>
      </c>
      <c r="CD859" s="27"/>
      <c r="CE859" s="27"/>
    </row>
    <row r="860" customFormat="false" ht="15" hidden="false" customHeight="false" outlineLevel="0" collapsed="false">
      <c r="A860" s="27"/>
      <c r="B860" s="27"/>
      <c r="C860" s="27"/>
      <c r="D860" s="27"/>
      <c r="E860" s="27"/>
      <c r="F860" s="27"/>
      <c r="G860" s="27"/>
      <c r="H860" s="27"/>
      <c r="I860" s="27"/>
      <c r="J860" s="28" t="str">
        <f aca="false">IF(AND(N(H860)&gt;0,N(I860)&gt;0),ROUND(I860/(H860/100)^2,1),"")</f>
        <v/>
      </c>
      <c r="K860" s="27"/>
      <c r="L860" s="27"/>
      <c r="M860" s="27"/>
      <c r="N860" s="27"/>
      <c r="O860" s="27"/>
      <c r="P860" s="27"/>
      <c r="Q860" s="27"/>
      <c r="R860" s="29"/>
      <c r="S860" s="29"/>
      <c r="T860" s="27"/>
      <c r="U860" s="28" t="str">
        <f aca="false">IF(N(T860)=0,"",IF(T860&lt;12,"Under 12 months",IF(T860&lt;36,"12-35 months",IF(T860&lt;60,"36-59 months","≥60 months"))))</f>
        <v/>
      </c>
      <c r="V860" s="27"/>
      <c r="W860" s="30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9"/>
      <c r="AT860" s="30"/>
      <c r="AU860" s="30"/>
      <c r="AV860" s="30"/>
      <c r="AW860" s="27"/>
      <c r="AX860" s="27"/>
      <c r="AY860" s="29"/>
      <c r="AZ860" s="27"/>
      <c r="BA860" s="27"/>
      <c r="BB860" s="29"/>
      <c r="BC860" s="30"/>
      <c r="BD860" s="30"/>
      <c r="BE860" s="30"/>
      <c r="BF860" s="27"/>
      <c r="BG860" s="27"/>
      <c r="BH860" s="28" t="str">
        <f aca="false">IF(COUNT(BC860:BE860)=0,"",IF(MIN(BC860:BE860)&lt;=-2.5,"Yes","No"))</f>
        <v/>
      </c>
      <c r="BI860" s="27"/>
      <c r="BJ860" s="29"/>
      <c r="BK860" s="27"/>
      <c r="BL860" s="27"/>
      <c r="BM860" s="27"/>
      <c r="BN860" s="28" t="str">
        <f aca="false">IF(OR(AX860="Yes",BI860="Yes"),"Yes",IF(AND(AX860="No",BI860="No"),"No",IF(AND(AX860="",BI860=""),"","Unknown")))</f>
        <v/>
      </c>
      <c r="BO860" s="31" t="str">
        <f aca="false">IF(COUNT(AY860,BJ860)=0,"",MIN(AY860,BJ860))</f>
        <v/>
      </c>
      <c r="BP860" s="29"/>
      <c r="BQ860" s="29"/>
      <c r="BR860" s="29"/>
      <c r="BS860" s="28" t="str">
        <f aca="false">IF(AND(N(BP860)&gt;0,N(BR860)&gt;0),BR860-BP860,"")</f>
        <v/>
      </c>
      <c r="BT860" s="28" t="str">
        <f aca="false">IF(BS860="","",ROUND(BS860/365.25,2))</f>
        <v/>
      </c>
      <c r="BU860" s="28" t="str">
        <f aca="false">IF(BS860="","",IF(BS860&gt;=730.5,"Yes","No"))</f>
        <v/>
      </c>
      <c r="BV860" s="27"/>
      <c r="BW860" s="29"/>
      <c r="BX860" s="27"/>
      <c r="BY860" s="27"/>
      <c r="BZ860" s="28" t="str">
        <f aca="false">IF(N(E860)=0,"",IF(E860&lt;65,"Under 65","≥65"))</f>
        <v/>
      </c>
      <c r="CA860" s="28" t="str">
        <f aca="false">IF(OR(AC860="Yes",AC860="No"),AC860,"")</f>
        <v/>
      </c>
      <c r="CB860" s="28" t="str">
        <f aca="false">IF(OR(AD860="Yes",AD860="No"),AD860,"")</f>
        <v/>
      </c>
      <c r="CC860" s="28" t="str">
        <f aca="false">IF(F860="","",F860)</f>
        <v/>
      </c>
      <c r="CD860" s="27"/>
      <c r="CE860" s="27"/>
    </row>
    <row r="861" customFormat="false" ht="15" hidden="false" customHeight="false" outlineLevel="0" collapsed="false">
      <c r="A861" s="27"/>
      <c r="B861" s="27"/>
      <c r="C861" s="27"/>
      <c r="D861" s="27"/>
      <c r="E861" s="27"/>
      <c r="F861" s="27"/>
      <c r="G861" s="27"/>
      <c r="H861" s="27"/>
      <c r="I861" s="27"/>
      <c r="J861" s="28" t="str">
        <f aca="false">IF(AND(N(H861)&gt;0,N(I861)&gt;0),ROUND(I861/(H861/100)^2,1),"")</f>
        <v/>
      </c>
      <c r="K861" s="27"/>
      <c r="L861" s="27"/>
      <c r="M861" s="27"/>
      <c r="N861" s="27"/>
      <c r="O861" s="27"/>
      <c r="P861" s="27"/>
      <c r="Q861" s="27"/>
      <c r="R861" s="29"/>
      <c r="S861" s="29"/>
      <c r="T861" s="27"/>
      <c r="U861" s="28" t="str">
        <f aca="false">IF(N(T861)=0,"",IF(T861&lt;12,"Under 12 months",IF(T861&lt;36,"12-35 months",IF(T861&lt;60,"36-59 months","≥60 months"))))</f>
        <v/>
      </c>
      <c r="V861" s="27"/>
      <c r="W861" s="30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9"/>
      <c r="AT861" s="30"/>
      <c r="AU861" s="30"/>
      <c r="AV861" s="30"/>
      <c r="AW861" s="27"/>
      <c r="AX861" s="27"/>
      <c r="AY861" s="29"/>
      <c r="AZ861" s="27"/>
      <c r="BA861" s="27"/>
      <c r="BB861" s="29"/>
      <c r="BC861" s="30"/>
      <c r="BD861" s="30"/>
      <c r="BE861" s="30"/>
      <c r="BF861" s="27"/>
      <c r="BG861" s="27"/>
      <c r="BH861" s="28" t="str">
        <f aca="false">IF(COUNT(BC861:BE861)=0,"",IF(MIN(BC861:BE861)&lt;=-2.5,"Yes","No"))</f>
        <v/>
      </c>
      <c r="BI861" s="27"/>
      <c r="BJ861" s="29"/>
      <c r="BK861" s="27"/>
      <c r="BL861" s="27"/>
      <c r="BM861" s="27"/>
      <c r="BN861" s="28" t="str">
        <f aca="false">IF(OR(AX861="Yes",BI861="Yes"),"Yes",IF(AND(AX861="No",BI861="No"),"No",IF(AND(AX861="",BI861=""),"","Unknown")))</f>
        <v/>
      </c>
      <c r="BO861" s="31" t="str">
        <f aca="false">IF(COUNT(AY861,BJ861)=0,"",MIN(AY861,BJ861))</f>
        <v/>
      </c>
      <c r="BP861" s="29"/>
      <c r="BQ861" s="29"/>
      <c r="BR861" s="29"/>
      <c r="BS861" s="28" t="str">
        <f aca="false">IF(AND(N(BP861)&gt;0,N(BR861)&gt;0),BR861-BP861,"")</f>
        <v/>
      </c>
      <c r="BT861" s="28" t="str">
        <f aca="false">IF(BS861="","",ROUND(BS861/365.25,2))</f>
        <v/>
      </c>
      <c r="BU861" s="28" t="str">
        <f aca="false">IF(BS861="","",IF(BS861&gt;=730.5,"Yes","No"))</f>
        <v/>
      </c>
      <c r="BV861" s="27"/>
      <c r="BW861" s="29"/>
      <c r="BX861" s="27"/>
      <c r="BY861" s="27"/>
      <c r="BZ861" s="28" t="str">
        <f aca="false">IF(N(E861)=0,"",IF(E861&lt;65,"Under 65","≥65"))</f>
        <v/>
      </c>
      <c r="CA861" s="28" t="str">
        <f aca="false">IF(OR(AC861="Yes",AC861="No"),AC861,"")</f>
        <v/>
      </c>
      <c r="CB861" s="28" t="str">
        <f aca="false">IF(OR(AD861="Yes",AD861="No"),AD861,"")</f>
        <v/>
      </c>
      <c r="CC861" s="28" t="str">
        <f aca="false">IF(F861="","",F861)</f>
        <v/>
      </c>
      <c r="CD861" s="27"/>
      <c r="CE861" s="27"/>
    </row>
    <row r="862" customFormat="false" ht="15" hidden="false" customHeight="false" outlineLevel="0" collapsed="false">
      <c r="A862" s="27"/>
      <c r="B862" s="27"/>
      <c r="C862" s="27"/>
      <c r="D862" s="27"/>
      <c r="E862" s="27"/>
      <c r="F862" s="27"/>
      <c r="G862" s="27"/>
      <c r="H862" s="27"/>
      <c r="I862" s="27"/>
      <c r="J862" s="28" t="str">
        <f aca="false">IF(AND(N(H862)&gt;0,N(I862)&gt;0),ROUND(I862/(H862/100)^2,1),"")</f>
        <v/>
      </c>
      <c r="K862" s="27"/>
      <c r="L862" s="27"/>
      <c r="M862" s="27"/>
      <c r="N862" s="27"/>
      <c r="O862" s="27"/>
      <c r="P862" s="27"/>
      <c r="Q862" s="27"/>
      <c r="R862" s="29"/>
      <c r="S862" s="29"/>
      <c r="T862" s="27"/>
      <c r="U862" s="28" t="str">
        <f aca="false">IF(N(T862)=0,"",IF(T862&lt;12,"Under 12 months",IF(T862&lt;36,"12-35 months",IF(T862&lt;60,"36-59 months","≥60 months"))))</f>
        <v/>
      </c>
      <c r="V862" s="27"/>
      <c r="W862" s="30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9"/>
      <c r="AT862" s="30"/>
      <c r="AU862" s="30"/>
      <c r="AV862" s="30"/>
      <c r="AW862" s="27"/>
      <c r="AX862" s="27"/>
      <c r="AY862" s="29"/>
      <c r="AZ862" s="27"/>
      <c r="BA862" s="27"/>
      <c r="BB862" s="29"/>
      <c r="BC862" s="30"/>
      <c r="BD862" s="30"/>
      <c r="BE862" s="30"/>
      <c r="BF862" s="27"/>
      <c r="BG862" s="27"/>
      <c r="BH862" s="28" t="str">
        <f aca="false">IF(COUNT(BC862:BE862)=0,"",IF(MIN(BC862:BE862)&lt;=-2.5,"Yes","No"))</f>
        <v/>
      </c>
      <c r="BI862" s="27"/>
      <c r="BJ862" s="29"/>
      <c r="BK862" s="27"/>
      <c r="BL862" s="27"/>
      <c r="BM862" s="27"/>
      <c r="BN862" s="28" t="str">
        <f aca="false">IF(OR(AX862="Yes",BI862="Yes"),"Yes",IF(AND(AX862="No",BI862="No"),"No",IF(AND(AX862="",BI862=""),"","Unknown")))</f>
        <v/>
      </c>
      <c r="BO862" s="31" t="str">
        <f aca="false">IF(COUNT(AY862,BJ862)=0,"",MIN(AY862,BJ862))</f>
        <v/>
      </c>
      <c r="BP862" s="29"/>
      <c r="BQ862" s="29"/>
      <c r="BR862" s="29"/>
      <c r="BS862" s="28" t="str">
        <f aca="false">IF(AND(N(BP862)&gt;0,N(BR862)&gt;0),BR862-BP862,"")</f>
        <v/>
      </c>
      <c r="BT862" s="28" t="str">
        <f aca="false">IF(BS862="","",ROUND(BS862/365.25,2))</f>
        <v/>
      </c>
      <c r="BU862" s="28" t="str">
        <f aca="false">IF(BS862="","",IF(BS862&gt;=730.5,"Yes","No"))</f>
        <v/>
      </c>
      <c r="BV862" s="27"/>
      <c r="BW862" s="29"/>
      <c r="BX862" s="27"/>
      <c r="BY862" s="27"/>
      <c r="BZ862" s="28" t="str">
        <f aca="false">IF(N(E862)=0,"",IF(E862&lt;65,"Under 65","≥65"))</f>
        <v/>
      </c>
      <c r="CA862" s="28" t="str">
        <f aca="false">IF(OR(AC862="Yes",AC862="No"),AC862,"")</f>
        <v/>
      </c>
      <c r="CB862" s="28" t="str">
        <f aca="false">IF(OR(AD862="Yes",AD862="No"),AD862,"")</f>
        <v/>
      </c>
      <c r="CC862" s="28" t="str">
        <f aca="false">IF(F862="","",F862)</f>
        <v/>
      </c>
      <c r="CD862" s="27"/>
      <c r="CE862" s="27"/>
    </row>
    <row r="863" customFormat="false" ht="15" hidden="false" customHeight="false" outlineLevel="0" collapsed="false">
      <c r="A863" s="27"/>
      <c r="B863" s="27"/>
      <c r="C863" s="27"/>
      <c r="D863" s="27"/>
      <c r="E863" s="27"/>
      <c r="F863" s="27"/>
      <c r="G863" s="27"/>
      <c r="H863" s="27"/>
      <c r="I863" s="27"/>
      <c r="J863" s="28" t="str">
        <f aca="false">IF(AND(N(H863)&gt;0,N(I863)&gt;0),ROUND(I863/(H863/100)^2,1),"")</f>
        <v/>
      </c>
      <c r="K863" s="27"/>
      <c r="L863" s="27"/>
      <c r="M863" s="27"/>
      <c r="N863" s="27"/>
      <c r="O863" s="27"/>
      <c r="P863" s="27"/>
      <c r="Q863" s="27"/>
      <c r="R863" s="29"/>
      <c r="S863" s="29"/>
      <c r="T863" s="27"/>
      <c r="U863" s="28" t="str">
        <f aca="false">IF(N(T863)=0,"",IF(T863&lt;12,"Under 12 months",IF(T863&lt;36,"12-35 months",IF(T863&lt;60,"36-59 months","≥60 months"))))</f>
        <v/>
      </c>
      <c r="V863" s="27"/>
      <c r="W863" s="30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9"/>
      <c r="AT863" s="30"/>
      <c r="AU863" s="30"/>
      <c r="AV863" s="30"/>
      <c r="AW863" s="27"/>
      <c r="AX863" s="27"/>
      <c r="AY863" s="29"/>
      <c r="AZ863" s="27"/>
      <c r="BA863" s="27"/>
      <c r="BB863" s="29"/>
      <c r="BC863" s="30"/>
      <c r="BD863" s="30"/>
      <c r="BE863" s="30"/>
      <c r="BF863" s="27"/>
      <c r="BG863" s="27"/>
      <c r="BH863" s="28" t="str">
        <f aca="false">IF(COUNT(BC863:BE863)=0,"",IF(MIN(BC863:BE863)&lt;=-2.5,"Yes","No"))</f>
        <v/>
      </c>
      <c r="BI863" s="27"/>
      <c r="BJ863" s="29"/>
      <c r="BK863" s="27"/>
      <c r="BL863" s="27"/>
      <c r="BM863" s="27"/>
      <c r="BN863" s="28" t="str">
        <f aca="false">IF(OR(AX863="Yes",BI863="Yes"),"Yes",IF(AND(AX863="No",BI863="No"),"No",IF(AND(AX863="",BI863=""),"","Unknown")))</f>
        <v/>
      </c>
      <c r="BO863" s="31" t="str">
        <f aca="false">IF(COUNT(AY863,BJ863)=0,"",MIN(AY863,BJ863))</f>
        <v/>
      </c>
      <c r="BP863" s="29"/>
      <c r="BQ863" s="29"/>
      <c r="BR863" s="29"/>
      <c r="BS863" s="28" t="str">
        <f aca="false">IF(AND(N(BP863)&gt;0,N(BR863)&gt;0),BR863-BP863,"")</f>
        <v/>
      </c>
      <c r="BT863" s="28" t="str">
        <f aca="false">IF(BS863="","",ROUND(BS863/365.25,2))</f>
        <v/>
      </c>
      <c r="BU863" s="28" t="str">
        <f aca="false">IF(BS863="","",IF(BS863&gt;=730.5,"Yes","No"))</f>
        <v/>
      </c>
      <c r="BV863" s="27"/>
      <c r="BW863" s="29"/>
      <c r="BX863" s="27"/>
      <c r="BY863" s="27"/>
      <c r="BZ863" s="28" t="str">
        <f aca="false">IF(N(E863)=0,"",IF(E863&lt;65,"Under 65","≥65"))</f>
        <v/>
      </c>
      <c r="CA863" s="28" t="str">
        <f aca="false">IF(OR(AC863="Yes",AC863="No"),AC863,"")</f>
        <v/>
      </c>
      <c r="CB863" s="28" t="str">
        <f aca="false">IF(OR(AD863="Yes",AD863="No"),AD863,"")</f>
        <v/>
      </c>
      <c r="CC863" s="28" t="str">
        <f aca="false">IF(F863="","",F863)</f>
        <v/>
      </c>
      <c r="CD863" s="27"/>
      <c r="CE863" s="27"/>
    </row>
    <row r="864" customFormat="false" ht="15" hidden="false" customHeight="false" outlineLevel="0" collapsed="false">
      <c r="A864" s="27"/>
      <c r="B864" s="27"/>
      <c r="C864" s="27"/>
      <c r="D864" s="27"/>
      <c r="E864" s="27"/>
      <c r="F864" s="27"/>
      <c r="G864" s="27"/>
      <c r="H864" s="27"/>
      <c r="I864" s="27"/>
      <c r="J864" s="28" t="str">
        <f aca="false">IF(AND(N(H864)&gt;0,N(I864)&gt;0),ROUND(I864/(H864/100)^2,1),"")</f>
        <v/>
      </c>
      <c r="K864" s="27"/>
      <c r="L864" s="27"/>
      <c r="M864" s="27"/>
      <c r="N864" s="27"/>
      <c r="O864" s="27"/>
      <c r="P864" s="27"/>
      <c r="Q864" s="27"/>
      <c r="R864" s="29"/>
      <c r="S864" s="29"/>
      <c r="T864" s="27"/>
      <c r="U864" s="28" t="str">
        <f aca="false">IF(N(T864)=0,"",IF(T864&lt;12,"Under 12 months",IF(T864&lt;36,"12-35 months",IF(T864&lt;60,"36-59 months","≥60 months"))))</f>
        <v/>
      </c>
      <c r="V864" s="27"/>
      <c r="W864" s="30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9"/>
      <c r="AT864" s="30"/>
      <c r="AU864" s="30"/>
      <c r="AV864" s="30"/>
      <c r="AW864" s="27"/>
      <c r="AX864" s="27"/>
      <c r="AY864" s="29"/>
      <c r="AZ864" s="27"/>
      <c r="BA864" s="27"/>
      <c r="BB864" s="29"/>
      <c r="BC864" s="30"/>
      <c r="BD864" s="30"/>
      <c r="BE864" s="30"/>
      <c r="BF864" s="27"/>
      <c r="BG864" s="27"/>
      <c r="BH864" s="28" t="str">
        <f aca="false">IF(COUNT(BC864:BE864)=0,"",IF(MIN(BC864:BE864)&lt;=-2.5,"Yes","No"))</f>
        <v/>
      </c>
      <c r="BI864" s="27"/>
      <c r="BJ864" s="29"/>
      <c r="BK864" s="27"/>
      <c r="BL864" s="27"/>
      <c r="BM864" s="27"/>
      <c r="BN864" s="28" t="str">
        <f aca="false">IF(OR(AX864="Yes",BI864="Yes"),"Yes",IF(AND(AX864="No",BI864="No"),"No",IF(AND(AX864="",BI864=""),"","Unknown")))</f>
        <v/>
      </c>
      <c r="BO864" s="31" t="str">
        <f aca="false">IF(COUNT(AY864,BJ864)=0,"",MIN(AY864,BJ864))</f>
        <v/>
      </c>
      <c r="BP864" s="29"/>
      <c r="BQ864" s="29"/>
      <c r="BR864" s="29"/>
      <c r="BS864" s="28" t="str">
        <f aca="false">IF(AND(N(BP864)&gt;0,N(BR864)&gt;0),BR864-BP864,"")</f>
        <v/>
      </c>
      <c r="BT864" s="28" t="str">
        <f aca="false">IF(BS864="","",ROUND(BS864/365.25,2))</f>
        <v/>
      </c>
      <c r="BU864" s="28" t="str">
        <f aca="false">IF(BS864="","",IF(BS864&gt;=730.5,"Yes","No"))</f>
        <v/>
      </c>
      <c r="BV864" s="27"/>
      <c r="BW864" s="29"/>
      <c r="BX864" s="27"/>
      <c r="BY864" s="27"/>
      <c r="BZ864" s="28" t="str">
        <f aca="false">IF(N(E864)=0,"",IF(E864&lt;65,"Under 65","≥65"))</f>
        <v/>
      </c>
      <c r="CA864" s="28" t="str">
        <f aca="false">IF(OR(AC864="Yes",AC864="No"),AC864,"")</f>
        <v/>
      </c>
      <c r="CB864" s="28" t="str">
        <f aca="false">IF(OR(AD864="Yes",AD864="No"),AD864,"")</f>
        <v/>
      </c>
      <c r="CC864" s="28" t="str">
        <f aca="false">IF(F864="","",F864)</f>
        <v/>
      </c>
      <c r="CD864" s="27"/>
      <c r="CE864" s="27"/>
    </row>
    <row r="865" customFormat="false" ht="15" hidden="false" customHeight="false" outlineLevel="0" collapsed="false">
      <c r="A865" s="27"/>
      <c r="B865" s="27"/>
      <c r="C865" s="27"/>
      <c r="D865" s="27"/>
      <c r="E865" s="27"/>
      <c r="F865" s="27"/>
      <c r="G865" s="27"/>
      <c r="H865" s="27"/>
      <c r="I865" s="27"/>
      <c r="J865" s="28" t="str">
        <f aca="false">IF(AND(N(H865)&gt;0,N(I865)&gt;0),ROUND(I865/(H865/100)^2,1),"")</f>
        <v/>
      </c>
      <c r="K865" s="27"/>
      <c r="L865" s="27"/>
      <c r="M865" s="27"/>
      <c r="N865" s="27"/>
      <c r="O865" s="27"/>
      <c r="P865" s="27"/>
      <c r="Q865" s="27"/>
      <c r="R865" s="29"/>
      <c r="S865" s="29"/>
      <c r="T865" s="27"/>
      <c r="U865" s="28" t="str">
        <f aca="false">IF(N(T865)=0,"",IF(T865&lt;12,"Under 12 months",IF(T865&lt;36,"12-35 months",IF(T865&lt;60,"36-59 months","≥60 months"))))</f>
        <v/>
      </c>
      <c r="V865" s="27"/>
      <c r="W865" s="30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9"/>
      <c r="AT865" s="30"/>
      <c r="AU865" s="30"/>
      <c r="AV865" s="30"/>
      <c r="AW865" s="27"/>
      <c r="AX865" s="27"/>
      <c r="AY865" s="29"/>
      <c r="AZ865" s="27"/>
      <c r="BA865" s="27"/>
      <c r="BB865" s="29"/>
      <c r="BC865" s="30"/>
      <c r="BD865" s="30"/>
      <c r="BE865" s="30"/>
      <c r="BF865" s="27"/>
      <c r="BG865" s="27"/>
      <c r="BH865" s="28" t="str">
        <f aca="false">IF(COUNT(BC865:BE865)=0,"",IF(MIN(BC865:BE865)&lt;=-2.5,"Yes","No"))</f>
        <v/>
      </c>
      <c r="BI865" s="27"/>
      <c r="BJ865" s="29"/>
      <c r="BK865" s="27"/>
      <c r="BL865" s="27"/>
      <c r="BM865" s="27"/>
      <c r="BN865" s="28" t="str">
        <f aca="false">IF(OR(AX865="Yes",BI865="Yes"),"Yes",IF(AND(AX865="No",BI865="No"),"No",IF(AND(AX865="",BI865=""),"","Unknown")))</f>
        <v/>
      </c>
      <c r="BO865" s="31" t="str">
        <f aca="false">IF(COUNT(AY865,BJ865)=0,"",MIN(AY865,BJ865))</f>
        <v/>
      </c>
      <c r="BP865" s="29"/>
      <c r="BQ865" s="29"/>
      <c r="BR865" s="29"/>
      <c r="BS865" s="28" t="str">
        <f aca="false">IF(AND(N(BP865)&gt;0,N(BR865)&gt;0),BR865-BP865,"")</f>
        <v/>
      </c>
      <c r="BT865" s="28" t="str">
        <f aca="false">IF(BS865="","",ROUND(BS865/365.25,2))</f>
        <v/>
      </c>
      <c r="BU865" s="28" t="str">
        <f aca="false">IF(BS865="","",IF(BS865&gt;=730.5,"Yes","No"))</f>
        <v/>
      </c>
      <c r="BV865" s="27"/>
      <c r="BW865" s="29"/>
      <c r="BX865" s="27"/>
      <c r="BY865" s="27"/>
      <c r="BZ865" s="28" t="str">
        <f aca="false">IF(N(E865)=0,"",IF(E865&lt;65,"Under 65","≥65"))</f>
        <v/>
      </c>
      <c r="CA865" s="28" t="str">
        <f aca="false">IF(OR(AC865="Yes",AC865="No"),AC865,"")</f>
        <v/>
      </c>
      <c r="CB865" s="28" t="str">
        <f aca="false">IF(OR(AD865="Yes",AD865="No"),AD865,"")</f>
        <v/>
      </c>
      <c r="CC865" s="28" t="str">
        <f aca="false">IF(F865="","",F865)</f>
        <v/>
      </c>
      <c r="CD865" s="27"/>
      <c r="CE865" s="27"/>
    </row>
    <row r="866" customFormat="false" ht="15" hidden="false" customHeight="false" outlineLevel="0" collapsed="false">
      <c r="A866" s="27"/>
      <c r="B866" s="27"/>
      <c r="C866" s="27"/>
      <c r="D866" s="27"/>
      <c r="E866" s="27"/>
      <c r="F866" s="27"/>
      <c r="G866" s="27"/>
      <c r="H866" s="27"/>
      <c r="I866" s="27"/>
      <c r="J866" s="28" t="str">
        <f aca="false">IF(AND(N(H866)&gt;0,N(I866)&gt;0),ROUND(I866/(H866/100)^2,1),"")</f>
        <v/>
      </c>
      <c r="K866" s="27"/>
      <c r="L866" s="27"/>
      <c r="M866" s="27"/>
      <c r="N866" s="27"/>
      <c r="O866" s="27"/>
      <c r="P866" s="27"/>
      <c r="Q866" s="27"/>
      <c r="R866" s="29"/>
      <c r="S866" s="29"/>
      <c r="T866" s="27"/>
      <c r="U866" s="28" t="str">
        <f aca="false">IF(N(T866)=0,"",IF(T866&lt;12,"Under 12 months",IF(T866&lt;36,"12-35 months",IF(T866&lt;60,"36-59 months","≥60 months"))))</f>
        <v/>
      </c>
      <c r="V866" s="27"/>
      <c r="W866" s="30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9"/>
      <c r="AT866" s="30"/>
      <c r="AU866" s="30"/>
      <c r="AV866" s="30"/>
      <c r="AW866" s="27"/>
      <c r="AX866" s="27"/>
      <c r="AY866" s="29"/>
      <c r="AZ866" s="27"/>
      <c r="BA866" s="27"/>
      <c r="BB866" s="29"/>
      <c r="BC866" s="30"/>
      <c r="BD866" s="30"/>
      <c r="BE866" s="30"/>
      <c r="BF866" s="27"/>
      <c r="BG866" s="27"/>
      <c r="BH866" s="28" t="str">
        <f aca="false">IF(COUNT(BC866:BE866)=0,"",IF(MIN(BC866:BE866)&lt;=-2.5,"Yes","No"))</f>
        <v/>
      </c>
      <c r="BI866" s="27"/>
      <c r="BJ866" s="29"/>
      <c r="BK866" s="27"/>
      <c r="BL866" s="27"/>
      <c r="BM866" s="27"/>
      <c r="BN866" s="28" t="str">
        <f aca="false">IF(OR(AX866="Yes",BI866="Yes"),"Yes",IF(AND(AX866="No",BI866="No"),"No",IF(AND(AX866="",BI866=""),"","Unknown")))</f>
        <v/>
      </c>
      <c r="BO866" s="31" t="str">
        <f aca="false">IF(COUNT(AY866,BJ866)=0,"",MIN(AY866,BJ866))</f>
        <v/>
      </c>
      <c r="BP866" s="29"/>
      <c r="BQ866" s="29"/>
      <c r="BR866" s="29"/>
      <c r="BS866" s="28" t="str">
        <f aca="false">IF(AND(N(BP866)&gt;0,N(BR866)&gt;0),BR866-BP866,"")</f>
        <v/>
      </c>
      <c r="BT866" s="28" t="str">
        <f aca="false">IF(BS866="","",ROUND(BS866/365.25,2))</f>
        <v/>
      </c>
      <c r="BU866" s="28" t="str">
        <f aca="false">IF(BS866="","",IF(BS866&gt;=730.5,"Yes","No"))</f>
        <v/>
      </c>
      <c r="BV866" s="27"/>
      <c r="BW866" s="29"/>
      <c r="BX866" s="27"/>
      <c r="BY866" s="27"/>
      <c r="BZ866" s="28" t="str">
        <f aca="false">IF(N(E866)=0,"",IF(E866&lt;65,"Under 65","≥65"))</f>
        <v/>
      </c>
      <c r="CA866" s="28" t="str">
        <f aca="false">IF(OR(AC866="Yes",AC866="No"),AC866,"")</f>
        <v/>
      </c>
      <c r="CB866" s="28" t="str">
        <f aca="false">IF(OR(AD866="Yes",AD866="No"),AD866,"")</f>
        <v/>
      </c>
      <c r="CC866" s="28" t="str">
        <f aca="false">IF(F866="","",F866)</f>
        <v/>
      </c>
      <c r="CD866" s="27"/>
      <c r="CE866" s="27"/>
    </row>
    <row r="867" customFormat="false" ht="15" hidden="false" customHeight="false" outlineLevel="0" collapsed="false">
      <c r="A867" s="27"/>
      <c r="B867" s="27"/>
      <c r="C867" s="27"/>
      <c r="D867" s="27"/>
      <c r="E867" s="27"/>
      <c r="F867" s="27"/>
      <c r="G867" s="27"/>
      <c r="H867" s="27"/>
      <c r="I867" s="27"/>
      <c r="J867" s="28" t="str">
        <f aca="false">IF(AND(N(H867)&gt;0,N(I867)&gt;0),ROUND(I867/(H867/100)^2,1),"")</f>
        <v/>
      </c>
      <c r="K867" s="27"/>
      <c r="L867" s="27"/>
      <c r="M867" s="27"/>
      <c r="N867" s="27"/>
      <c r="O867" s="27"/>
      <c r="P867" s="27"/>
      <c r="Q867" s="27"/>
      <c r="R867" s="29"/>
      <c r="S867" s="29"/>
      <c r="T867" s="27"/>
      <c r="U867" s="28" t="str">
        <f aca="false">IF(N(T867)=0,"",IF(T867&lt;12,"Under 12 months",IF(T867&lt;36,"12-35 months",IF(T867&lt;60,"36-59 months","≥60 months"))))</f>
        <v/>
      </c>
      <c r="V867" s="27"/>
      <c r="W867" s="30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9"/>
      <c r="AT867" s="30"/>
      <c r="AU867" s="30"/>
      <c r="AV867" s="30"/>
      <c r="AW867" s="27"/>
      <c r="AX867" s="27"/>
      <c r="AY867" s="29"/>
      <c r="AZ867" s="27"/>
      <c r="BA867" s="27"/>
      <c r="BB867" s="29"/>
      <c r="BC867" s="30"/>
      <c r="BD867" s="30"/>
      <c r="BE867" s="30"/>
      <c r="BF867" s="27"/>
      <c r="BG867" s="27"/>
      <c r="BH867" s="28" t="str">
        <f aca="false">IF(COUNT(BC867:BE867)=0,"",IF(MIN(BC867:BE867)&lt;=-2.5,"Yes","No"))</f>
        <v/>
      </c>
      <c r="BI867" s="27"/>
      <c r="BJ867" s="29"/>
      <c r="BK867" s="27"/>
      <c r="BL867" s="27"/>
      <c r="BM867" s="27"/>
      <c r="BN867" s="28" t="str">
        <f aca="false">IF(OR(AX867="Yes",BI867="Yes"),"Yes",IF(AND(AX867="No",BI867="No"),"No",IF(AND(AX867="",BI867=""),"","Unknown")))</f>
        <v/>
      </c>
      <c r="BO867" s="31" t="str">
        <f aca="false">IF(COUNT(AY867,BJ867)=0,"",MIN(AY867,BJ867))</f>
        <v/>
      </c>
      <c r="BP867" s="29"/>
      <c r="BQ867" s="29"/>
      <c r="BR867" s="29"/>
      <c r="BS867" s="28" t="str">
        <f aca="false">IF(AND(N(BP867)&gt;0,N(BR867)&gt;0),BR867-BP867,"")</f>
        <v/>
      </c>
      <c r="BT867" s="28" t="str">
        <f aca="false">IF(BS867="","",ROUND(BS867/365.25,2))</f>
        <v/>
      </c>
      <c r="BU867" s="28" t="str">
        <f aca="false">IF(BS867="","",IF(BS867&gt;=730.5,"Yes","No"))</f>
        <v/>
      </c>
      <c r="BV867" s="27"/>
      <c r="BW867" s="29"/>
      <c r="BX867" s="27"/>
      <c r="BY867" s="27"/>
      <c r="BZ867" s="28" t="str">
        <f aca="false">IF(N(E867)=0,"",IF(E867&lt;65,"Under 65","≥65"))</f>
        <v/>
      </c>
      <c r="CA867" s="28" t="str">
        <f aca="false">IF(OR(AC867="Yes",AC867="No"),AC867,"")</f>
        <v/>
      </c>
      <c r="CB867" s="28" t="str">
        <f aca="false">IF(OR(AD867="Yes",AD867="No"),AD867,"")</f>
        <v/>
      </c>
      <c r="CC867" s="28" t="str">
        <f aca="false">IF(F867="","",F867)</f>
        <v/>
      </c>
      <c r="CD867" s="27"/>
      <c r="CE867" s="27"/>
    </row>
    <row r="868" customFormat="false" ht="15" hidden="false" customHeight="false" outlineLevel="0" collapsed="false">
      <c r="A868" s="27"/>
      <c r="B868" s="27"/>
      <c r="C868" s="27"/>
      <c r="D868" s="27"/>
      <c r="E868" s="27"/>
      <c r="F868" s="27"/>
      <c r="G868" s="27"/>
      <c r="H868" s="27"/>
      <c r="I868" s="27"/>
      <c r="J868" s="28" t="str">
        <f aca="false">IF(AND(N(H868)&gt;0,N(I868)&gt;0),ROUND(I868/(H868/100)^2,1),"")</f>
        <v/>
      </c>
      <c r="K868" s="27"/>
      <c r="L868" s="27"/>
      <c r="M868" s="27"/>
      <c r="N868" s="27"/>
      <c r="O868" s="27"/>
      <c r="P868" s="27"/>
      <c r="Q868" s="27"/>
      <c r="R868" s="29"/>
      <c r="S868" s="29"/>
      <c r="T868" s="27"/>
      <c r="U868" s="28" t="str">
        <f aca="false">IF(N(T868)=0,"",IF(T868&lt;12,"Under 12 months",IF(T868&lt;36,"12-35 months",IF(T868&lt;60,"36-59 months","≥60 months"))))</f>
        <v/>
      </c>
      <c r="V868" s="27"/>
      <c r="W868" s="30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9"/>
      <c r="AT868" s="30"/>
      <c r="AU868" s="30"/>
      <c r="AV868" s="30"/>
      <c r="AW868" s="27"/>
      <c r="AX868" s="27"/>
      <c r="AY868" s="29"/>
      <c r="AZ868" s="27"/>
      <c r="BA868" s="27"/>
      <c r="BB868" s="29"/>
      <c r="BC868" s="30"/>
      <c r="BD868" s="30"/>
      <c r="BE868" s="30"/>
      <c r="BF868" s="27"/>
      <c r="BG868" s="27"/>
      <c r="BH868" s="28" t="str">
        <f aca="false">IF(COUNT(BC868:BE868)=0,"",IF(MIN(BC868:BE868)&lt;=-2.5,"Yes","No"))</f>
        <v/>
      </c>
      <c r="BI868" s="27"/>
      <c r="BJ868" s="29"/>
      <c r="BK868" s="27"/>
      <c r="BL868" s="27"/>
      <c r="BM868" s="27"/>
      <c r="BN868" s="28" t="str">
        <f aca="false">IF(OR(AX868="Yes",BI868="Yes"),"Yes",IF(AND(AX868="No",BI868="No"),"No",IF(AND(AX868="",BI868=""),"","Unknown")))</f>
        <v/>
      </c>
      <c r="BO868" s="31" t="str">
        <f aca="false">IF(COUNT(AY868,BJ868)=0,"",MIN(AY868,BJ868))</f>
        <v/>
      </c>
      <c r="BP868" s="29"/>
      <c r="BQ868" s="29"/>
      <c r="BR868" s="29"/>
      <c r="BS868" s="28" t="str">
        <f aca="false">IF(AND(N(BP868)&gt;0,N(BR868)&gt;0),BR868-BP868,"")</f>
        <v/>
      </c>
      <c r="BT868" s="28" t="str">
        <f aca="false">IF(BS868="","",ROUND(BS868/365.25,2))</f>
        <v/>
      </c>
      <c r="BU868" s="28" t="str">
        <f aca="false">IF(BS868="","",IF(BS868&gt;=730.5,"Yes","No"))</f>
        <v/>
      </c>
      <c r="BV868" s="27"/>
      <c r="BW868" s="29"/>
      <c r="BX868" s="27"/>
      <c r="BY868" s="27"/>
      <c r="BZ868" s="28" t="str">
        <f aca="false">IF(N(E868)=0,"",IF(E868&lt;65,"Under 65","≥65"))</f>
        <v/>
      </c>
      <c r="CA868" s="28" t="str">
        <f aca="false">IF(OR(AC868="Yes",AC868="No"),AC868,"")</f>
        <v/>
      </c>
      <c r="CB868" s="28" t="str">
        <f aca="false">IF(OR(AD868="Yes",AD868="No"),AD868,"")</f>
        <v/>
      </c>
      <c r="CC868" s="28" t="str">
        <f aca="false">IF(F868="","",F868)</f>
        <v/>
      </c>
      <c r="CD868" s="27"/>
      <c r="CE868" s="27"/>
    </row>
    <row r="869" customFormat="false" ht="15" hidden="false" customHeight="false" outlineLevel="0" collapsed="false">
      <c r="A869" s="27"/>
      <c r="B869" s="27"/>
      <c r="C869" s="27"/>
      <c r="D869" s="27"/>
      <c r="E869" s="27"/>
      <c r="F869" s="27"/>
      <c r="G869" s="27"/>
      <c r="H869" s="27"/>
      <c r="I869" s="27"/>
      <c r="J869" s="28" t="str">
        <f aca="false">IF(AND(N(H869)&gt;0,N(I869)&gt;0),ROUND(I869/(H869/100)^2,1),"")</f>
        <v/>
      </c>
      <c r="K869" s="27"/>
      <c r="L869" s="27"/>
      <c r="M869" s="27"/>
      <c r="N869" s="27"/>
      <c r="O869" s="27"/>
      <c r="P869" s="27"/>
      <c r="Q869" s="27"/>
      <c r="R869" s="29"/>
      <c r="S869" s="29"/>
      <c r="T869" s="27"/>
      <c r="U869" s="28" t="str">
        <f aca="false">IF(N(T869)=0,"",IF(T869&lt;12,"Under 12 months",IF(T869&lt;36,"12-35 months",IF(T869&lt;60,"36-59 months","≥60 months"))))</f>
        <v/>
      </c>
      <c r="V869" s="27"/>
      <c r="W869" s="30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9"/>
      <c r="AT869" s="30"/>
      <c r="AU869" s="30"/>
      <c r="AV869" s="30"/>
      <c r="AW869" s="27"/>
      <c r="AX869" s="27"/>
      <c r="AY869" s="29"/>
      <c r="AZ869" s="27"/>
      <c r="BA869" s="27"/>
      <c r="BB869" s="29"/>
      <c r="BC869" s="30"/>
      <c r="BD869" s="30"/>
      <c r="BE869" s="30"/>
      <c r="BF869" s="27"/>
      <c r="BG869" s="27"/>
      <c r="BH869" s="28" t="str">
        <f aca="false">IF(COUNT(BC869:BE869)=0,"",IF(MIN(BC869:BE869)&lt;=-2.5,"Yes","No"))</f>
        <v/>
      </c>
      <c r="BI869" s="27"/>
      <c r="BJ869" s="29"/>
      <c r="BK869" s="27"/>
      <c r="BL869" s="27"/>
      <c r="BM869" s="27"/>
      <c r="BN869" s="28" t="str">
        <f aca="false">IF(OR(AX869="Yes",BI869="Yes"),"Yes",IF(AND(AX869="No",BI869="No"),"No",IF(AND(AX869="",BI869=""),"","Unknown")))</f>
        <v/>
      </c>
      <c r="BO869" s="31" t="str">
        <f aca="false">IF(COUNT(AY869,BJ869)=0,"",MIN(AY869,BJ869))</f>
        <v/>
      </c>
      <c r="BP869" s="29"/>
      <c r="BQ869" s="29"/>
      <c r="BR869" s="29"/>
      <c r="BS869" s="28" t="str">
        <f aca="false">IF(AND(N(BP869)&gt;0,N(BR869)&gt;0),BR869-BP869,"")</f>
        <v/>
      </c>
      <c r="BT869" s="28" t="str">
        <f aca="false">IF(BS869="","",ROUND(BS869/365.25,2))</f>
        <v/>
      </c>
      <c r="BU869" s="28" t="str">
        <f aca="false">IF(BS869="","",IF(BS869&gt;=730.5,"Yes","No"))</f>
        <v/>
      </c>
      <c r="BV869" s="27"/>
      <c r="BW869" s="29"/>
      <c r="BX869" s="27"/>
      <c r="BY869" s="27"/>
      <c r="BZ869" s="28" t="str">
        <f aca="false">IF(N(E869)=0,"",IF(E869&lt;65,"Under 65","≥65"))</f>
        <v/>
      </c>
      <c r="CA869" s="28" t="str">
        <f aca="false">IF(OR(AC869="Yes",AC869="No"),AC869,"")</f>
        <v/>
      </c>
      <c r="CB869" s="28" t="str">
        <f aca="false">IF(OR(AD869="Yes",AD869="No"),AD869,"")</f>
        <v/>
      </c>
      <c r="CC869" s="28" t="str">
        <f aca="false">IF(F869="","",F869)</f>
        <v/>
      </c>
      <c r="CD869" s="27"/>
      <c r="CE869" s="27"/>
    </row>
    <row r="870" customFormat="false" ht="15" hidden="false" customHeight="false" outlineLevel="0" collapsed="false">
      <c r="A870" s="27"/>
      <c r="B870" s="27"/>
      <c r="C870" s="27"/>
      <c r="D870" s="27"/>
      <c r="E870" s="27"/>
      <c r="F870" s="27"/>
      <c r="G870" s="27"/>
      <c r="H870" s="27"/>
      <c r="I870" s="27"/>
      <c r="J870" s="28" t="str">
        <f aca="false">IF(AND(N(H870)&gt;0,N(I870)&gt;0),ROUND(I870/(H870/100)^2,1),"")</f>
        <v/>
      </c>
      <c r="K870" s="27"/>
      <c r="L870" s="27"/>
      <c r="M870" s="27"/>
      <c r="N870" s="27"/>
      <c r="O870" s="27"/>
      <c r="P870" s="27"/>
      <c r="Q870" s="27"/>
      <c r="R870" s="29"/>
      <c r="S870" s="29"/>
      <c r="T870" s="27"/>
      <c r="U870" s="28" t="str">
        <f aca="false">IF(N(T870)=0,"",IF(T870&lt;12,"Under 12 months",IF(T870&lt;36,"12-35 months",IF(T870&lt;60,"36-59 months","≥60 months"))))</f>
        <v/>
      </c>
      <c r="V870" s="27"/>
      <c r="W870" s="30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9"/>
      <c r="AT870" s="30"/>
      <c r="AU870" s="30"/>
      <c r="AV870" s="30"/>
      <c r="AW870" s="27"/>
      <c r="AX870" s="27"/>
      <c r="AY870" s="29"/>
      <c r="AZ870" s="27"/>
      <c r="BA870" s="27"/>
      <c r="BB870" s="29"/>
      <c r="BC870" s="30"/>
      <c r="BD870" s="30"/>
      <c r="BE870" s="30"/>
      <c r="BF870" s="27"/>
      <c r="BG870" s="27"/>
      <c r="BH870" s="28" t="str">
        <f aca="false">IF(COUNT(BC870:BE870)=0,"",IF(MIN(BC870:BE870)&lt;=-2.5,"Yes","No"))</f>
        <v/>
      </c>
      <c r="BI870" s="27"/>
      <c r="BJ870" s="29"/>
      <c r="BK870" s="27"/>
      <c r="BL870" s="27"/>
      <c r="BM870" s="27"/>
      <c r="BN870" s="28" t="str">
        <f aca="false">IF(OR(AX870="Yes",BI870="Yes"),"Yes",IF(AND(AX870="No",BI870="No"),"No",IF(AND(AX870="",BI870=""),"","Unknown")))</f>
        <v/>
      </c>
      <c r="BO870" s="31" t="str">
        <f aca="false">IF(COUNT(AY870,BJ870)=0,"",MIN(AY870,BJ870))</f>
        <v/>
      </c>
      <c r="BP870" s="29"/>
      <c r="BQ870" s="29"/>
      <c r="BR870" s="29"/>
      <c r="BS870" s="28" t="str">
        <f aca="false">IF(AND(N(BP870)&gt;0,N(BR870)&gt;0),BR870-BP870,"")</f>
        <v/>
      </c>
      <c r="BT870" s="28" t="str">
        <f aca="false">IF(BS870="","",ROUND(BS870/365.25,2))</f>
        <v/>
      </c>
      <c r="BU870" s="28" t="str">
        <f aca="false">IF(BS870="","",IF(BS870&gt;=730.5,"Yes","No"))</f>
        <v/>
      </c>
      <c r="BV870" s="27"/>
      <c r="BW870" s="29"/>
      <c r="BX870" s="27"/>
      <c r="BY870" s="27"/>
      <c r="BZ870" s="28" t="str">
        <f aca="false">IF(N(E870)=0,"",IF(E870&lt;65,"Under 65","≥65"))</f>
        <v/>
      </c>
      <c r="CA870" s="28" t="str">
        <f aca="false">IF(OR(AC870="Yes",AC870="No"),AC870,"")</f>
        <v/>
      </c>
      <c r="CB870" s="28" t="str">
        <f aca="false">IF(OR(AD870="Yes",AD870="No"),AD870,"")</f>
        <v/>
      </c>
      <c r="CC870" s="28" t="str">
        <f aca="false">IF(F870="","",F870)</f>
        <v/>
      </c>
      <c r="CD870" s="27"/>
      <c r="CE870" s="27"/>
    </row>
    <row r="871" customFormat="false" ht="15" hidden="false" customHeight="false" outlineLevel="0" collapsed="false">
      <c r="A871" s="27"/>
      <c r="B871" s="27"/>
      <c r="C871" s="27"/>
      <c r="D871" s="27"/>
      <c r="E871" s="27"/>
      <c r="F871" s="27"/>
      <c r="G871" s="27"/>
      <c r="H871" s="27"/>
      <c r="I871" s="27"/>
      <c r="J871" s="28" t="str">
        <f aca="false">IF(AND(N(H871)&gt;0,N(I871)&gt;0),ROUND(I871/(H871/100)^2,1),"")</f>
        <v/>
      </c>
      <c r="K871" s="27"/>
      <c r="L871" s="27"/>
      <c r="M871" s="27"/>
      <c r="N871" s="27"/>
      <c r="O871" s="27"/>
      <c r="P871" s="27"/>
      <c r="Q871" s="27"/>
      <c r="R871" s="29"/>
      <c r="S871" s="29"/>
      <c r="T871" s="27"/>
      <c r="U871" s="28" t="str">
        <f aca="false">IF(N(T871)=0,"",IF(T871&lt;12,"Under 12 months",IF(T871&lt;36,"12-35 months",IF(T871&lt;60,"36-59 months","≥60 months"))))</f>
        <v/>
      </c>
      <c r="V871" s="27"/>
      <c r="W871" s="30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9"/>
      <c r="AT871" s="30"/>
      <c r="AU871" s="30"/>
      <c r="AV871" s="30"/>
      <c r="AW871" s="27"/>
      <c r="AX871" s="27"/>
      <c r="AY871" s="29"/>
      <c r="AZ871" s="27"/>
      <c r="BA871" s="27"/>
      <c r="BB871" s="29"/>
      <c r="BC871" s="30"/>
      <c r="BD871" s="30"/>
      <c r="BE871" s="30"/>
      <c r="BF871" s="27"/>
      <c r="BG871" s="27"/>
      <c r="BH871" s="28" t="str">
        <f aca="false">IF(COUNT(BC871:BE871)=0,"",IF(MIN(BC871:BE871)&lt;=-2.5,"Yes","No"))</f>
        <v/>
      </c>
      <c r="BI871" s="27"/>
      <c r="BJ871" s="29"/>
      <c r="BK871" s="27"/>
      <c r="BL871" s="27"/>
      <c r="BM871" s="27"/>
      <c r="BN871" s="28" t="str">
        <f aca="false">IF(OR(AX871="Yes",BI871="Yes"),"Yes",IF(AND(AX871="No",BI871="No"),"No",IF(AND(AX871="",BI871=""),"","Unknown")))</f>
        <v/>
      </c>
      <c r="BO871" s="31" t="str">
        <f aca="false">IF(COUNT(AY871,BJ871)=0,"",MIN(AY871,BJ871))</f>
        <v/>
      </c>
      <c r="BP871" s="29"/>
      <c r="BQ871" s="29"/>
      <c r="BR871" s="29"/>
      <c r="BS871" s="28" t="str">
        <f aca="false">IF(AND(N(BP871)&gt;0,N(BR871)&gt;0),BR871-BP871,"")</f>
        <v/>
      </c>
      <c r="BT871" s="28" t="str">
        <f aca="false">IF(BS871="","",ROUND(BS871/365.25,2))</f>
        <v/>
      </c>
      <c r="BU871" s="28" t="str">
        <f aca="false">IF(BS871="","",IF(BS871&gt;=730.5,"Yes","No"))</f>
        <v/>
      </c>
      <c r="BV871" s="27"/>
      <c r="BW871" s="29"/>
      <c r="BX871" s="27"/>
      <c r="BY871" s="27"/>
      <c r="BZ871" s="28" t="str">
        <f aca="false">IF(N(E871)=0,"",IF(E871&lt;65,"Under 65","≥65"))</f>
        <v/>
      </c>
      <c r="CA871" s="28" t="str">
        <f aca="false">IF(OR(AC871="Yes",AC871="No"),AC871,"")</f>
        <v/>
      </c>
      <c r="CB871" s="28" t="str">
        <f aca="false">IF(OR(AD871="Yes",AD871="No"),AD871,"")</f>
        <v/>
      </c>
      <c r="CC871" s="28" t="str">
        <f aca="false">IF(F871="","",F871)</f>
        <v/>
      </c>
      <c r="CD871" s="27"/>
      <c r="CE871" s="27"/>
    </row>
    <row r="872" customFormat="false" ht="15" hidden="false" customHeight="false" outlineLevel="0" collapsed="false">
      <c r="A872" s="27"/>
      <c r="B872" s="27"/>
      <c r="C872" s="27"/>
      <c r="D872" s="27"/>
      <c r="E872" s="27"/>
      <c r="F872" s="27"/>
      <c r="G872" s="27"/>
      <c r="H872" s="27"/>
      <c r="I872" s="27"/>
      <c r="J872" s="28" t="str">
        <f aca="false">IF(AND(N(H872)&gt;0,N(I872)&gt;0),ROUND(I872/(H872/100)^2,1),"")</f>
        <v/>
      </c>
      <c r="K872" s="27"/>
      <c r="L872" s="27"/>
      <c r="M872" s="27"/>
      <c r="N872" s="27"/>
      <c r="O872" s="27"/>
      <c r="P872" s="27"/>
      <c r="Q872" s="27"/>
      <c r="R872" s="29"/>
      <c r="S872" s="29"/>
      <c r="T872" s="27"/>
      <c r="U872" s="28" t="str">
        <f aca="false">IF(N(T872)=0,"",IF(T872&lt;12,"Under 12 months",IF(T872&lt;36,"12-35 months",IF(T872&lt;60,"36-59 months","≥60 months"))))</f>
        <v/>
      </c>
      <c r="V872" s="27"/>
      <c r="W872" s="30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9"/>
      <c r="AT872" s="30"/>
      <c r="AU872" s="30"/>
      <c r="AV872" s="30"/>
      <c r="AW872" s="27"/>
      <c r="AX872" s="27"/>
      <c r="AY872" s="29"/>
      <c r="AZ872" s="27"/>
      <c r="BA872" s="27"/>
      <c r="BB872" s="29"/>
      <c r="BC872" s="30"/>
      <c r="BD872" s="30"/>
      <c r="BE872" s="30"/>
      <c r="BF872" s="27"/>
      <c r="BG872" s="27"/>
      <c r="BH872" s="28" t="str">
        <f aca="false">IF(COUNT(BC872:BE872)=0,"",IF(MIN(BC872:BE872)&lt;=-2.5,"Yes","No"))</f>
        <v/>
      </c>
      <c r="BI872" s="27"/>
      <c r="BJ872" s="29"/>
      <c r="BK872" s="27"/>
      <c r="BL872" s="27"/>
      <c r="BM872" s="27"/>
      <c r="BN872" s="28" t="str">
        <f aca="false">IF(OR(AX872="Yes",BI872="Yes"),"Yes",IF(AND(AX872="No",BI872="No"),"No",IF(AND(AX872="",BI872=""),"","Unknown")))</f>
        <v/>
      </c>
      <c r="BO872" s="31" t="str">
        <f aca="false">IF(COUNT(AY872,BJ872)=0,"",MIN(AY872,BJ872))</f>
        <v/>
      </c>
      <c r="BP872" s="29"/>
      <c r="BQ872" s="29"/>
      <c r="BR872" s="29"/>
      <c r="BS872" s="28" t="str">
        <f aca="false">IF(AND(N(BP872)&gt;0,N(BR872)&gt;0),BR872-BP872,"")</f>
        <v/>
      </c>
      <c r="BT872" s="28" t="str">
        <f aca="false">IF(BS872="","",ROUND(BS872/365.25,2))</f>
        <v/>
      </c>
      <c r="BU872" s="28" t="str">
        <f aca="false">IF(BS872="","",IF(BS872&gt;=730.5,"Yes","No"))</f>
        <v/>
      </c>
      <c r="BV872" s="27"/>
      <c r="BW872" s="29"/>
      <c r="BX872" s="27"/>
      <c r="BY872" s="27"/>
      <c r="BZ872" s="28" t="str">
        <f aca="false">IF(N(E872)=0,"",IF(E872&lt;65,"Under 65","≥65"))</f>
        <v/>
      </c>
      <c r="CA872" s="28" t="str">
        <f aca="false">IF(OR(AC872="Yes",AC872="No"),AC872,"")</f>
        <v/>
      </c>
      <c r="CB872" s="28" t="str">
        <f aca="false">IF(OR(AD872="Yes",AD872="No"),AD872,"")</f>
        <v/>
      </c>
      <c r="CC872" s="28" t="str">
        <f aca="false">IF(F872="","",F872)</f>
        <v/>
      </c>
      <c r="CD872" s="27"/>
      <c r="CE872" s="27"/>
    </row>
    <row r="873" customFormat="false" ht="15" hidden="false" customHeight="false" outlineLevel="0" collapsed="false">
      <c r="A873" s="27"/>
      <c r="B873" s="27"/>
      <c r="C873" s="27"/>
      <c r="D873" s="27"/>
      <c r="E873" s="27"/>
      <c r="F873" s="27"/>
      <c r="G873" s="27"/>
      <c r="H873" s="27"/>
      <c r="I873" s="27"/>
      <c r="J873" s="28" t="str">
        <f aca="false">IF(AND(N(H873)&gt;0,N(I873)&gt;0),ROUND(I873/(H873/100)^2,1),"")</f>
        <v/>
      </c>
      <c r="K873" s="27"/>
      <c r="L873" s="27"/>
      <c r="M873" s="27"/>
      <c r="N873" s="27"/>
      <c r="O873" s="27"/>
      <c r="P873" s="27"/>
      <c r="Q873" s="27"/>
      <c r="R873" s="29"/>
      <c r="S873" s="29"/>
      <c r="T873" s="27"/>
      <c r="U873" s="28" t="str">
        <f aca="false">IF(N(T873)=0,"",IF(T873&lt;12,"Under 12 months",IF(T873&lt;36,"12-35 months",IF(T873&lt;60,"36-59 months","≥60 months"))))</f>
        <v/>
      </c>
      <c r="V873" s="27"/>
      <c r="W873" s="30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9"/>
      <c r="AT873" s="30"/>
      <c r="AU873" s="30"/>
      <c r="AV873" s="30"/>
      <c r="AW873" s="27"/>
      <c r="AX873" s="27"/>
      <c r="AY873" s="29"/>
      <c r="AZ873" s="27"/>
      <c r="BA873" s="27"/>
      <c r="BB873" s="29"/>
      <c r="BC873" s="30"/>
      <c r="BD873" s="30"/>
      <c r="BE873" s="30"/>
      <c r="BF873" s="27"/>
      <c r="BG873" s="27"/>
      <c r="BH873" s="28" t="str">
        <f aca="false">IF(COUNT(BC873:BE873)=0,"",IF(MIN(BC873:BE873)&lt;=-2.5,"Yes","No"))</f>
        <v/>
      </c>
      <c r="BI873" s="27"/>
      <c r="BJ873" s="29"/>
      <c r="BK873" s="27"/>
      <c r="BL873" s="27"/>
      <c r="BM873" s="27"/>
      <c r="BN873" s="28" t="str">
        <f aca="false">IF(OR(AX873="Yes",BI873="Yes"),"Yes",IF(AND(AX873="No",BI873="No"),"No",IF(AND(AX873="",BI873=""),"","Unknown")))</f>
        <v/>
      </c>
      <c r="BO873" s="31" t="str">
        <f aca="false">IF(COUNT(AY873,BJ873)=0,"",MIN(AY873,BJ873))</f>
        <v/>
      </c>
      <c r="BP873" s="29"/>
      <c r="BQ873" s="29"/>
      <c r="BR873" s="29"/>
      <c r="BS873" s="28" t="str">
        <f aca="false">IF(AND(N(BP873)&gt;0,N(BR873)&gt;0),BR873-BP873,"")</f>
        <v/>
      </c>
      <c r="BT873" s="28" t="str">
        <f aca="false">IF(BS873="","",ROUND(BS873/365.25,2))</f>
        <v/>
      </c>
      <c r="BU873" s="28" t="str">
        <f aca="false">IF(BS873="","",IF(BS873&gt;=730.5,"Yes","No"))</f>
        <v/>
      </c>
      <c r="BV873" s="27"/>
      <c r="BW873" s="29"/>
      <c r="BX873" s="27"/>
      <c r="BY873" s="27"/>
      <c r="BZ873" s="28" t="str">
        <f aca="false">IF(N(E873)=0,"",IF(E873&lt;65,"Under 65","≥65"))</f>
        <v/>
      </c>
      <c r="CA873" s="28" t="str">
        <f aca="false">IF(OR(AC873="Yes",AC873="No"),AC873,"")</f>
        <v/>
      </c>
      <c r="CB873" s="28" t="str">
        <f aca="false">IF(OR(AD873="Yes",AD873="No"),AD873,"")</f>
        <v/>
      </c>
      <c r="CC873" s="28" t="str">
        <f aca="false">IF(F873="","",F873)</f>
        <v/>
      </c>
      <c r="CD873" s="27"/>
      <c r="CE873" s="27"/>
    </row>
    <row r="874" customFormat="false" ht="15" hidden="false" customHeight="false" outlineLevel="0" collapsed="false">
      <c r="A874" s="27"/>
      <c r="B874" s="27"/>
      <c r="C874" s="27"/>
      <c r="D874" s="27"/>
      <c r="E874" s="27"/>
      <c r="F874" s="27"/>
      <c r="G874" s="27"/>
      <c r="H874" s="27"/>
      <c r="I874" s="27"/>
      <c r="J874" s="28" t="str">
        <f aca="false">IF(AND(N(H874)&gt;0,N(I874)&gt;0),ROUND(I874/(H874/100)^2,1),"")</f>
        <v/>
      </c>
      <c r="K874" s="27"/>
      <c r="L874" s="27"/>
      <c r="M874" s="27"/>
      <c r="N874" s="27"/>
      <c r="O874" s="27"/>
      <c r="P874" s="27"/>
      <c r="Q874" s="27"/>
      <c r="R874" s="29"/>
      <c r="S874" s="29"/>
      <c r="T874" s="27"/>
      <c r="U874" s="28" t="str">
        <f aca="false">IF(N(T874)=0,"",IF(T874&lt;12,"Under 12 months",IF(T874&lt;36,"12-35 months",IF(T874&lt;60,"36-59 months","≥60 months"))))</f>
        <v/>
      </c>
      <c r="V874" s="27"/>
      <c r="W874" s="30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9"/>
      <c r="AT874" s="30"/>
      <c r="AU874" s="30"/>
      <c r="AV874" s="30"/>
      <c r="AW874" s="27"/>
      <c r="AX874" s="27"/>
      <c r="AY874" s="29"/>
      <c r="AZ874" s="27"/>
      <c r="BA874" s="27"/>
      <c r="BB874" s="29"/>
      <c r="BC874" s="30"/>
      <c r="BD874" s="30"/>
      <c r="BE874" s="30"/>
      <c r="BF874" s="27"/>
      <c r="BG874" s="27"/>
      <c r="BH874" s="28" t="str">
        <f aca="false">IF(COUNT(BC874:BE874)=0,"",IF(MIN(BC874:BE874)&lt;=-2.5,"Yes","No"))</f>
        <v/>
      </c>
      <c r="BI874" s="27"/>
      <c r="BJ874" s="29"/>
      <c r="BK874" s="27"/>
      <c r="BL874" s="27"/>
      <c r="BM874" s="27"/>
      <c r="BN874" s="28" t="str">
        <f aca="false">IF(OR(AX874="Yes",BI874="Yes"),"Yes",IF(AND(AX874="No",BI874="No"),"No",IF(AND(AX874="",BI874=""),"","Unknown")))</f>
        <v/>
      </c>
      <c r="BO874" s="31" t="str">
        <f aca="false">IF(COUNT(AY874,BJ874)=0,"",MIN(AY874,BJ874))</f>
        <v/>
      </c>
      <c r="BP874" s="29"/>
      <c r="BQ874" s="29"/>
      <c r="BR874" s="29"/>
      <c r="BS874" s="28" t="str">
        <f aca="false">IF(AND(N(BP874)&gt;0,N(BR874)&gt;0),BR874-BP874,"")</f>
        <v/>
      </c>
      <c r="BT874" s="28" t="str">
        <f aca="false">IF(BS874="","",ROUND(BS874/365.25,2))</f>
        <v/>
      </c>
      <c r="BU874" s="28" t="str">
        <f aca="false">IF(BS874="","",IF(BS874&gt;=730.5,"Yes","No"))</f>
        <v/>
      </c>
      <c r="BV874" s="27"/>
      <c r="BW874" s="29"/>
      <c r="BX874" s="27"/>
      <c r="BY874" s="27"/>
      <c r="BZ874" s="28" t="str">
        <f aca="false">IF(N(E874)=0,"",IF(E874&lt;65,"Under 65","≥65"))</f>
        <v/>
      </c>
      <c r="CA874" s="28" t="str">
        <f aca="false">IF(OR(AC874="Yes",AC874="No"),AC874,"")</f>
        <v/>
      </c>
      <c r="CB874" s="28" t="str">
        <f aca="false">IF(OR(AD874="Yes",AD874="No"),AD874,"")</f>
        <v/>
      </c>
      <c r="CC874" s="28" t="str">
        <f aca="false">IF(F874="","",F874)</f>
        <v/>
      </c>
      <c r="CD874" s="27"/>
      <c r="CE874" s="27"/>
    </row>
    <row r="875" customFormat="false" ht="15" hidden="false" customHeight="false" outlineLevel="0" collapsed="false">
      <c r="A875" s="27"/>
      <c r="B875" s="27"/>
      <c r="C875" s="27"/>
      <c r="D875" s="27"/>
      <c r="E875" s="27"/>
      <c r="F875" s="27"/>
      <c r="G875" s="27"/>
      <c r="H875" s="27"/>
      <c r="I875" s="27"/>
      <c r="J875" s="28" t="str">
        <f aca="false">IF(AND(N(H875)&gt;0,N(I875)&gt;0),ROUND(I875/(H875/100)^2,1),"")</f>
        <v/>
      </c>
      <c r="K875" s="27"/>
      <c r="L875" s="27"/>
      <c r="M875" s="27"/>
      <c r="N875" s="27"/>
      <c r="O875" s="27"/>
      <c r="P875" s="27"/>
      <c r="Q875" s="27"/>
      <c r="R875" s="29"/>
      <c r="S875" s="29"/>
      <c r="T875" s="27"/>
      <c r="U875" s="28" t="str">
        <f aca="false">IF(N(T875)=0,"",IF(T875&lt;12,"Under 12 months",IF(T875&lt;36,"12-35 months",IF(T875&lt;60,"36-59 months","≥60 months"))))</f>
        <v/>
      </c>
      <c r="V875" s="27"/>
      <c r="W875" s="30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9"/>
      <c r="AT875" s="30"/>
      <c r="AU875" s="30"/>
      <c r="AV875" s="30"/>
      <c r="AW875" s="27"/>
      <c r="AX875" s="27"/>
      <c r="AY875" s="29"/>
      <c r="AZ875" s="27"/>
      <c r="BA875" s="27"/>
      <c r="BB875" s="29"/>
      <c r="BC875" s="30"/>
      <c r="BD875" s="30"/>
      <c r="BE875" s="30"/>
      <c r="BF875" s="27"/>
      <c r="BG875" s="27"/>
      <c r="BH875" s="28" t="str">
        <f aca="false">IF(COUNT(BC875:BE875)=0,"",IF(MIN(BC875:BE875)&lt;=-2.5,"Yes","No"))</f>
        <v/>
      </c>
      <c r="BI875" s="27"/>
      <c r="BJ875" s="29"/>
      <c r="BK875" s="27"/>
      <c r="BL875" s="27"/>
      <c r="BM875" s="27"/>
      <c r="BN875" s="28" t="str">
        <f aca="false">IF(OR(AX875="Yes",BI875="Yes"),"Yes",IF(AND(AX875="No",BI875="No"),"No",IF(AND(AX875="",BI875=""),"","Unknown")))</f>
        <v/>
      </c>
      <c r="BO875" s="31" t="str">
        <f aca="false">IF(COUNT(AY875,BJ875)=0,"",MIN(AY875,BJ875))</f>
        <v/>
      </c>
      <c r="BP875" s="29"/>
      <c r="BQ875" s="29"/>
      <c r="BR875" s="29"/>
      <c r="BS875" s="28" t="str">
        <f aca="false">IF(AND(N(BP875)&gt;0,N(BR875)&gt;0),BR875-BP875,"")</f>
        <v/>
      </c>
      <c r="BT875" s="28" t="str">
        <f aca="false">IF(BS875="","",ROUND(BS875/365.25,2))</f>
        <v/>
      </c>
      <c r="BU875" s="28" t="str">
        <f aca="false">IF(BS875="","",IF(BS875&gt;=730.5,"Yes","No"))</f>
        <v/>
      </c>
      <c r="BV875" s="27"/>
      <c r="BW875" s="29"/>
      <c r="BX875" s="27"/>
      <c r="BY875" s="27"/>
      <c r="BZ875" s="28" t="str">
        <f aca="false">IF(N(E875)=0,"",IF(E875&lt;65,"Under 65","≥65"))</f>
        <v/>
      </c>
      <c r="CA875" s="28" t="str">
        <f aca="false">IF(OR(AC875="Yes",AC875="No"),AC875,"")</f>
        <v/>
      </c>
      <c r="CB875" s="28" t="str">
        <f aca="false">IF(OR(AD875="Yes",AD875="No"),AD875,"")</f>
        <v/>
      </c>
      <c r="CC875" s="28" t="str">
        <f aca="false">IF(F875="","",F875)</f>
        <v/>
      </c>
      <c r="CD875" s="27"/>
      <c r="CE875" s="27"/>
    </row>
    <row r="876" customFormat="false" ht="15" hidden="false" customHeight="false" outlineLevel="0" collapsed="false">
      <c r="A876" s="27"/>
      <c r="B876" s="27"/>
      <c r="C876" s="27"/>
      <c r="D876" s="27"/>
      <c r="E876" s="27"/>
      <c r="F876" s="27"/>
      <c r="G876" s="27"/>
      <c r="H876" s="27"/>
      <c r="I876" s="27"/>
      <c r="J876" s="28" t="str">
        <f aca="false">IF(AND(N(H876)&gt;0,N(I876)&gt;0),ROUND(I876/(H876/100)^2,1),"")</f>
        <v/>
      </c>
      <c r="K876" s="27"/>
      <c r="L876" s="27"/>
      <c r="M876" s="27"/>
      <c r="N876" s="27"/>
      <c r="O876" s="27"/>
      <c r="P876" s="27"/>
      <c r="Q876" s="27"/>
      <c r="R876" s="29"/>
      <c r="S876" s="29"/>
      <c r="T876" s="27"/>
      <c r="U876" s="28" t="str">
        <f aca="false">IF(N(T876)=0,"",IF(T876&lt;12,"Under 12 months",IF(T876&lt;36,"12-35 months",IF(T876&lt;60,"36-59 months","≥60 months"))))</f>
        <v/>
      </c>
      <c r="V876" s="27"/>
      <c r="W876" s="30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9"/>
      <c r="AT876" s="30"/>
      <c r="AU876" s="30"/>
      <c r="AV876" s="30"/>
      <c r="AW876" s="27"/>
      <c r="AX876" s="27"/>
      <c r="AY876" s="29"/>
      <c r="AZ876" s="27"/>
      <c r="BA876" s="27"/>
      <c r="BB876" s="29"/>
      <c r="BC876" s="30"/>
      <c r="BD876" s="30"/>
      <c r="BE876" s="30"/>
      <c r="BF876" s="27"/>
      <c r="BG876" s="27"/>
      <c r="BH876" s="28" t="str">
        <f aca="false">IF(COUNT(BC876:BE876)=0,"",IF(MIN(BC876:BE876)&lt;=-2.5,"Yes","No"))</f>
        <v/>
      </c>
      <c r="BI876" s="27"/>
      <c r="BJ876" s="29"/>
      <c r="BK876" s="27"/>
      <c r="BL876" s="27"/>
      <c r="BM876" s="27"/>
      <c r="BN876" s="28" t="str">
        <f aca="false">IF(OR(AX876="Yes",BI876="Yes"),"Yes",IF(AND(AX876="No",BI876="No"),"No",IF(AND(AX876="",BI876=""),"","Unknown")))</f>
        <v/>
      </c>
      <c r="BO876" s="31" t="str">
        <f aca="false">IF(COUNT(AY876,BJ876)=0,"",MIN(AY876,BJ876))</f>
        <v/>
      </c>
      <c r="BP876" s="29"/>
      <c r="BQ876" s="29"/>
      <c r="BR876" s="29"/>
      <c r="BS876" s="28" t="str">
        <f aca="false">IF(AND(N(BP876)&gt;0,N(BR876)&gt;0),BR876-BP876,"")</f>
        <v/>
      </c>
      <c r="BT876" s="28" t="str">
        <f aca="false">IF(BS876="","",ROUND(BS876/365.25,2))</f>
        <v/>
      </c>
      <c r="BU876" s="28" t="str">
        <f aca="false">IF(BS876="","",IF(BS876&gt;=730.5,"Yes","No"))</f>
        <v/>
      </c>
      <c r="BV876" s="27"/>
      <c r="BW876" s="29"/>
      <c r="BX876" s="27"/>
      <c r="BY876" s="27"/>
      <c r="BZ876" s="28" t="str">
        <f aca="false">IF(N(E876)=0,"",IF(E876&lt;65,"Under 65","≥65"))</f>
        <v/>
      </c>
      <c r="CA876" s="28" t="str">
        <f aca="false">IF(OR(AC876="Yes",AC876="No"),AC876,"")</f>
        <v/>
      </c>
      <c r="CB876" s="28" t="str">
        <f aca="false">IF(OR(AD876="Yes",AD876="No"),AD876,"")</f>
        <v/>
      </c>
      <c r="CC876" s="28" t="str">
        <f aca="false">IF(F876="","",F876)</f>
        <v/>
      </c>
      <c r="CD876" s="27"/>
      <c r="CE876" s="27"/>
    </row>
    <row r="877" customFormat="false" ht="15" hidden="false" customHeight="false" outlineLevel="0" collapsed="false">
      <c r="A877" s="27"/>
      <c r="B877" s="27"/>
      <c r="C877" s="27"/>
      <c r="D877" s="27"/>
      <c r="E877" s="27"/>
      <c r="F877" s="27"/>
      <c r="G877" s="27"/>
      <c r="H877" s="27"/>
      <c r="I877" s="27"/>
      <c r="J877" s="28" t="str">
        <f aca="false">IF(AND(N(H877)&gt;0,N(I877)&gt;0),ROUND(I877/(H877/100)^2,1),"")</f>
        <v/>
      </c>
      <c r="K877" s="27"/>
      <c r="L877" s="27"/>
      <c r="M877" s="27"/>
      <c r="N877" s="27"/>
      <c r="O877" s="27"/>
      <c r="P877" s="27"/>
      <c r="Q877" s="27"/>
      <c r="R877" s="29"/>
      <c r="S877" s="29"/>
      <c r="T877" s="27"/>
      <c r="U877" s="28" t="str">
        <f aca="false">IF(N(T877)=0,"",IF(T877&lt;12,"Under 12 months",IF(T877&lt;36,"12-35 months",IF(T877&lt;60,"36-59 months","≥60 months"))))</f>
        <v/>
      </c>
      <c r="V877" s="27"/>
      <c r="W877" s="30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9"/>
      <c r="AT877" s="30"/>
      <c r="AU877" s="30"/>
      <c r="AV877" s="30"/>
      <c r="AW877" s="27"/>
      <c r="AX877" s="27"/>
      <c r="AY877" s="29"/>
      <c r="AZ877" s="27"/>
      <c r="BA877" s="27"/>
      <c r="BB877" s="29"/>
      <c r="BC877" s="30"/>
      <c r="BD877" s="30"/>
      <c r="BE877" s="30"/>
      <c r="BF877" s="27"/>
      <c r="BG877" s="27"/>
      <c r="BH877" s="28" t="str">
        <f aca="false">IF(COUNT(BC877:BE877)=0,"",IF(MIN(BC877:BE877)&lt;=-2.5,"Yes","No"))</f>
        <v/>
      </c>
      <c r="BI877" s="27"/>
      <c r="BJ877" s="29"/>
      <c r="BK877" s="27"/>
      <c r="BL877" s="27"/>
      <c r="BM877" s="27"/>
      <c r="BN877" s="28" t="str">
        <f aca="false">IF(OR(AX877="Yes",BI877="Yes"),"Yes",IF(AND(AX877="No",BI877="No"),"No",IF(AND(AX877="",BI877=""),"","Unknown")))</f>
        <v/>
      </c>
      <c r="BO877" s="31" t="str">
        <f aca="false">IF(COUNT(AY877,BJ877)=0,"",MIN(AY877,BJ877))</f>
        <v/>
      </c>
      <c r="BP877" s="29"/>
      <c r="BQ877" s="29"/>
      <c r="BR877" s="29"/>
      <c r="BS877" s="28" t="str">
        <f aca="false">IF(AND(N(BP877)&gt;0,N(BR877)&gt;0),BR877-BP877,"")</f>
        <v/>
      </c>
      <c r="BT877" s="28" t="str">
        <f aca="false">IF(BS877="","",ROUND(BS877/365.25,2))</f>
        <v/>
      </c>
      <c r="BU877" s="28" t="str">
        <f aca="false">IF(BS877="","",IF(BS877&gt;=730.5,"Yes","No"))</f>
        <v/>
      </c>
      <c r="BV877" s="27"/>
      <c r="BW877" s="29"/>
      <c r="BX877" s="27"/>
      <c r="BY877" s="27"/>
      <c r="BZ877" s="28" t="str">
        <f aca="false">IF(N(E877)=0,"",IF(E877&lt;65,"Under 65","≥65"))</f>
        <v/>
      </c>
      <c r="CA877" s="28" t="str">
        <f aca="false">IF(OR(AC877="Yes",AC877="No"),AC877,"")</f>
        <v/>
      </c>
      <c r="CB877" s="28" t="str">
        <f aca="false">IF(OR(AD877="Yes",AD877="No"),AD877,"")</f>
        <v/>
      </c>
      <c r="CC877" s="28" t="str">
        <f aca="false">IF(F877="","",F877)</f>
        <v/>
      </c>
      <c r="CD877" s="27"/>
      <c r="CE877" s="27"/>
    </row>
    <row r="878" customFormat="false" ht="15" hidden="false" customHeight="false" outlineLevel="0" collapsed="false">
      <c r="A878" s="27"/>
      <c r="B878" s="27"/>
      <c r="C878" s="27"/>
      <c r="D878" s="27"/>
      <c r="E878" s="27"/>
      <c r="F878" s="27"/>
      <c r="G878" s="27"/>
      <c r="H878" s="27"/>
      <c r="I878" s="27"/>
      <c r="J878" s="28" t="str">
        <f aca="false">IF(AND(N(H878)&gt;0,N(I878)&gt;0),ROUND(I878/(H878/100)^2,1),"")</f>
        <v/>
      </c>
      <c r="K878" s="27"/>
      <c r="L878" s="27"/>
      <c r="M878" s="27"/>
      <c r="N878" s="27"/>
      <c r="O878" s="27"/>
      <c r="P878" s="27"/>
      <c r="Q878" s="27"/>
      <c r="R878" s="29"/>
      <c r="S878" s="29"/>
      <c r="T878" s="27"/>
      <c r="U878" s="28" t="str">
        <f aca="false">IF(N(T878)=0,"",IF(T878&lt;12,"Under 12 months",IF(T878&lt;36,"12-35 months",IF(T878&lt;60,"36-59 months","≥60 months"))))</f>
        <v/>
      </c>
      <c r="V878" s="27"/>
      <c r="W878" s="30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9"/>
      <c r="AT878" s="30"/>
      <c r="AU878" s="30"/>
      <c r="AV878" s="30"/>
      <c r="AW878" s="27"/>
      <c r="AX878" s="27"/>
      <c r="AY878" s="29"/>
      <c r="AZ878" s="27"/>
      <c r="BA878" s="27"/>
      <c r="BB878" s="29"/>
      <c r="BC878" s="30"/>
      <c r="BD878" s="30"/>
      <c r="BE878" s="30"/>
      <c r="BF878" s="27"/>
      <c r="BG878" s="27"/>
      <c r="BH878" s="28" t="str">
        <f aca="false">IF(COUNT(BC878:BE878)=0,"",IF(MIN(BC878:BE878)&lt;=-2.5,"Yes","No"))</f>
        <v/>
      </c>
      <c r="BI878" s="27"/>
      <c r="BJ878" s="29"/>
      <c r="BK878" s="27"/>
      <c r="BL878" s="27"/>
      <c r="BM878" s="27"/>
      <c r="BN878" s="28" t="str">
        <f aca="false">IF(OR(AX878="Yes",BI878="Yes"),"Yes",IF(AND(AX878="No",BI878="No"),"No",IF(AND(AX878="",BI878=""),"","Unknown")))</f>
        <v/>
      </c>
      <c r="BO878" s="31" t="str">
        <f aca="false">IF(COUNT(AY878,BJ878)=0,"",MIN(AY878,BJ878))</f>
        <v/>
      </c>
      <c r="BP878" s="29"/>
      <c r="BQ878" s="29"/>
      <c r="BR878" s="29"/>
      <c r="BS878" s="28" t="str">
        <f aca="false">IF(AND(N(BP878)&gt;0,N(BR878)&gt;0),BR878-BP878,"")</f>
        <v/>
      </c>
      <c r="BT878" s="28" t="str">
        <f aca="false">IF(BS878="","",ROUND(BS878/365.25,2))</f>
        <v/>
      </c>
      <c r="BU878" s="28" t="str">
        <f aca="false">IF(BS878="","",IF(BS878&gt;=730.5,"Yes","No"))</f>
        <v/>
      </c>
      <c r="BV878" s="27"/>
      <c r="BW878" s="29"/>
      <c r="BX878" s="27"/>
      <c r="BY878" s="27"/>
      <c r="BZ878" s="28" t="str">
        <f aca="false">IF(N(E878)=0,"",IF(E878&lt;65,"Under 65","≥65"))</f>
        <v/>
      </c>
      <c r="CA878" s="28" t="str">
        <f aca="false">IF(OR(AC878="Yes",AC878="No"),AC878,"")</f>
        <v/>
      </c>
      <c r="CB878" s="28" t="str">
        <f aca="false">IF(OR(AD878="Yes",AD878="No"),AD878,"")</f>
        <v/>
      </c>
      <c r="CC878" s="28" t="str">
        <f aca="false">IF(F878="","",F878)</f>
        <v/>
      </c>
      <c r="CD878" s="27"/>
      <c r="CE878" s="27"/>
    </row>
    <row r="879" customFormat="false" ht="15" hidden="false" customHeight="false" outlineLevel="0" collapsed="false">
      <c r="A879" s="27"/>
      <c r="B879" s="27"/>
      <c r="C879" s="27"/>
      <c r="D879" s="27"/>
      <c r="E879" s="27"/>
      <c r="F879" s="27"/>
      <c r="G879" s="27"/>
      <c r="H879" s="27"/>
      <c r="I879" s="27"/>
      <c r="J879" s="28" t="str">
        <f aca="false">IF(AND(N(H879)&gt;0,N(I879)&gt;0),ROUND(I879/(H879/100)^2,1),"")</f>
        <v/>
      </c>
      <c r="K879" s="27"/>
      <c r="L879" s="27"/>
      <c r="M879" s="27"/>
      <c r="N879" s="27"/>
      <c r="O879" s="27"/>
      <c r="P879" s="27"/>
      <c r="Q879" s="27"/>
      <c r="R879" s="29"/>
      <c r="S879" s="29"/>
      <c r="T879" s="27"/>
      <c r="U879" s="28" t="str">
        <f aca="false">IF(N(T879)=0,"",IF(T879&lt;12,"Under 12 months",IF(T879&lt;36,"12-35 months",IF(T879&lt;60,"36-59 months","≥60 months"))))</f>
        <v/>
      </c>
      <c r="V879" s="27"/>
      <c r="W879" s="30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9"/>
      <c r="AT879" s="30"/>
      <c r="AU879" s="30"/>
      <c r="AV879" s="30"/>
      <c r="AW879" s="27"/>
      <c r="AX879" s="27"/>
      <c r="AY879" s="29"/>
      <c r="AZ879" s="27"/>
      <c r="BA879" s="27"/>
      <c r="BB879" s="29"/>
      <c r="BC879" s="30"/>
      <c r="BD879" s="30"/>
      <c r="BE879" s="30"/>
      <c r="BF879" s="27"/>
      <c r="BG879" s="27"/>
      <c r="BH879" s="28" t="str">
        <f aca="false">IF(COUNT(BC879:BE879)=0,"",IF(MIN(BC879:BE879)&lt;=-2.5,"Yes","No"))</f>
        <v/>
      </c>
      <c r="BI879" s="27"/>
      <c r="BJ879" s="29"/>
      <c r="BK879" s="27"/>
      <c r="BL879" s="27"/>
      <c r="BM879" s="27"/>
      <c r="BN879" s="28" t="str">
        <f aca="false">IF(OR(AX879="Yes",BI879="Yes"),"Yes",IF(AND(AX879="No",BI879="No"),"No",IF(AND(AX879="",BI879=""),"","Unknown")))</f>
        <v/>
      </c>
      <c r="BO879" s="31" t="str">
        <f aca="false">IF(COUNT(AY879,BJ879)=0,"",MIN(AY879,BJ879))</f>
        <v/>
      </c>
      <c r="BP879" s="29"/>
      <c r="BQ879" s="29"/>
      <c r="BR879" s="29"/>
      <c r="BS879" s="28" t="str">
        <f aca="false">IF(AND(N(BP879)&gt;0,N(BR879)&gt;0),BR879-BP879,"")</f>
        <v/>
      </c>
      <c r="BT879" s="28" t="str">
        <f aca="false">IF(BS879="","",ROUND(BS879/365.25,2))</f>
        <v/>
      </c>
      <c r="BU879" s="28" t="str">
        <f aca="false">IF(BS879="","",IF(BS879&gt;=730.5,"Yes","No"))</f>
        <v/>
      </c>
      <c r="BV879" s="27"/>
      <c r="BW879" s="29"/>
      <c r="BX879" s="27"/>
      <c r="BY879" s="27"/>
      <c r="BZ879" s="28" t="str">
        <f aca="false">IF(N(E879)=0,"",IF(E879&lt;65,"Under 65","≥65"))</f>
        <v/>
      </c>
      <c r="CA879" s="28" t="str">
        <f aca="false">IF(OR(AC879="Yes",AC879="No"),AC879,"")</f>
        <v/>
      </c>
      <c r="CB879" s="28" t="str">
        <f aca="false">IF(OR(AD879="Yes",AD879="No"),AD879,"")</f>
        <v/>
      </c>
      <c r="CC879" s="28" t="str">
        <f aca="false">IF(F879="","",F879)</f>
        <v/>
      </c>
      <c r="CD879" s="27"/>
      <c r="CE879" s="27"/>
    </row>
    <row r="880" customFormat="false" ht="15" hidden="false" customHeight="false" outlineLevel="0" collapsed="false">
      <c r="A880" s="27"/>
      <c r="B880" s="27"/>
      <c r="C880" s="27"/>
      <c r="D880" s="27"/>
      <c r="E880" s="27"/>
      <c r="F880" s="27"/>
      <c r="G880" s="27"/>
      <c r="H880" s="27"/>
      <c r="I880" s="27"/>
      <c r="J880" s="28" t="str">
        <f aca="false">IF(AND(N(H880)&gt;0,N(I880)&gt;0),ROUND(I880/(H880/100)^2,1),"")</f>
        <v/>
      </c>
      <c r="K880" s="27"/>
      <c r="L880" s="27"/>
      <c r="M880" s="27"/>
      <c r="N880" s="27"/>
      <c r="O880" s="27"/>
      <c r="P880" s="27"/>
      <c r="Q880" s="27"/>
      <c r="R880" s="29"/>
      <c r="S880" s="29"/>
      <c r="T880" s="27"/>
      <c r="U880" s="28" t="str">
        <f aca="false">IF(N(T880)=0,"",IF(T880&lt;12,"Under 12 months",IF(T880&lt;36,"12-35 months",IF(T880&lt;60,"36-59 months","≥60 months"))))</f>
        <v/>
      </c>
      <c r="V880" s="27"/>
      <c r="W880" s="30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9"/>
      <c r="AT880" s="30"/>
      <c r="AU880" s="30"/>
      <c r="AV880" s="30"/>
      <c r="AW880" s="27"/>
      <c r="AX880" s="27"/>
      <c r="AY880" s="29"/>
      <c r="AZ880" s="27"/>
      <c r="BA880" s="27"/>
      <c r="BB880" s="29"/>
      <c r="BC880" s="30"/>
      <c r="BD880" s="30"/>
      <c r="BE880" s="30"/>
      <c r="BF880" s="27"/>
      <c r="BG880" s="27"/>
      <c r="BH880" s="28" t="str">
        <f aca="false">IF(COUNT(BC880:BE880)=0,"",IF(MIN(BC880:BE880)&lt;=-2.5,"Yes","No"))</f>
        <v/>
      </c>
      <c r="BI880" s="27"/>
      <c r="BJ880" s="29"/>
      <c r="BK880" s="27"/>
      <c r="BL880" s="27"/>
      <c r="BM880" s="27"/>
      <c r="BN880" s="28" t="str">
        <f aca="false">IF(OR(AX880="Yes",BI880="Yes"),"Yes",IF(AND(AX880="No",BI880="No"),"No",IF(AND(AX880="",BI880=""),"","Unknown")))</f>
        <v/>
      </c>
      <c r="BO880" s="31" t="str">
        <f aca="false">IF(COUNT(AY880,BJ880)=0,"",MIN(AY880,BJ880))</f>
        <v/>
      </c>
      <c r="BP880" s="29"/>
      <c r="BQ880" s="29"/>
      <c r="BR880" s="29"/>
      <c r="BS880" s="28" t="str">
        <f aca="false">IF(AND(N(BP880)&gt;0,N(BR880)&gt;0),BR880-BP880,"")</f>
        <v/>
      </c>
      <c r="BT880" s="28" t="str">
        <f aca="false">IF(BS880="","",ROUND(BS880/365.25,2))</f>
        <v/>
      </c>
      <c r="BU880" s="28" t="str">
        <f aca="false">IF(BS880="","",IF(BS880&gt;=730.5,"Yes","No"))</f>
        <v/>
      </c>
      <c r="BV880" s="27"/>
      <c r="BW880" s="29"/>
      <c r="BX880" s="27"/>
      <c r="BY880" s="27"/>
      <c r="BZ880" s="28" t="str">
        <f aca="false">IF(N(E880)=0,"",IF(E880&lt;65,"Under 65","≥65"))</f>
        <v/>
      </c>
      <c r="CA880" s="28" t="str">
        <f aca="false">IF(OR(AC880="Yes",AC880="No"),AC880,"")</f>
        <v/>
      </c>
      <c r="CB880" s="28" t="str">
        <f aca="false">IF(OR(AD880="Yes",AD880="No"),AD880,"")</f>
        <v/>
      </c>
      <c r="CC880" s="28" t="str">
        <f aca="false">IF(F880="","",F880)</f>
        <v/>
      </c>
      <c r="CD880" s="27"/>
      <c r="CE880" s="27"/>
    </row>
    <row r="881" customFormat="false" ht="15" hidden="false" customHeight="false" outlineLevel="0" collapsed="false">
      <c r="A881" s="27"/>
      <c r="B881" s="27"/>
      <c r="C881" s="27"/>
      <c r="D881" s="27"/>
      <c r="E881" s="27"/>
      <c r="F881" s="27"/>
      <c r="G881" s="27"/>
      <c r="H881" s="27"/>
      <c r="I881" s="27"/>
      <c r="J881" s="28" t="str">
        <f aca="false">IF(AND(N(H881)&gt;0,N(I881)&gt;0),ROUND(I881/(H881/100)^2,1),"")</f>
        <v/>
      </c>
      <c r="K881" s="27"/>
      <c r="L881" s="27"/>
      <c r="M881" s="27"/>
      <c r="N881" s="27"/>
      <c r="O881" s="27"/>
      <c r="P881" s="27"/>
      <c r="Q881" s="27"/>
      <c r="R881" s="29"/>
      <c r="S881" s="29"/>
      <c r="T881" s="27"/>
      <c r="U881" s="28" t="str">
        <f aca="false">IF(N(T881)=0,"",IF(T881&lt;12,"Under 12 months",IF(T881&lt;36,"12-35 months",IF(T881&lt;60,"36-59 months","≥60 months"))))</f>
        <v/>
      </c>
      <c r="V881" s="27"/>
      <c r="W881" s="30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9"/>
      <c r="AT881" s="30"/>
      <c r="AU881" s="30"/>
      <c r="AV881" s="30"/>
      <c r="AW881" s="27"/>
      <c r="AX881" s="27"/>
      <c r="AY881" s="29"/>
      <c r="AZ881" s="27"/>
      <c r="BA881" s="27"/>
      <c r="BB881" s="29"/>
      <c r="BC881" s="30"/>
      <c r="BD881" s="30"/>
      <c r="BE881" s="30"/>
      <c r="BF881" s="27"/>
      <c r="BG881" s="27"/>
      <c r="BH881" s="28" t="str">
        <f aca="false">IF(COUNT(BC881:BE881)=0,"",IF(MIN(BC881:BE881)&lt;=-2.5,"Yes","No"))</f>
        <v/>
      </c>
      <c r="BI881" s="27"/>
      <c r="BJ881" s="29"/>
      <c r="BK881" s="27"/>
      <c r="BL881" s="27"/>
      <c r="BM881" s="27"/>
      <c r="BN881" s="28" t="str">
        <f aca="false">IF(OR(AX881="Yes",BI881="Yes"),"Yes",IF(AND(AX881="No",BI881="No"),"No",IF(AND(AX881="",BI881=""),"","Unknown")))</f>
        <v/>
      </c>
      <c r="BO881" s="31" t="str">
        <f aca="false">IF(COUNT(AY881,BJ881)=0,"",MIN(AY881,BJ881))</f>
        <v/>
      </c>
      <c r="BP881" s="29"/>
      <c r="BQ881" s="29"/>
      <c r="BR881" s="29"/>
      <c r="BS881" s="28" t="str">
        <f aca="false">IF(AND(N(BP881)&gt;0,N(BR881)&gt;0),BR881-BP881,"")</f>
        <v/>
      </c>
      <c r="BT881" s="28" t="str">
        <f aca="false">IF(BS881="","",ROUND(BS881/365.25,2))</f>
        <v/>
      </c>
      <c r="BU881" s="28" t="str">
        <f aca="false">IF(BS881="","",IF(BS881&gt;=730.5,"Yes","No"))</f>
        <v/>
      </c>
      <c r="BV881" s="27"/>
      <c r="BW881" s="29"/>
      <c r="BX881" s="27"/>
      <c r="BY881" s="27"/>
      <c r="BZ881" s="28" t="str">
        <f aca="false">IF(N(E881)=0,"",IF(E881&lt;65,"Under 65","≥65"))</f>
        <v/>
      </c>
      <c r="CA881" s="28" t="str">
        <f aca="false">IF(OR(AC881="Yes",AC881="No"),AC881,"")</f>
        <v/>
      </c>
      <c r="CB881" s="28" t="str">
        <f aca="false">IF(OR(AD881="Yes",AD881="No"),AD881,"")</f>
        <v/>
      </c>
      <c r="CC881" s="28" t="str">
        <f aca="false">IF(F881="","",F881)</f>
        <v/>
      </c>
      <c r="CD881" s="27"/>
      <c r="CE881" s="27"/>
    </row>
    <row r="882" customFormat="false" ht="15" hidden="false" customHeight="false" outlineLevel="0" collapsed="false">
      <c r="A882" s="27"/>
      <c r="B882" s="27"/>
      <c r="C882" s="27"/>
      <c r="D882" s="27"/>
      <c r="E882" s="27"/>
      <c r="F882" s="27"/>
      <c r="G882" s="27"/>
      <c r="H882" s="27"/>
      <c r="I882" s="27"/>
      <c r="J882" s="28" t="str">
        <f aca="false">IF(AND(N(H882)&gt;0,N(I882)&gt;0),ROUND(I882/(H882/100)^2,1),"")</f>
        <v/>
      </c>
      <c r="K882" s="27"/>
      <c r="L882" s="27"/>
      <c r="M882" s="27"/>
      <c r="N882" s="27"/>
      <c r="O882" s="27"/>
      <c r="P882" s="27"/>
      <c r="Q882" s="27"/>
      <c r="R882" s="29"/>
      <c r="S882" s="29"/>
      <c r="T882" s="27"/>
      <c r="U882" s="28" t="str">
        <f aca="false">IF(N(T882)=0,"",IF(T882&lt;12,"Under 12 months",IF(T882&lt;36,"12-35 months",IF(T882&lt;60,"36-59 months","≥60 months"))))</f>
        <v/>
      </c>
      <c r="V882" s="27"/>
      <c r="W882" s="30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9"/>
      <c r="AT882" s="30"/>
      <c r="AU882" s="30"/>
      <c r="AV882" s="30"/>
      <c r="AW882" s="27"/>
      <c r="AX882" s="27"/>
      <c r="AY882" s="29"/>
      <c r="AZ882" s="27"/>
      <c r="BA882" s="27"/>
      <c r="BB882" s="29"/>
      <c r="BC882" s="30"/>
      <c r="BD882" s="30"/>
      <c r="BE882" s="30"/>
      <c r="BF882" s="27"/>
      <c r="BG882" s="27"/>
      <c r="BH882" s="28" t="str">
        <f aca="false">IF(COUNT(BC882:BE882)=0,"",IF(MIN(BC882:BE882)&lt;=-2.5,"Yes","No"))</f>
        <v/>
      </c>
      <c r="BI882" s="27"/>
      <c r="BJ882" s="29"/>
      <c r="BK882" s="27"/>
      <c r="BL882" s="27"/>
      <c r="BM882" s="27"/>
      <c r="BN882" s="28" t="str">
        <f aca="false">IF(OR(AX882="Yes",BI882="Yes"),"Yes",IF(AND(AX882="No",BI882="No"),"No",IF(AND(AX882="",BI882=""),"","Unknown")))</f>
        <v/>
      </c>
      <c r="BO882" s="31" t="str">
        <f aca="false">IF(COUNT(AY882,BJ882)=0,"",MIN(AY882,BJ882))</f>
        <v/>
      </c>
      <c r="BP882" s="29"/>
      <c r="BQ882" s="29"/>
      <c r="BR882" s="29"/>
      <c r="BS882" s="28" t="str">
        <f aca="false">IF(AND(N(BP882)&gt;0,N(BR882)&gt;0),BR882-BP882,"")</f>
        <v/>
      </c>
      <c r="BT882" s="28" t="str">
        <f aca="false">IF(BS882="","",ROUND(BS882/365.25,2))</f>
        <v/>
      </c>
      <c r="BU882" s="28" t="str">
        <f aca="false">IF(BS882="","",IF(BS882&gt;=730.5,"Yes","No"))</f>
        <v/>
      </c>
      <c r="BV882" s="27"/>
      <c r="BW882" s="29"/>
      <c r="BX882" s="27"/>
      <c r="BY882" s="27"/>
      <c r="BZ882" s="28" t="str">
        <f aca="false">IF(N(E882)=0,"",IF(E882&lt;65,"Under 65","≥65"))</f>
        <v/>
      </c>
      <c r="CA882" s="28" t="str">
        <f aca="false">IF(OR(AC882="Yes",AC882="No"),AC882,"")</f>
        <v/>
      </c>
      <c r="CB882" s="28" t="str">
        <f aca="false">IF(OR(AD882="Yes",AD882="No"),AD882,"")</f>
        <v/>
      </c>
      <c r="CC882" s="28" t="str">
        <f aca="false">IF(F882="","",F882)</f>
        <v/>
      </c>
      <c r="CD882" s="27"/>
      <c r="CE882" s="27"/>
    </row>
    <row r="883" customFormat="false" ht="15" hidden="false" customHeight="false" outlineLevel="0" collapsed="false">
      <c r="A883" s="27"/>
      <c r="B883" s="27"/>
      <c r="C883" s="27"/>
      <c r="D883" s="27"/>
      <c r="E883" s="27"/>
      <c r="F883" s="27"/>
      <c r="G883" s="27"/>
      <c r="H883" s="27"/>
      <c r="I883" s="27"/>
      <c r="J883" s="28" t="str">
        <f aca="false">IF(AND(N(H883)&gt;0,N(I883)&gt;0),ROUND(I883/(H883/100)^2,1),"")</f>
        <v/>
      </c>
      <c r="K883" s="27"/>
      <c r="L883" s="27"/>
      <c r="M883" s="27"/>
      <c r="N883" s="27"/>
      <c r="O883" s="27"/>
      <c r="P883" s="27"/>
      <c r="Q883" s="27"/>
      <c r="R883" s="29"/>
      <c r="S883" s="29"/>
      <c r="T883" s="27"/>
      <c r="U883" s="28" t="str">
        <f aca="false">IF(N(T883)=0,"",IF(T883&lt;12,"Under 12 months",IF(T883&lt;36,"12-35 months",IF(T883&lt;60,"36-59 months","≥60 months"))))</f>
        <v/>
      </c>
      <c r="V883" s="27"/>
      <c r="W883" s="30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9"/>
      <c r="AT883" s="30"/>
      <c r="AU883" s="30"/>
      <c r="AV883" s="30"/>
      <c r="AW883" s="27"/>
      <c r="AX883" s="27"/>
      <c r="AY883" s="29"/>
      <c r="AZ883" s="27"/>
      <c r="BA883" s="27"/>
      <c r="BB883" s="29"/>
      <c r="BC883" s="30"/>
      <c r="BD883" s="30"/>
      <c r="BE883" s="30"/>
      <c r="BF883" s="27"/>
      <c r="BG883" s="27"/>
      <c r="BH883" s="28" t="str">
        <f aca="false">IF(COUNT(BC883:BE883)=0,"",IF(MIN(BC883:BE883)&lt;=-2.5,"Yes","No"))</f>
        <v/>
      </c>
      <c r="BI883" s="27"/>
      <c r="BJ883" s="29"/>
      <c r="BK883" s="27"/>
      <c r="BL883" s="27"/>
      <c r="BM883" s="27"/>
      <c r="BN883" s="28" t="str">
        <f aca="false">IF(OR(AX883="Yes",BI883="Yes"),"Yes",IF(AND(AX883="No",BI883="No"),"No",IF(AND(AX883="",BI883=""),"","Unknown")))</f>
        <v/>
      </c>
      <c r="BO883" s="31" t="str">
        <f aca="false">IF(COUNT(AY883,BJ883)=0,"",MIN(AY883,BJ883))</f>
        <v/>
      </c>
      <c r="BP883" s="29"/>
      <c r="BQ883" s="29"/>
      <c r="BR883" s="29"/>
      <c r="BS883" s="28" t="str">
        <f aca="false">IF(AND(N(BP883)&gt;0,N(BR883)&gt;0),BR883-BP883,"")</f>
        <v/>
      </c>
      <c r="BT883" s="28" t="str">
        <f aca="false">IF(BS883="","",ROUND(BS883/365.25,2))</f>
        <v/>
      </c>
      <c r="BU883" s="28" t="str">
        <f aca="false">IF(BS883="","",IF(BS883&gt;=730.5,"Yes","No"))</f>
        <v/>
      </c>
      <c r="BV883" s="27"/>
      <c r="BW883" s="29"/>
      <c r="BX883" s="27"/>
      <c r="BY883" s="27"/>
      <c r="BZ883" s="28" t="str">
        <f aca="false">IF(N(E883)=0,"",IF(E883&lt;65,"Under 65","≥65"))</f>
        <v/>
      </c>
      <c r="CA883" s="28" t="str">
        <f aca="false">IF(OR(AC883="Yes",AC883="No"),AC883,"")</f>
        <v/>
      </c>
      <c r="CB883" s="28" t="str">
        <f aca="false">IF(OR(AD883="Yes",AD883="No"),AD883,"")</f>
        <v/>
      </c>
      <c r="CC883" s="28" t="str">
        <f aca="false">IF(F883="","",F883)</f>
        <v/>
      </c>
      <c r="CD883" s="27"/>
      <c r="CE883" s="27"/>
    </row>
    <row r="884" customFormat="false" ht="15" hidden="false" customHeight="false" outlineLevel="0" collapsed="false">
      <c r="A884" s="27"/>
      <c r="B884" s="27"/>
      <c r="C884" s="27"/>
      <c r="D884" s="27"/>
      <c r="E884" s="27"/>
      <c r="F884" s="27"/>
      <c r="G884" s="27"/>
      <c r="H884" s="27"/>
      <c r="I884" s="27"/>
      <c r="J884" s="28" t="str">
        <f aca="false">IF(AND(N(H884)&gt;0,N(I884)&gt;0),ROUND(I884/(H884/100)^2,1),"")</f>
        <v/>
      </c>
      <c r="K884" s="27"/>
      <c r="L884" s="27"/>
      <c r="M884" s="27"/>
      <c r="N884" s="27"/>
      <c r="O884" s="27"/>
      <c r="P884" s="27"/>
      <c r="Q884" s="27"/>
      <c r="R884" s="29"/>
      <c r="S884" s="29"/>
      <c r="T884" s="27"/>
      <c r="U884" s="28" t="str">
        <f aca="false">IF(N(T884)=0,"",IF(T884&lt;12,"Under 12 months",IF(T884&lt;36,"12-35 months",IF(T884&lt;60,"36-59 months","≥60 months"))))</f>
        <v/>
      </c>
      <c r="V884" s="27"/>
      <c r="W884" s="30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9"/>
      <c r="AT884" s="30"/>
      <c r="AU884" s="30"/>
      <c r="AV884" s="30"/>
      <c r="AW884" s="27"/>
      <c r="AX884" s="27"/>
      <c r="AY884" s="29"/>
      <c r="AZ884" s="27"/>
      <c r="BA884" s="27"/>
      <c r="BB884" s="29"/>
      <c r="BC884" s="30"/>
      <c r="BD884" s="30"/>
      <c r="BE884" s="30"/>
      <c r="BF884" s="27"/>
      <c r="BG884" s="27"/>
      <c r="BH884" s="28" t="str">
        <f aca="false">IF(COUNT(BC884:BE884)=0,"",IF(MIN(BC884:BE884)&lt;=-2.5,"Yes","No"))</f>
        <v/>
      </c>
      <c r="BI884" s="27"/>
      <c r="BJ884" s="29"/>
      <c r="BK884" s="27"/>
      <c r="BL884" s="27"/>
      <c r="BM884" s="27"/>
      <c r="BN884" s="28" t="str">
        <f aca="false">IF(OR(AX884="Yes",BI884="Yes"),"Yes",IF(AND(AX884="No",BI884="No"),"No",IF(AND(AX884="",BI884=""),"","Unknown")))</f>
        <v/>
      </c>
      <c r="BO884" s="31" t="str">
        <f aca="false">IF(COUNT(AY884,BJ884)=0,"",MIN(AY884,BJ884))</f>
        <v/>
      </c>
      <c r="BP884" s="29"/>
      <c r="BQ884" s="29"/>
      <c r="BR884" s="29"/>
      <c r="BS884" s="28" t="str">
        <f aca="false">IF(AND(N(BP884)&gt;0,N(BR884)&gt;0),BR884-BP884,"")</f>
        <v/>
      </c>
      <c r="BT884" s="28" t="str">
        <f aca="false">IF(BS884="","",ROUND(BS884/365.25,2))</f>
        <v/>
      </c>
      <c r="BU884" s="28" t="str">
        <f aca="false">IF(BS884="","",IF(BS884&gt;=730.5,"Yes","No"))</f>
        <v/>
      </c>
      <c r="BV884" s="27"/>
      <c r="BW884" s="29"/>
      <c r="BX884" s="27"/>
      <c r="BY884" s="27"/>
      <c r="BZ884" s="28" t="str">
        <f aca="false">IF(N(E884)=0,"",IF(E884&lt;65,"Under 65","≥65"))</f>
        <v/>
      </c>
      <c r="CA884" s="28" t="str">
        <f aca="false">IF(OR(AC884="Yes",AC884="No"),AC884,"")</f>
        <v/>
      </c>
      <c r="CB884" s="28" t="str">
        <f aca="false">IF(OR(AD884="Yes",AD884="No"),AD884,"")</f>
        <v/>
      </c>
      <c r="CC884" s="28" t="str">
        <f aca="false">IF(F884="","",F884)</f>
        <v/>
      </c>
      <c r="CD884" s="27"/>
      <c r="CE884" s="27"/>
    </row>
    <row r="885" customFormat="false" ht="15" hidden="false" customHeight="false" outlineLevel="0" collapsed="false">
      <c r="A885" s="27"/>
      <c r="B885" s="27"/>
      <c r="C885" s="27"/>
      <c r="D885" s="27"/>
      <c r="E885" s="27"/>
      <c r="F885" s="27"/>
      <c r="G885" s="27"/>
      <c r="H885" s="27"/>
      <c r="I885" s="27"/>
      <c r="J885" s="28" t="str">
        <f aca="false">IF(AND(N(H885)&gt;0,N(I885)&gt;0),ROUND(I885/(H885/100)^2,1),"")</f>
        <v/>
      </c>
      <c r="K885" s="27"/>
      <c r="L885" s="27"/>
      <c r="M885" s="27"/>
      <c r="N885" s="27"/>
      <c r="O885" s="27"/>
      <c r="P885" s="27"/>
      <c r="Q885" s="27"/>
      <c r="R885" s="29"/>
      <c r="S885" s="29"/>
      <c r="T885" s="27"/>
      <c r="U885" s="28" t="str">
        <f aca="false">IF(N(T885)=0,"",IF(T885&lt;12,"Under 12 months",IF(T885&lt;36,"12-35 months",IF(T885&lt;60,"36-59 months","≥60 months"))))</f>
        <v/>
      </c>
      <c r="V885" s="27"/>
      <c r="W885" s="30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9"/>
      <c r="AT885" s="30"/>
      <c r="AU885" s="30"/>
      <c r="AV885" s="30"/>
      <c r="AW885" s="27"/>
      <c r="AX885" s="27"/>
      <c r="AY885" s="29"/>
      <c r="AZ885" s="27"/>
      <c r="BA885" s="27"/>
      <c r="BB885" s="29"/>
      <c r="BC885" s="30"/>
      <c r="BD885" s="30"/>
      <c r="BE885" s="30"/>
      <c r="BF885" s="27"/>
      <c r="BG885" s="27"/>
      <c r="BH885" s="28" t="str">
        <f aca="false">IF(COUNT(BC885:BE885)=0,"",IF(MIN(BC885:BE885)&lt;=-2.5,"Yes","No"))</f>
        <v/>
      </c>
      <c r="BI885" s="27"/>
      <c r="BJ885" s="29"/>
      <c r="BK885" s="27"/>
      <c r="BL885" s="27"/>
      <c r="BM885" s="27"/>
      <c r="BN885" s="28" t="str">
        <f aca="false">IF(OR(AX885="Yes",BI885="Yes"),"Yes",IF(AND(AX885="No",BI885="No"),"No",IF(AND(AX885="",BI885=""),"","Unknown")))</f>
        <v/>
      </c>
      <c r="BO885" s="31" t="str">
        <f aca="false">IF(COUNT(AY885,BJ885)=0,"",MIN(AY885,BJ885))</f>
        <v/>
      </c>
      <c r="BP885" s="29"/>
      <c r="BQ885" s="29"/>
      <c r="BR885" s="29"/>
      <c r="BS885" s="28" t="str">
        <f aca="false">IF(AND(N(BP885)&gt;0,N(BR885)&gt;0),BR885-BP885,"")</f>
        <v/>
      </c>
      <c r="BT885" s="28" t="str">
        <f aca="false">IF(BS885="","",ROUND(BS885/365.25,2))</f>
        <v/>
      </c>
      <c r="BU885" s="28" t="str">
        <f aca="false">IF(BS885="","",IF(BS885&gt;=730.5,"Yes","No"))</f>
        <v/>
      </c>
      <c r="BV885" s="27"/>
      <c r="BW885" s="29"/>
      <c r="BX885" s="27"/>
      <c r="BY885" s="27"/>
      <c r="BZ885" s="28" t="str">
        <f aca="false">IF(N(E885)=0,"",IF(E885&lt;65,"Under 65","≥65"))</f>
        <v/>
      </c>
      <c r="CA885" s="28" t="str">
        <f aca="false">IF(OR(AC885="Yes",AC885="No"),AC885,"")</f>
        <v/>
      </c>
      <c r="CB885" s="28" t="str">
        <f aca="false">IF(OR(AD885="Yes",AD885="No"),AD885,"")</f>
        <v/>
      </c>
      <c r="CC885" s="28" t="str">
        <f aca="false">IF(F885="","",F885)</f>
        <v/>
      </c>
      <c r="CD885" s="27"/>
      <c r="CE885" s="27"/>
    </row>
    <row r="886" customFormat="false" ht="15" hidden="false" customHeight="false" outlineLevel="0" collapsed="false">
      <c r="A886" s="27"/>
      <c r="B886" s="27"/>
      <c r="C886" s="27"/>
      <c r="D886" s="27"/>
      <c r="E886" s="27"/>
      <c r="F886" s="27"/>
      <c r="G886" s="27"/>
      <c r="H886" s="27"/>
      <c r="I886" s="27"/>
      <c r="J886" s="28" t="str">
        <f aca="false">IF(AND(N(H886)&gt;0,N(I886)&gt;0),ROUND(I886/(H886/100)^2,1),"")</f>
        <v/>
      </c>
      <c r="K886" s="27"/>
      <c r="L886" s="27"/>
      <c r="M886" s="27"/>
      <c r="N886" s="27"/>
      <c r="O886" s="27"/>
      <c r="P886" s="27"/>
      <c r="Q886" s="27"/>
      <c r="R886" s="29"/>
      <c r="S886" s="29"/>
      <c r="T886" s="27"/>
      <c r="U886" s="28" t="str">
        <f aca="false">IF(N(T886)=0,"",IF(T886&lt;12,"Under 12 months",IF(T886&lt;36,"12-35 months",IF(T886&lt;60,"36-59 months","≥60 months"))))</f>
        <v/>
      </c>
      <c r="V886" s="27"/>
      <c r="W886" s="30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9"/>
      <c r="AT886" s="30"/>
      <c r="AU886" s="30"/>
      <c r="AV886" s="30"/>
      <c r="AW886" s="27"/>
      <c r="AX886" s="27"/>
      <c r="AY886" s="29"/>
      <c r="AZ886" s="27"/>
      <c r="BA886" s="27"/>
      <c r="BB886" s="29"/>
      <c r="BC886" s="30"/>
      <c r="BD886" s="30"/>
      <c r="BE886" s="30"/>
      <c r="BF886" s="27"/>
      <c r="BG886" s="27"/>
      <c r="BH886" s="28" t="str">
        <f aca="false">IF(COUNT(BC886:BE886)=0,"",IF(MIN(BC886:BE886)&lt;=-2.5,"Yes","No"))</f>
        <v/>
      </c>
      <c r="BI886" s="27"/>
      <c r="BJ886" s="29"/>
      <c r="BK886" s="27"/>
      <c r="BL886" s="27"/>
      <c r="BM886" s="27"/>
      <c r="BN886" s="28" t="str">
        <f aca="false">IF(OR(AX886="Yes",BI886="Yes"),"Yes",IF(AND(AX886="No",BI886="No"),"No",IF(AND(AX886="",BI886=""),"","Unknown")))</f>
        <v/>
      </c>
      <c r="BO886" s="31" t="str">
        <f aca="false">IF(COUNT(AY886,BJ886)=0,"",MIN(AY886,BJ886))</f>
        <v/>
      </c>
      <c r="BP886" s="29"/>
      <c r="BQ886" s="29"/>
      <c r="BR886" s="29"/>
      <c r="BS886" s="28" t="str">
        <f aca="false">IF(AND(N(BP886)&gt;0,N(BR886)&gt;0),BR886-BP886,"")</f>
        <v/>
      </c>
      <c r="BT886" s="28" t="str">
        <f aca="false">IF(BS886="","",ROUND(BS886/365.25,2))</f>
        <v/>
      </c>
      <c r="BU886" s="28" t="str">
        <f aca="false">IF(BS886="","",IF(BS886&gt;=730.5,"Yes","No"))</f>
        <v/>
      </c>
      <c r="BV886" s="27"/>
      <c r="BW886" s="29"/>
      <c r="BX886" s="27"/>
      <c r="BY886" s="27"/>
      <c r="BZ886" s="28" t="str">
        <f aca="false">IF(N(E886)=0,"",IF(E886&lt;65,"Under 65","≥65"))</f>
        <v/>
      </c>
      <c r="CA886" s="28" t="str">
        <f aca="false">IF(OR(AC886="Yes",AC886="No"),AC886,"")</f>
        <v/>
      </c>
      <c r="CB886" s="28" t="str">
        <f aca="false">IF(OR(AD886="Yes",AD886="No"),AD886,"")</f>
        <v/>
      </c>
      <c r="CC886" s="28" t="str">
        <f aca="false">IF(F886="","",F886)</f>
        <v/>
      </c>
      <c r="CD886" s="27"/>
      <c r="CE886" s="27"/>
    </row>
    <row r="887" customFormat="false" ht="15" hidden="false" customHeight="false" outlineLevel="0" collapsed="false">
      <c r="A887" s="27"/>
      <c r="B887" s="27"/>
      <c r="C887" s="27"/>
      <c r="D887" s="27"/>
      <c r="E887" s="27"/>
      <c r="F887" s="27"/>
      <c r="G887" s="27"/>
      <c r="H887" s="27"/>
      <c r="I887" s="27"/>
      <c r="J887" s="28" t="str">
        <f aca="false">IF(AND(N(H887)&gt;0,N(I887)&gt;0),ROUND(I887/(H887/100)^2,1),"")</f>
        <v/>
      </c>
      <c r="K887" s="27"/>
      <c r="L887" s="27"/>
      <c r="M887" s="27"/>
      <c r="N887" s="27"/>
      <c r="O887" s="27"/>
      <c r="P887" s="27"/>
      <c r="Q887" s="27"/>
      <c r="R887" s="29"/>
      <c r="S887" s="29"/>
      <c r="T887" s="27"/>
      <c r="U887" s="28" t="str">
        <f aca="false">IF(N(T887)=0,"",IF(T887&lt;12,"Under 12 months",IF(T887&lt;36,"12-35 months",IF(T887&lt;60,"36-59 months","≥60 months"))))</f>
        <v/>
      </c>
      <c r="V887" s="27"/>
      <c r="W887" s="30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9"/>
      <c r="AT887" s="30"/>
      <c r="AU887" s="30"/>
      <c r="AV887" s="30"/>
      <c r="AW887" s="27"/>
      <c r="AX887" s="27"/>
      <c r="AY887" s="29"/>
      <c r="AZ887" s="27"/>
      <c r="BA887" s="27"/>
      <c r="BB887" s="29"/>
      <c r="BC887" s="30"/>
      <c r="BD887" s="30"/>
      <c r="BE887" s="30"/>
      <c r="BF887" s="27"/>
      <c r="BG887" s="27"/>
      <c r="BH887" s="28" t="str">
        <f aca="false">IF(COUNT(BC887:BE887)=0,"",IF(MIN(BC887:BE887)&lt;=-2.5,"Yes","No"))</f>
        <v/>
      </c>
      <c r="BI887" s="27"/>
      <c r="BJ887" s="29"/>
      <c r="BK887" s="27"/>
      <c r="BL887" s="27"/>
      <c r="BM887" s="27"/>
      <c r="BN887" s="28" t="str">
        <f aca="false">IF(OR(AX887="Yes",BI887="Yes"),"Yes",IF(AND(AX887="No",BI887="No"),"No",IF(AND(AX887="",BI887=""),"","Unknown")))</f>
        <v/>
      </c>
      <c r="BO887" s="31" t="str">
        <f aca="false">IF(COUNT(AY887,BJ887)=0,"",MIN(AY887,BJ887))</f>
        <v/>
      </c>
      <c r="BP887" s="29"/>
      <c r="BQ887" s="29"/>
      <c r="BR887" s="29"/>
      <c r="BS887" s="28" t="str">
        <f aca="false">IF(AND(N(BP887)&gt;0,N(BR887)&gt;0),BR887-BP887,"")</f>
        <v/>
      </c>
      <c r="BT887" s="28" t="str">
        <f aca="false">IF(BS887="","",ROUND(BS887/365.25,2))</f>
        <v/>
      </c>
      <c r="BU887" s="28" t="str">
        <f aca="false">IF(BS887="","",IF(BS887&gt;=730.5,"Yes","No"))</f>
        <v/>
      </c>
      <c r="BV887" s="27"/>
      <c r="BW887" s="29"/>
      <c r="BX887" s="27"/>
      <c r="BY887" s="27"/>
      <c r="BZ887" s="28" t="str">
        <f aca="false">IF(N(E887)=0,"",IF(E887&lt;65,"Under 65","≥65"))</f>
        <v/>
      </c>
      <c r="CA887" s="28" t="str">
        <f aca="false">IF(OR(AC887="Yes",AC887="No"),AC887,"")</f>
        <v/>
      </c>
      <c r="CB887" s="28" t="str">
        <f aca="false">IF(OR(AD887="Yes",AD887="No"),AD887,"")</f>
        <v/>
      </c>
      <c r="CC887" s="28" t="str">
        <f aca="false">IF(F887="","",F887)</f>
        <v/>
      </c>
      <c r="CD887" s="27"/>
      <c r="CE887" s="27"/>
    </row>
    <row r="888" customFormat="false" ht="15" hidden="false" customHeight="false" outlineLevel="0" collapsed="false">
      <c r="A888" s="27"/>
      <c r="B888" s="27"/>
      <c r="C888" s="27"/>
      <c r="D888" s="27"/>
      <c r="E888" s="27"/>
      <c r="F888" s="27"/>
      <c r="G888" s="27"/>
      <c r="H888" s="27"/>
      <c r="I888" s="27"/>
      <c r="J888" s="28" t="str">
        <f aca="false">IF(AND(N(H888)&gt;0,N(I888)&gt;0),ROUND(I888/(H888/100)^2,1),"")</f>
        <v/>
      </c>
      <c r="K888" s="27"/>
      <c r="L888" s="27"/>
      <c r="M888" s="27"/>
      <c r="N888" s="27"/>
      <c r="O888" s="27"/>
      <c r="P888" s="27"/>
      <c r="Q888" s="27"/>
      <c r="R888" s="29"/>
      <c r="S888" s="29"/>
      <c r="T888" s="27"/>
      <c r="U888" s="28" t="str">
        <f aca="false">IF(N(T888)=0,"",IF(T888&lt;12,"Under 12 months",IF(T888&lt;36,"12-35 months",IF(T888&lt;60,"36-59 months","≥60 months"))))</f>
        <v/>
      </c>
      <c r="V888" s="27"/>
      <c r="W888" s="30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9"/>
      <c r="AT888" s="30"/>
      <c r="AU888" s="30"/>
      <c r="AV888" s="30"/>
      <c r="AW888" s="27"/>
      <c r="AX888" s="27"/>
      <c r="AY888" s="29"/>
      <c r="AZ888" s="27"/>
      <c r="BA888" s="27"/>
      <c r="BB888" s="29"/>
      <c r="BC888" s="30"/>
      <c r="BD888" s="30"/>
      <c r="BE888" s="30"/>
      <c r="BF888" s="27"/>
      <c r="BG888" s="27"/>
      <c r="BH888" s="28" t="str">
        <f aca="false">IF(COUNT(BC888:BE888)=0,"",IF(MIN(BC888:BE888)&lt;=-2.5,"Yes","No"))</f>
        <v/>
      </c>
      <c r="BI888" s="27"/>
      <c r="BJ888" s="29"/>
      <c r="BK888" s="27"/>
      <c r="BL888" s="27"/>
      <c r="BM888" s="27"/>
      <c r="BN888" s="28" t="str">
        <f aca="false">IF(OR(AX888="Yes",BI888="Yes"),"Yes",IF(AND(AX888="No",BI888="No"),"No",IF(AND(AX888="",BI888=""),"","Unknown")))</f>
        <v/>
      </c>
      <c r="BO888" s="31" t="str">
        <f aca="false">IF(COUNT(AY888,BJ888)=0,"",MIN(AY888,BJ888))</f>
        <v/>
      </c>
      <c r="BP888" s="29"/>
      <c r="BQ888" s="29"/>
      <c r="BR888" s="29"/>
      <c r="BS888" s="28" t="str">
        <f aca="false">IF(AND(N(BP888)&gt;0,N(BR888)&gt;0),BR888-BP888,"")</f>
        <v/>
      </c>
      <c r="BT888" s="28" t="str">
        <f aca="false">IF(BS888="","",ROUND(BS888/365.25,2))</f>
        <v/>
      </c>
      <c r="BU888" s="28" t="str">
        <f aca="false">IF(BS888="","",IF(BS888&gt;=730.5,"Yes","No"))</f>
        <v/>
      </c>
      <c r="BV888" s="27"/>
      <c r="BW888" s="29"/>
      <c r="BX888" s="27"/>
      <c r="BY888" s="27"/>
      <c r="BZ888" s="28" t="str">
        <f aca="false">IF(N(E888)=0,"",IF(E888&lt;65,"Under 65","≥65"))</f>
        <v/>
      </c>
      <c r="CA888" s="28" t="str">
        <f aca="false">IF(OR(AC888="Yes",AC888="No"),AC888,"")</f>
        <v/>
      </c>
      <c r="CB888" s="28" t="str">
        <f aca="false">IF(OR(AD888="Yes",AD888="No"),AD888,"")</f>
        <v/>
      </c>
      <c r="CC888" s="28" t="str">
        <f aca="false">IF(F888="","",F888)</f>
        <v/>
      </c>
      <c r="CD888" s="27"/>
      <c r="CE888" s="27"/>
    </row>
    <row r="889" customFormat="false" ht="15" hidden="false" customHeight="false" outlineLevel="0" collapsed="false">
      <c r="A889" s="27"/>
      <c r="B889" s="27"/>
      <c r="C889" s="27"/>
      <c r="D889" s="27"/>
      <c r="E889" s="27"/>
      <c r="F889" s="27"/>
      <c r="G889" s="27"/>
      <c r="H889" s="27"/>
      <c r="I889" s="27"/>
      <c r="J889" s="28" t="str">
        <f aca="false">IF(AND(N(H889)&gt;0,N(I889)&gt;0),ROUND(I889/(H889/100)^2,1),"")</f>
        <v/>
      </c>
      <c r="K889" s="27"/>
      <c r="L889" s="27"/>
      <c r="M889" s="27"/>
      <c r="N889" s="27"/>
      <c r="O889" s="27"/>
      <c r="P889" s="27"/>
      <c r="Q889" s="27"/>
      <c r="R889" s="29"/>
      <c r="S889" s="29"/>
      <c r="T889" s="27"/>
      <c r="U889" s="28" t="str">
        <f aca="false">IF(N(T889)=0,"",IF(T889&lt;12,"Under 12 months",IF(T889&lt;36,"12-35 months",IF(T889&lt;60,"36-59 months","≥60 months"))))</f>
        <v/>
      </c>
      <c r="V889" s="27"/>
      <c r="W889" s="30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9"/>
      <c r="AT889" s="30"/>
      <c r="AU889" s="30"/>
      <c r="AV889" s="30"/>
      <c r="AW889" s="27"/>
      <c r="AX889" s="27"/>
      <c r="AY889" s="29"/>
      <c r="AZ889" s="27"/>
      <c r="BA889" s="27"/>
      <c r="BB889" s="29"/>
      <c r="BC889" s="30"/>
      <c r="BD889" s="30"/>
      <c r="BE889" s="30"/>
      <c r="BF889" s="27"/>
      <c r="BG889" s="27"/>
      <c r="BH889" s="28" t="str">
        <f aca="false">IF(COUNT(BC889:BE889)=0,"",IF(MIN(BC889:BE889)&lt;=-2.5,"Yes","No"))</f>
        <v/>
      </c>
      <c r="BI889" s="27"/>
      <c r="BJ889" s="29"/>
      <c r="BK889" s="27"/>
      <c r="BL889" s="27"/>
      <c r="BM889" s="27"/>
      <c r="BN889" s="28" t="str">
        <f aca="false">IF(OR(AX889="Yes",BI889="Yes"),"Yes",IF(AND(AX889="No",BI889="No"),"No",IF(AND(AX889="",BI889=""),"","Unknown")))</f>
        <v/>
      </c>
      <c r="BO889" s="31" t="str">
        <f aca="false">IF(COUNT(AY889,BJ889)=0,"",MIN(AY889,BJ889))</f>
        <v/>
      </c>
      <c r="BP889" s="29"/>
      <c r="BQ889" s="29"/>
      <c r="BR889" s="29"/>
      <c r="BS889" s="28" t="str">
        <f aca="false">IF(AND(N(BP889)&gt;0,N(BR889)&gt;0),BR889-BP889,"")</f>
        <v/>
      </c>
      <c r="BT889" s="28" t="str">
        <f aca="false">IF(BS889="","",ROUND(BS889/365.25,2))</f>
        <v/>
      </c>
      <c r="BU889" s="28" t="str">
        <f aca="false">IF(BS889="","",IF(BS889&gt;=730.5,"Yes","No"))</f>
        <v/>
      </c>
      <c r="BV889" s="27"/>
      <c r="BW889" s="29"/>
      <c r="BX889" s="27"/>
      <c r="BY889" s="27"/>
      <c r="BZ889" s="28" t="str">
        <f aca="false">IF(N(E889)=0,"",IF(E889&lt;65,"Under 65","≥65"))</f>
        <v/>
      </c>
      <c r="CA889" s="28" t="str">
        <f aca="false">IF(OR(AC889="Yes",AC889="No"),AC889,"")</f>
        <v/>
      </c>
      <c r="CB889" s="28" t="str">
        <f aca="false">IF(OR(AD889="Yes",AD889="No"),AD889,"")</f>
        <v/>
      </c>
      <c r="CC889" s="28" t="str">
        <f aca="false">IF(F889="","",F889)</f>
        <v/>
      </c>
      <c r="CD889" s="27"/>
      <c r="CE889" s="27"/>
    </row>
    <row r="890" customFormat="false" ht="15" hidden="false" customHeight="false" outlineLevel="0" collapsed="false">
      <c r="A890" s="27"/>
      <c r="B890" s="27"/>
      <c r="C890" s="27"/>
      <c r="D890" s="27"/>
      <c r="E890" s="27"/>
      <c r="F890" s="27"/>
      <c r="G890" s="27"/>
      <c r="H890" s="27"/>
      <c r="I890" s="27"/>
      <c r="J890" s="28" t="str">
        <f aca="false">IF(AND(N(H890)&gt;0,N(I890)&gt;0),ROUND(I890/(H890/100)^2,1),"")</f>
        <v/>
      </c>
      <c r="K890" s="27"/>
      <c r="L890" s="27"/>
      <c r="M890" s="27"/>
      <c r="N890" s="27"/>
      <c r="O890" s="27"/>
      <c r="P890" s="27"/>
      <c r="Q890" s="27"/>
      <c r="R890" s="29"/>
      <c r="S890" s="29"/>
      <c r="T890" s="27"/>
      <c r="U890" s="28" t="str">
        <f aca="false">IF(N(T890)=0,"",IF(T890&lt;12,"Under 12 months",IF(T890&lt;36,"12-35 months",IF(T890&lt;60,"36-59 months","≥60 months"))))</f>
        <v/>
      </c>
      <c r="V890" s="27"/>
      <c r="W890" s="30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9"/>
      <c r="AT890" s="30"/>
      <c r="AU890" s="30"/>
      <c r="AV890" s="30"/>
      <c r="AW890" s="27"/>
      <c r="AX890" s="27"/>
      <c r="AY890" s="29"/>
      <c r="AZ890" s="27"/>
      <c r="BA890" s="27"/>
      <c r="BB890" s="29"/>
      <c r="BC890" s="30"/>
      <c r="BD890" s="30"/>
      <c r="BE890" s="30"/>
      <c r="BF890" s="27"/>
      <c r="BG890" s="27"/>
      <c r="BH890" s="28" t="str">
        <f aca="false">IF(COUNT(BC890:BE890)=0,"",IF(MIN(BC890:BE890)&lt;=-2.5,"Yes","No"))</f>
        <v/>
      </c>
      <c r="BI890" s="27"/>
      <c r="BJ890" s="29"/>
      <c r="BK890" s="27"/>
      <c r="BL890" s="27"/>
      <c r="BM890" s="27"/>
      <c r="BN890" s="28" t="str">
        <f aca="false">IF(OR(AX890="Yes",BI890="Yes"),"Yes",IF(AND(AX890="No",BI890="No"),"No",IF(AND(AX890="",BI890=""),"","Unknown")))</f>
        <v/>
      </c>
      <c r="BO890" s="31" t="str">
        <f aca="false">IF(COUNT(AY890,BJ890)=0,"",MIN(AY890,BJ890))</f>
        <v/>
      </c>
      <c r="BP890" s="29"/>
      <c r="BQ890" s="29"/>
      <c r="BR890" s="29"/>
      <c r="BS890" s="28" t="str">
        <f aca="false">IF(AND(N(BP890)&gt;0,N(BR890)&gt;0),BR890-BP890,"")</f>
        <v/>
      </c>
      <c r="BT890" s="28" t="str">
        <f aca="false">IF(BS890="","",ROUND(BS890/365.25,2))</f>
        <v/>
      </c>
      <c r="BU890" s="28" t="str">
        <f aca="false">IF(BS890="","",IF(BS890&gt;=730.5,"Yes","No"))</f>
        <v/>
      </c>
      <c r="BV890" s="27"/>
      <c r="BW890" s="29"/>
      <c r="BX890" s="27"/>
      <c r="BY890" s="27"/>
      <c r="BZ890" s="28" t="str">
        <f aca="false">IF(N(E890)=0,"",IF(E890&lt;65,"Under 65","≥65"))</f>
        <v/>
      </c>
      <c r="CA890" s="28" t="str">
        <f aca="false">IF(OR(AC890="Yes",AC890="No"),AC890,"")</f>
        <v/>
      </c>
      <c r="CB890" s="28" t="str">
        <f aca="false">IF(OR(AD890="Yes",AD890="No"),AD890,"")</f>
        <v/>
      </c>
      <c r="CC890" s="28" t="str">
        <f aca="false">IF(F890="","",F890)</f>
        <v/>
      </c>
      <c r="CD890" s="27"/>
      <c r="CE890" s="27"/>
    </row>
    <row r="891" customFormat="false" ht="15" hidden="false" customHeight="false" outlineLevel="0" collapsed="false">
      <c r="A891" s="27"/>
      <c r="B891" s="27"/>
      <c r="C891" s="27"/>
      <c r="D891" s="27"/>
      <c r="E891" s="27"/>
      <c r="F891" s="27"/>
      <c r="G891" s="27"/>
      <c r="H891" s="27"/>
      <c r="I891" s="27"/>
      <c r="J891" s="28" t="str">
        <f aca="false">IF(AND(N(H891)&gt;0,N(I891)&gt;0),ROUND(I891/(H891/100)^2,1),"")</f>
        <v/>
      </c>
      <c r="K891" s="27"/>
      <c r="L891" s="27"/>
      <c r="M891" s="27"/>
      <c r="N891" s="27"/>
      <c r="O891" s="27"/>
      <c r="P891" s="27"/>
      <c r="Q891" s="27"/>
      <c r="R891" s="29"/>
      <c r="S891" s="29"/>
      <c r="T891" s="27"/>
      <c r="U891" s="28" t="str">
        <f aca="false">IF(N(T891)=0,"",IF(T891&lt;12,"Under 12 months",IF(T891&lt;36,"12-35 months",IF(T891&lt;60,"36-59 months","≥60 months"))))</f>
        <v/>
      </c>
      <c r="V891" s="27"/>
      <c r="W891" s="30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9"/>
      <c r="AT891" s="30"/>
      <c r="AU891" s="30"/>
      <c r="AV891" s="30"/>
      <c r="AW891" s="27"/>
      <c r="AX891" s="27"/>
      <c r="AY891" s="29"/>
      <c r="AZ891" s="27"/>
      <c r="BA891" s="27"/>
      <c r="BB891" s="29"/>
      <c r="BC891" s="30"/>
      <c r="BD891" s="30"/>
      <c r="BE891" s="30"/>
      <c r="BF891" s="27"/>
      <c r="BG891" s="27"/>
      <c r="BH891" s="28" t="str">
        <f aca="false">IF(COUNT(BC891:BE891)=0,"",IF(MIN(BC891:BE891)&lt;=-2.5,"Yes","No"))</f>
        <v/>
      </c>
      <c r="BI891" s="27"/>
      <c r="BJ891" s="29"/>
      <c r="BK891" s="27"/>
      <c r="BL891" s="27"/>
      <c r="BM891" s="27"/>
      <c r="BN891" s="28" t="str">
        <f aca="false">IF(OR(AX891="Yes",BI891="Yes"),"Yes",IF(AND(AX891="No",BI891="No"),"No",IF(AND(AX891="",BI891=""),"","Unknown")))</f>
        <v/>
      </c>
      <c r="BO891" s="31" t="str">
        <f aca="false">IF(COUNT(AY891,BJ891)=0,"",MIN(AY891,BJ891))</f>
        <v/>
      </c>
      <c r="BP891" s="29"/>
      <c r="BQ891" s="29"/>
      <c r="BR891" s="29"/>
      <c r="BS891" s="28" t="str">
        <f aca="false">IF(AND(N(BP891)&gt;0,N(BR891)&gt;0),BR891-BP891,"")</f>
        <v/>
      </c>
      <c r="BT891" s="28" t="str">
        <f aca="false">IF(BS891="","",ROUND(BS891/365.25,2))</f>
        <v/>
      </c>
      <c r="BU891" s="28" t="str">
        <f aca="false">IF(BS891="","",IF(BS891&gt;=730.5,"Yes","No"))</f>
        <v/>
      </c>
      <c r="BV891" s="27"/>
      <c r="BW891" s="29"/>
      <c r="BX891" s="27"/>
      <c r="BY891" s="27"/>
      <c r="BZ891" s="28" t="str">
        <f aca="false">IF(N(E891)=0,"",IF(E891&lt;65,"Under 65","≥65"))</f>
        <v/>
      </c>
      <c r="CA891" s="28" t="str">
        <f aca="false">IF(OR(AC891="Yes",AC891="No"),AC891,"")</f>
        <v/>
      </c>
      <c r="CB891" s="28" t="str">
        <f aca="false">IF(OR(AD891="Yes",AD891="No"),AD891,"")</f>
        <v/>
      </c>
      <c r="CC891" s="28" t="str">
        <f aca="false">IF(F891="","",F891)</f>
        <v/>
      </c>
      <c r="CD891" s="27"/>
      <c r="CE891" s="27"/>
    </row>
    <row r="892" customFormat="false" ht="15" hidden="false" customHeight="false" outlineLevel="0" collapsed="false">
      <c r="A892" s="27"/>
      <c r="B892" s="27"/>
      <c r="C892" s="27"/>
      <c r="D892" s="27"/>
      <c r="E892" s="27"/>
      <c r="F892" s="27"/>
      <c r="G892" s="27"/>
      <c r="H892" s="27"/>
      <c r="I892" s="27"/>
      <c r="J892" s="28" t="str">
        <f aca="false">IF(AND(N(H892)&gt;0,N(I892)&gt;0),ROUND(I892/(H892/100)^2,1),"")</f>
        <v/>
      </c>
      <c r="K892" s="27"/>
      <c r="L892" s="27"/>
      <c r="M892" s="27"/>
      <c r="N892" s="27"/>
      <c r="O892" s="27"/>
      <c r="P892" s="27"/>
      <c r="Q892" s="27"/>
      <c r="R892" s="29"/>
      <c r="S892" s="29"/>
      <c r="T892" s="27"/>
      <c r="U892" s="28" t="str">
        <f aca="false">IF(N(T892)=0,"",IF(T892&lt;12,"Under 12 months",IF(T892&lt;36,"12-35 months",IF(T892&lt;60,"36-59 months","≥60 months"))))</f>
        <v/>
      </c>
      <c r="V892" s="27"/>
      <c r="W892" s="30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9"/>
      <c r="AT892" s="30"/>
      <c r="AU892" s="30"/>
      <c r="AV892" s="30"/>
      <c r="AW892" s="27"/>
      <c r="AX892" s="27"/>
      <c r="AY892" s="29"/>
      <c r="AZ892" s="27"/>
      <c r="BA892" s="27"/>
      <c r="BB892" s="29"/>
      <c r="BC892" s="30"/>
      <c r="BD892" s="30"/>
      <c r="BE892" s="30"/>
      <c r="BF892" s="27"/>
      <c r="BG892" s="27"/>
      <c r="BH892" s="28" t="str">
        <f aca="false">IF(COUNT(BC892:BE892)=0,"",IF(MIN(BC892:BE892)&lt;=-2.5,"Yes","No"))</f>
        <v/>
      </c>
      <c r="BI892" s="27"/>
      <c r="BJ892" s="29"/>
      <c r="BK892" s="27"/>
      <c r="BL892" s="27"/>
      <c r="BM892" s="27"/>
      <c r="BN892" s="28" t="str">
        <f aca="false">IF(OR(AX892="Yes",BI892="Yes"),"Yes",IF(AND(AX892="No",BI892="No"),"No",IF(AND(AX892="",BI892=""),"","Unknown")))</f>
        <v/>
      </c>
      <c r="BO892" s="31" t="str">
        <f aca="false">IF(COUNT(AY892,BJ892)=0,"",MIN(AY892,BJ892))</f>
        <v/>
      </c>
      <c r="BP892" s="29"/>
      <c r="BQ892" s="29"/>
      <c r="BR892" s="29"/>
      <c r="BS892" s="28" t="str">
        <f aca="false">IF(AND(N(BP892)&gt;0,N(BR892)&gt;0),BR892-BP892,"")</f>
        <v/>
      </c>
      <c r="BT892" s="28" t="str">
        <f aca="false">IF(BS892="","",ROUND(BS892/365.25,2))</f>
        <v/>
      </c>
      <c r="BU892" s="28" t="str">
        <f aca="false">IF(BS892="","",IF(BS892&gt;=730.5,"Yes","No"))</f>
        <v/>
      </c>
      <c r="BV892" s="27"/>
      <c r="BW892" s="29"/>
      <c r="BX892" s="27"/>
      <c r="BY892" s="27"/>
      <c r="BZ892" s="28" t="str">
        <f aca="false">IF(N(E892)=0,"",IF(E892&lt;65,"Under 65","≥65"))</f>
        <v/>
      </c>
      <c r="CA892" s="28" t="str">
        <f aca="false">IF(OR(AC892="Yes",AC892="No"),AC892,"")</f>
        <v/>
      </c>
      <c r="CB892" s="28" t="str">
        <f aca="false">IF(OR(AD892="Yes",AD892="No"),AD892,"")</f>
        <v/>
      </c>
      <c r="CC892" s="28" t="str">
        <f aca="false">IF(F892="","",F892)</f>
        <v/>
      </c>
      <c r="CD892" s="27"/>
      <c r="CE892" s="27"/>
    </row>
    <row r="893" customFormat="false" ht="15" hidden="false" customHeight="false" outlineLevel="0" collapsed="false">
      <c r="A893" s="27"/>
      <c r="B893" s="27"/>
      <c r="C893" s="27"/>
      <c r="D893" s="27"/>
      <c r="E893" s="27"/>
      <c r="F893" s="27"/>
      <c r="G893" s="27"/>
      <c r="H893" s="27"/>
      <c r="I893" s="27"/>
      <c r="J893" s="28" t="str">
        <f aca="false">IF(AND(N(H893)&gt;0,N(I893)&gt;0),ROUND(I893/(H893/100)^2,1),"")</f>
        <v/>
      </c>
      <c r="K893" s="27"/>
      <c r="L893" s="27"/>
      <c r="M893" s="27"/>
      <c r="N893" s="27"/>
      <c r="O893" s="27"/>
      <c r="P893" s="27"/>
      <c r="Q893" s="27"/>
      <c r="R893" s="29"/>
      <c r="S893" s="29"/>
      <c r="T893" s="27"/>
      <c r="U893" s="28" t="str">
        <f aca="false">IF(N(T893)=0,"",IF(T893&lt;12,"Under 12 months",IF(T893&lt;36,"12-35 months",IF(T893&lt;60,"36-59 months","≥60 months"))))</f>
        <v/>
      </c>
      <c r="V893" s="27"/>
      <c r="W893" s="30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9"/>
      <c r="AT893" s="30"/>
      <c r="AU893" s="30"/>
      <c r="AV893" s="30"/>
      <c r="AW893" s="27"/>
      <c r="AX893" s="27"/>
      <c r="AY893" s="29"/>
      <c r="AZ893" s="27"/>
      <c r="BA893" s="27"/>
      <c r="BB893" s="29"/>
      <c r="BC893" s="30"/>
      <c r="BD893" s="30"/>
      <c r="BE893" s="30"/>
      <c r="BF893" s="27"/>
      <c r="BG893" s="27"/>
      <c r="BH893" s="28" t="str">
        <f aca="false">IF(COUNT(BC893:BE893)=0,"",IF(MIN(BC893:BE893)&lt;=-2.5,"Yes","No"))</f>
        <v/>
      </c>
      <c r="BI893" s="27"/>
      <c r="BJ893" s="29"/>
      <c r="BK893" s="27"/>
      <c r="BL893" s="27"/>
      <c r="BM893" s="27"/>
      <c r="BN893" s="28" t="str">
        <f aca="false">IF(OR(AX893="Yes",BI893="Yes"),"Yes",IF(AND(AX893="No",BI893="No"),"No",IF(AND(AX893="",BI893=""),"","Unknown")))</f>
        <v/>
      </c>
      <c r="BO893" s="31" t="str">
        <f aca="false">IF(COUNT(AY893,BJ893)=0,"",MIN(AY893,BJ893))</f>
        <v/>
      </c>
      <c r="BP893" s="29"/>
      <c r="BQ893" s="29"/>
      <c r="BR893" s="29"/>
      <c r="BS893" s="28" t="str">
        <f aca="false">IF(AND(N(BP893)&gt;0,N(BR893)&gt;0),BR893-BP893,"")</f>
        <v/>
      </c>
      <c r="BT893" s="28" t="str">
        <f aca="false">IF(BS893="","",ROUND(BS893/365.25,2))</f>
        <v/>
      </c>
      <c r="BU893" s="28" t="str">
        <f aca="false">IF(BS893="","",IF(BS893&gt;=730.5,"Yes","No"))</f>
        <v/>
      </c>
      <c r="BV893" s="27"/>
      <c r="BW893" s="29"/>
      <c r="BX893" s="27"/>
      <c r="BY893" s="27"/>
      <c r="BZ893" s="28" t="str">
        <f aca="false">IF(N(E893)=0,"",IF(E893&lt;65,"Under 65","≥65"))</f>
        <v/>
      </c>
      <c r="CA893" s="28" t="str">
        <f aca="false">IF(OR(AC893="Yes",AC893="No"),AC893,"")</f>
        <v/>
      </c>
      <c r="CB893" s="28" t="str">
        <f aca="false">IF(OR(AD893="Yes",AD893="No"),AD893,"")</f>
        <v/>
      </c>
      <c r="CC893" s="28" t="str">
        <f aca="false">IF(F893="","",F893)</f>
        <v/>
      </c>
      <c r="CD893" s="27"/>
      <c r="CE893" s="27"/>
    </row>
    <row r="894" customFormat="false" ht="15" hidden="false" customHeight="false" outlineLevel="0" collapsed="false">
      <c r="A894" s="27"/>
      <c r="B894" s="27"/>
      <c r="C894" s="27"/>
      <c r="D894" s="27"/>
      <c r="E894" s="27"/>
      <c r="F894" s="27"/>
      <c r="G894" s="27"/>
      <c r="H894" s="27"/>
      <c r="I894" s="27"/>
      <c r="J894" s="28" t="str">
        <f aca="false">IF(AND(N(H894)&gt;0,N(I894)&gt;0),ROUND(I894/(H894/100)^2,1),"")</f>
        <v/>
      </c>
      <c r="K894" s="27"/>
      <c r="L894" s="27"/>
      <c r="M894" s="27"/>
      <c r="N894" s="27"/>
      <c r="O894" s="27"/>
      <c r="P894" s="27"/>
      <c r="Q894" s="27"/>
      <c r="R894" s="29"/>
      <c r="S894" s="29"/>
      <c r="T894" s="27"/>
      <c r="U894" s="28" t="str">
        <f aca="false">IF(N(T894)=0,"",IF(T894&lt;12,"Under 12 months",IF(T894&lt;36,"12-35 months",IF(T894&lt;60,"36-59 months","≥60 months"))))</f>
        <v/>
      </c>
      <c r="V894" s="27"/>
      <c r="W894" s="30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9"/>
      <c r="AT894" s="30"/>
      <c r="AU894" s="30"/>
      <c r="AV894" s="30"/>
      <c r="AW894" s="27"/>
      <c r="AX894" s="27"/>
      <c r="AY894" s="29"/>
      <c r="AZ894" s="27"/>
      <c r="BA894" s="27"/>
      <c r="BB894" s="29"/>
      <c r="BC894" s="30"/>
      <c r="BD894" s="30"/>
      <c r="BE894" s="30"/>
      <c r="BF894" s="27"/>
      <c r="BG894" s="27"/>
      <c r="BH894" s="28" t="str">
        <f aca="false">IF(COUNT(BC894:BE894)=0,"",IF(MIN(BC894:BE894)&lt;=-2.5,"Yes","No"))</f>
        <v/>
      </c>
      <c r="BI894" s="27"/>
      <c r="BJ894" s="29"/>
      <c r="BK894" s="27"/>
      <c r="BL894" s="27"/>
      <c r="BM894" s="27"/>
      <c r="BN894" s="28" t="str">
        <f aca="false">IF(OR(AX894="Yes",BI894="Yes"),"Yes",IF(AND(AX894="No",BI894="No"),"No",IF(AND(AX894="",BI894=""),"","Unknown")))</f>
        <v/>
      </c>
      <c r="BO894" s="31" t="str">
        <f aca="false">IF(COUNT(AY894,BJ894)=0,"",MIN(AY894,BJ894))</f>
        <v/>
      </c>
      <c r="BP894" s="29"/>
      <c r="BQ894" s="29"/>
      <c r="BR894" s="29"/>
      <c r="BS894" s="28" t="str">
        <f aca="false">IF(AND(N(BP894)&gt;0,N(BR894)&gt;0),BR894-BP894,"")</f>
        <v/>
      </c>
      <c r="BT894" s="28" t="str">
        <f aca="false">IF(BS894="","",ROUND(BS894/365.25,2))</f>
        <v/>
      </c>
      <c r="BU894" s="28" t="str">
        <f aca="false">IF(BS894="","",IF(BS894&gt;=730.5,"Yes","No"))</f>
        <v/>
      </c>
      <c r="BV894" s="27"/>
      <c r="BW894" s="29"/>
      <c r="BX894" s="27"/>
      <c r="BY894" s="27"/>
      <c r="BZ894" s="28" t="str">
        <f aca="false">IF(N(E894)=0,"",IF(E894&lt;65,"Under 65","≥65"))</f>
        <v/>
      </c>
      <c r="CA894" s="28" t="str">
        <f aca="false">IF(OR(AC894="Yes",AC894="No"),AC894,"")</f>
        <v/>
      </c>
      <c r="CB894" s="28" t="str">
        <f aca="false">IF(OR(AD894="Yes",AD894="No"),AD894,"")</f>
        <v/>
      </c>
      <c r="CC894" s="28" t="str">
        <f aca="false">IF(F894="","",F894)</f>
        <v/>
      </c>
      <c r="CD894" s="27"/>
      <c r="CE894" s="27"/>
    </row>
    <row r="895" customFormat="false" ht="15" hidden="false" customHeight="false" outlineLevel="0" collapsed="false">
      <c r="A895" s="27"/>
      <c r="B895" s="27"/>
      <c r="C895" s="27"/>
      <c r="D895" s="27"/>
      <c r="E895" s="27"/>
      <c r="F895" s="27"/>
      <c r="G895" s="27"/>
      <c r="H895" s="27"/>
      <c r="I895" s="27"/>
      <c r="J895" s="28" t="str">
        <f aca="false">IF(AND(N(H895)&gt;0,N(I895)&gt;0),ROUND(I895/(H895/100)^2,1),"")</f>
        <v/>
      </c>
      <c r="K895" s="27"/>
      <c r="L895" s="27"/>
      <c r="M895" s="27"/>
      <c r="N895" s="27"/>
      <c r="O895" s="27"/>
      <c r="P895" s="27"/>
      <c r="Q895" s="27"/>
      <c r="R895" s="29"/>
      <c r="S895" s="29"/>
      <c r="T895" s="27"/>
      <c r="U895" s="28" t="str">
        <f aca="false">IF(N(T895)=0,"",IF(T895&lt;12,"Under 12 months",IF(T895&lt;36,"12-35 months",IF(T895&lt;60,"36-59 months","≥60 months"))))</f>
        <v/>
      </c>
      <c r="V895" s="27"/>
      <c r="W895" s="30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9"/>
      <c r="AT895" s="30"/>
      <c r="AU895" s="30"/>
      <c r="AV895" s="30"/>
      <c r="AW895" s="27"/>
      <c r="AX895" s="27"/>
      <c r="AY895" s="29"/>
      <c r="AZ895" s="27"/>
      <c r="BA895" s="27"/>
      <c r="BB895" s="29"/>
      <c r="BC895" s="30"/>
      <c r="BD895" s="30"/>
      <c r="BE895" s="30"/>
      <c r="BF895" s="27"/>
      <c r="BG895" s="27"/>
      <c r="BH895" s="28" t="str">
        <f aca="false">IF(COUNT(BC895:BE895)=0,"",IF(MIN(BC895:BE895)&lt;=-2.5,"Yes","No"))</f>
        <v/>
      </c>
      <c r="BI895" s="27"/>
      <c r="BJ895" s="29"/>
      <c r="BK895" s="27"/>
      <c r="BL895" s="27"/>
      <c r="BM895" s="27"/>
      <c r="BN895" s="28" t="str">
        <f aca="false">IF(OR(AX895="Yes",BI895="Yes"),"Yes",IF(AND(AX895="No",BI895="No"),"No",IF(AND(AX895="",BI895=""),"","Unknown")))</f>
        <v/>
      </c>
      <c r="BO895" s="31" t="str">
        <f aca="false">IF(COUNT(AY895,BJ895)=0,"",MIN(AY895,BJ895))</f>
        <v/>
      </c>
      <c r="BP895" s="29"/>
      <c r="BQ895" s="29"/>
      <c r="BR895" s="29"/>
      <c r="BS895" s="28" t="str">
        <f aca="false">IF(AND(N(BP895)&gt;0,N(BR895)&gt;0),BR895-BP895,"")</f>
        <v/>
      </c>
      <c r="BT895" s="28" t="str">
        <f aca="false">IF(BS895="","",ROUND(BS895/365.25,2))</f>
        <v/>
      </c>
      <c r="BU895" s="28" t="str">
        <f aca="false">IF(BS895="","",IF(BS895&gt;=730.5,"Yes","No"))</f>
        <v/>
      </c>
      <c r="BV895" s="27"/>
      <c r="BW895" s="29"/>
      <c r="BX895" s="27"/>
      <c r="BY895" s="27"/>
      <c r="BZ895" s="28" t="str">
        <f aca="false">IF(N(E895)=0,"",IF(E895&lt;65,"Under 65","≥65"))</f>
        <v/>
      </c>
      <c r="CA895" s="28" t="str">
        <f aca="false">IF(OR(AC895="Yes",AC895="No"),AC895,"")</f>
        <v/>
      </c>
      <c r="CB895" s="28" t="str">
        <f aca="false">IF(OR(AD895="Yes",AD895="No"),AD895,"")</f>
        <v/>
      </c>
      <c r="CC895" s="28" t="str">
        <f aca="false">IF(F895="","",F895)</f>
        <v/>
      </c>
      <c r="CD895" s="27"/>
      <c r="CE895" s="27"/>
    </row>
    <row r="896" customFormat="false" ht="15" hidden="false" customHeight="false" outlineLevel="0" collapsed="false">
      <c r="A896" s="27"/>
      <c r="B896" s="27"/>
      <c r="C896" s="27"/>
      <c r="D896" s="27"/>
      <c r="E896" s="27"/>
      <c r="F896" s="27"/>
      <c r="G896" s="27"/>
      <c r="H896" s="27"/>
      <c r="I896" s="27"/>
      <c r="J896" s="28" t="str">
        <f aca="false">IF(AND(N(H896)&gt;0,N(I896)&gt;0),ROUND(I896/(H896/100)^2,1),"")</f>
        <v/>
      </c>
      <c r="K896" s="27"/>
      <c r="L896" s="27"/>
      <c r="M896" s="27"/>
      <c r="N896" s="27"/>
      <c r="O896" s="27"/>
      <c r="P896" s="27"/>
      <c r="Q896" s="27"/>
      <c r="R896" s="29"/>
      <c r="S896" s="29"/>
      <c r="T896" s="27"/>
      <c r="U896" s="28" t="str">
        <f aca="false">IF(N(T896)=0,"",IF(T896&lt;12,"Under 12 months",IF(T896&lt;36,"12-35 months",IF(T896&lt;60,"36-59 months","≥60 months"))))</f>
        <v/>
      </c>
      <c r="V896" s="27"/>
      <c r="W896" s="30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9"/>
      <c r="AT896" s="30"/>
      <c r="AU896" s="30"/>
      <c r="AV896" s="30"/>
      <c r="AW896" s="27"/>
      <c r="AX896" s="27"/>
      <c r="AY896" s="29"/>
      <c r="AZ896" s="27"/>
      <c r="BA896" s="27"/>
      <c r="BB896" s="29"/>
      <c r="BC896" s="30"/>
      <c r="BD896" s="30"/>
      <c r="BE896" s="30"/>
      <c r="BF896" s="27"/>
      <c r="BG896" s="27"/>
      <c r="BH896" s="28" t="str">
        <f aca="false">IF(COUNT(BC896:BE896)=0,"",IF(MIN(BC896:BE896)&lt;=-2.5,"Yes","No"))</f>
        <v/>
      </c>
      <c r="BI896" s="27"/>
      <c r="BJ896" s="29"/>
      <c r="BK896" s="27"/>
      <c r="BL896" s="27"/>
      <c r="BM896" s="27"/>
      <c r="BN896" s="28" t="str">
        <f aca="false">IF(OR(AX896="Yes",BI896="Yes"),"Yes",IF(AND(AX896="No",BI896="No"),"No",IF(AND(AX896="",BI896=""),"","Unknown")))</f>
        <v/>
      </c>
      <c r="BO896" s="31" t="str">
        <f aca="false">IF(COUNT(AY896,BJ896)=0,"",MIN(AY896,BJ896))</f>
        <v/>
      </c>
      <c r="BP896" s="29"/>
      <c r="BQ896" s="29"/>
      <c r="BR896" s="29"/>
      <c r="BS896" s="28" t="str">
        <f aca="false">IF(AND(N(BP896)&gt;0,N(BR896)&gt;0),BR896-BP896,"")</f>
        <v/>
      </c>
      <c r="BT896" s="28" t="str">
        <f aca="false">IF(BS896="","",ROUND(BS896/365.25,2))</f>
        <v/>
      </c>
      <c r="BU896" s="28" t="str">
        <f aca="false">IF(BS896="","",IF(BS896&gt;=730.5,"Yes","No"))</f>
        <v/>
      </c>
      <c r="BV896" s="27"/>
      <c r="BW896" s="29"/>
      <c r="BX896" s="27"/>
      <c r="BY896" s="27"/>
      <c r="BZ896" s="28" t="str">
        <f aca="false">IF(N(E896)=0,"",IF(E896&lt;65,"Under 65","≥65"))</f>
        <v/>
      </c>
      <c r="CA896" s="28" t="str">
        <f aca="false">IF(OR(AC896="Yes",AC896="No"),AC896,"")</f>
        <v/>
      </c>
      <c r="CB896" s="28" t="str">
        <f aca="false">IF(OR(AD896="Yes",AD896="No"),AD896,"")</f>
        <v/>
      </c>
      <c r="CC896" s="28" t="str">
        <f aca="false">IF(F896="","",F896)</f>
        <v/>
      </c>
      <c r="CD896" s="27"/>
      <c r="CE896" s="27"/>
    </row>
    <row r="897" customFormat="false" ht="15" hidden="false" customHeight="false" outlineLevel="0" collapsed="false">
      <c r="A897" s="27"/>
      <c r="B897" s="27"/>
      <c r="C897" s="27"/>
      <c r="D897" s="27"/>
      <c r="E897" s="27"/>
      <c r="F897" s="27"/>
      <c r="G897" s="27"/>
      <c r="H897" s="27"/>
      <c r="I897" s="27"/>
      <c r="J897" s="28" t="str">
        <f aca="false">IF(AND(N(H897)&gt;0,N(I897)&gt;0),ROUND(I897/(H897/100)^2,1),"")</f>
        <v/>
      </c>
      <c r="K897" s="27"/>
      <c r="L897" s="27"/>
      <c r="M897" s="27"/>
      <c r="N897" s="27"/>
      <c r="O897" s="27"/>
      <c r="P897" s="27"/>
      <c r="Q897" s="27"/>
      <c r="R897" s="29"/>
      <c r="S897" s="29"/>
      <c r="T897" s="27"/>
      <c r="U897" s="28" t="str">
        <f aca="false">IF(N(T897)=0,"",IF(T897&lt;12,"Under 12 months",IF(T897&lt;36,"12-35 months",IF(T897&lt;60,"36-59 months","≥60 months"))))</f>
        <v/>
      </c>
      <c r="V897" s="27"/>
      <c r="W897" s="30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9"/>
      <c r="AT897" s="30"/>
      <c r="AU897" s="30"/>
      <c r="AV897" s="30"/>
      <c r="AW897" s="27"/>
      <c r="AX897" s="27"/>
      <c r="AY897" s="29"/>
      <c r="AZ897" s="27"/>
      <c r="BA897" s="27"/>
      <c r="BB897" s="29"/>
      <c r="BC897" s="30"/>
      <c r="BD897" s="30"/>
      <c r="BE897" s="30"/>
      <c r="BF897" s="27"/>
      <c r="BG897" s="27"/>
      <c r="BH897" s="28" t="str">
        <f aca="false">IF(COUNT(BC897:BE897)=0,"",IF(MIN(BC897:BE897)&lt;=-2.5,"Yes","No"))</f>
        <v/>
      </c>
      <c r="BI897" s="27"/>
      <c r="BJ897" s="29"/>
      <c r="BK897" s="27"/>
      <c r="BL897" s="27"/>
      <c r="BM897" s="27"/>
      <c r="BN897" s="28" t="str">
        <f aca="false">IF(OR(AX897="Yes",BI897="Yes"),"Yes",IF(AND(AX897="No",BI897="No"),"No",IF(AND(AX897="",BI897=""),"","Unknown")))</f>
        <v/>
      </c>
      <c r="BO897" s="31" t="str">
        <f aca="false">IF(COUNT(AY897,BJ897)=0,"",MIN(AY897,BJ897))</f>
        <v/>
      </c>
      <c r="BP897" s="29"/>
      <c r="BQ897" s="29"/>
      <c r="BR897" s="29"/>
      <c r="BS897" s="28" t="str">
        <f aca="false">IF(AND(N(BP897)&gt;0,N(BR897)&gt;0),BR897-BP897,"")</f>
        <v/>
      </c>
      <c r="BT897" s="28" t="str">
        <f aca="false">IF(BS897="","",ROUND(BS897/365.25,2))</f>
        <v/>
      </c>
      <c r="BU897" s="28" t="str">
        <f aca="false">IF(BS897="","",IF(BS897&gt;=730.5,"Yes","No"))</f>
        <v/>
      </c>
      <c r="BV897" s="27"/>
      <c r="BW897" s="29"/>
      <c r="BX897" s="27"/>
      <c r="BY897" s="27"/>
      <c r="BZ897" s="28" t="str">
        <f aca="false">IF(N(E897)=0,"",IF(E897&lt;65,"Under 65","≥65"))</f>
        <v/>
      </c>
      <c r="CA897" s="28" t="str">
        <f aca="false">IF(OR(AC897="Yes",AC897="No"),AC897,"")</f>
        <v/>
      </c>
      <c r="CB897" s="28" t="str">
        <f aca="false">IF(OR(AD897="Yes",AD897="No"),AD897,"")</f>
        <v/>
      </c>
      <c r="CC897" s="28" t="str">
        <f aca="false">IF(F897="","",F897)</f>
        <v/>
      </c>
      <c r="CD897" s="27"/>
      <c r="CE897" s="27"/>
    </row>
    <row r="898" customFormat="false" ht="15" hidden="false" customHeight="false" outlineLevel="0" collapsed="false">
      <c r="A898" s="27"/>
      <c r="B898" s="27"/>
      <c r="C898" s="27"/>
      <c r="D898" s="27"/>
      <c r="E898" s="27"/>
      <c r="F898" s="27"/>
      <c r="G898" s="27"/>
      <c r="H898" s="27"/>
      <c r="I898" s="27"/>
      <c r="J898" s="28" t="str">
        <f aca="false">IF(AND(N(H898)&gt;0,N(I898)&gt;0),ROUND(I898/(H898/100)^2,1),"")</f>
        <v/>
      </c>
      <c r="K898" s="27"/>
      <c r="L898" s="27"/>
      <c r="M898" s="27"/>
      <c r="N898" s="27"/>
      <c r="O898" s="27"/>
      <c r="P898" s="27"/>
      <c r="Q898" s="27"/>
      <c r="R898" s="29"/>
      <c r="S898" s="29"/>
      <c r="T898" s="27"/>
      <c r="U898" s="28" t="str">
        <f aca="false">IF(N(T898)=0,"",IF(T898&lt;12,"Under 12 months",IF(T898&lt;36,"12-35 months",IF(T898&lt;60,"36-59 months","≥60 months"))))</f>
        <v/>
      </c>
      <c r="V898" s="27"/>
      <c r="W898" s="30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9"/>
      <c r="AT898" s="30"/>
      <c r="AU898" s="30"/>
      <c r="AV898" s="30"/>
      <c r="AW898" s="27"/>
      <c r="AX898" s="27"/>
      <c r="AY898" s="29"/>
      <c r="AZ898" s="27"/>
      <c r="BA898" s="27"/>
      <c r="BB898" s="29"/>
      <c r="BC898" s="30"/>
      <c r="BD898" s="30"/>
      <c r="BE898" s="30"/>
      <c r="BF898" s="27"/>
      <c r="BG898" s="27"/>
      <c r="BH898" s="28" t="str">
        <f aca="false">IF(COUNT(BC898:BE898)=0,"",IF(MIN(BC898:BE898)&lt;=-2.5,"Yes","No"))</f>
        <v/>
      </c>
      <c r="BI898" s="27"/>
      <c r="BJ898" s="29"/>
      <c r="BK898" s="27"/>
      <c r="BL898" s="27"/>
      <c r="BM898" s="27"/>
      <c r="BN898" s="28" t="str">
        <f aca="false">IF(OR(AX898="Yes",BI898="Yes"),"Yes",IF(AND(AX898="No",BI898="No"),"No",IF(AND(AX898="",BI898=""),"","Unknown")))</f>
        <v/>
      </c>
      <c r="BO898" s="31" t="str">
        <f aca="false">IF(COUNT(AY898,BJ898)=0,"",MIN(AY898,BJ898))</f>
        <v/>
      </c>
      <c r="BP898" s="29"/>
      <c r="BQ898" s="29"/>
      <c r="BR898" s="29"/>
      <c r="BS898" s="28" t="str">
        <f aca="false">IF(AND(N(BP898)&gt;0,N(BR898)&gt;0),BR898-BP898,"")</f>
        <v/>
      </c>
      <c r="BT898" s="28" t="str">
        <f aca="false">IF(BS898="","",ROUND(BS898/365.25,2))</f>
        <v/>
      </c>
      <c r="BU898" s="28" t="str">
        <f aca="false">IF(BS898="","",IF(BS898&gt;=730.5,"Yes","No"))</f>
        <v/>
      </c>
      <c r="BV898" s="27"/>
      <c r="BW898" s="29"/>
      <c r="BX898" s="27"/>
      <c r="BY898" s="27"/>
      <c r="BZ898" s="28" t="str">
        <f aca="false">IF(N(E898)=0,"",IF(E898&lt;65,"Under 65","≥65"))</f>
        <v/>
      </c>
      <c r="CA898" s="28" t="str">
        <f aca="false">IF(OR(AC898="Yes",AC898="No"),AC898,"")</f>
        <v/>
      </c>
      <c r="CB898" s="28" t="str">
        <f aca="false">IF(OR(AD898="Yes",AD898="No"),AD898,"")</f>
        <v/>
      </c>
      <c r="CC898" s="28" t="str">
        <f aca="false">IF(F898="","",F898)</f>
        <v/>
      </c>
      <c r="CD898" s="27"/>
      <c r="CE898" s="27"/>
    </row>
    <row r="899" customFormat="false" ht="15" hidden="false" customHeight="false" outlineLevel="0" collapsed="false">
      <c r="A899" s="27"/>
      <c r="B899" s="27"/>
      <c r="C899" s="27"/>
      <c r="D899" s="27"/>
      <c r="E899" s="27"/>
      <c r="F899" s="27"/>
      <c r="G899" s="27"/>
      <c r="H899" s="27"/>
      <c r="I899" s="27"/>
      <c r="J899" s="28" t="str">
        <f aca="false">IF(AND(N(H899)&gt;0,N(I899)&gt;0),ROUND(I899/(H899/100)^2,1),"")</f>
        <v/>
      </c>
      <c r="K899" s="27"/>
      <c r="L899" s="27"/>
      <c r="M899" s="27"/>
      <c r="N899" s="27"/>
      <c r="O899" s="27"/>
      <c r="P899" s="27"/>
      <c r="Q899" s="27"/>
      <c r="R899" s="29"/>
      <c r="S899" s="29"/>
      <c r="T899" s="27"/>
      <c r="U899" s="28" t="str">
        <f aca="false">IF(N(T899)=0,"",IF(T899&lt;12,"Under 12 months",IF(T899&lt;36,"12-35 months",IF(T899&lt;60,"36-59 months","≥60 months"))))</f>
        <v/>
      </c>
      <c r="V899" s="27"/>
      <c r="W899" s="30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9"/>
      <c r="AT899" s="30"/>
      <c r="AU899" s="30"/>
      <c r="AV899" s="30"/>
      <c r="AW899" s="27"/>
      <c r="AX899" s="27"/>
      <c r="AY899" s="29"/>
      <c r="AZ899" s="27"/>
      <c r="BA899" s="27"/>
      <c r="BB899" s="29"/>
      <c r="BC899" s="30"/>
      <c r="BD899" s="30"/>
      <c r="BE899" s="30"/>
      <c r="BF899" s="27"/>
      <c r="BG899" s="27"/>
      <c r="BH899" s="28" t="str">
        <f aca="false">IF(COUNT(BC899:BE899)=0,"",IF(MIN(BC899:BE899)&lt;=-2.5,"Yes","No"))</f>
        <v/>
      </c>
      <c r="BI899" s="27"/>
      <c r="BJ899" s="29"/>
      <c r="BK899" s="27"/>
      <c r="BL899" s="27"/>
      <c r="BM899" s="27"/>
      <c r="BN899" s="28" t="str">
        <f aca="false">IF(OR(AX899="Yes",BI899="Yes"),"Yes",IF(AND(AX899="No",BI899="No"),"No",IF(AND(AX899="",BI899=""),"","Unknown")))</f>
        <v/>
      </c>
      <c r="BO899" s="31" t="str">
        <f aca="false">IF(COUNT(AY899,BJ899)=0,"",MIN(AY899,BJ899))</f>
        <v/>
      </c>
      <c r="BP899" s="29"/>
      <c r="BQ899" s="29"/>
      <c r="BR899" s="29"/>
      <c r="BS899" s="28" t="str">
        <f aca="false">IF(AND(N(BP899)&gt;0,N(BR899)&gt;0),BR899-BP899,"")</f>
        <v/>
      </c>
      <c r="BT899" s="28" t="str">
        <f aca="false">IF(BS899="","",ROUND(BS899/365.25,2))</f>
        <v/>
      </c>
      <c r="BU899" s="28" t="str">
        <f aca="false">IF(BS899="","",IF(BS899&gt;=730.5,"Yes","No"))</f>
        <v/>
      </c>
      <c r="BV899" s="27"/>
      <c r="BW899" s="29"/>
      <c r="BX899" s="27"/>
      <c r="BY899" s="27"/>
      <c r="BZ899" s="28" t="str">
        <f aca="false">IF(N(E899)=0,"",IF(E899&lt;65,"Under 65","≥65"))</f>
        <v/>
      </c>
      <c r="CA899" s="28" t="str">
        <f aca="false">IF(OR(AC899="Yes",AC899="No"),AC899,"")</f>
        <v/>
      </c>
      <c r="CB899" s="28" t="str">
        <f aca="false">IF(OR(AD899="Yes",AD899="No"),AD899,"")</f>
        <v/>
      </c>
      <c r="CC899" s="28" t="str">
        <f aca="false">IF(F899="","",F899)</f>
        <v/>
      </c>
      <c r="CD899" s="27"/>
      <c r="CE899" s="27"/>
    </row>
    <row r="900" customFormat="false" ht="15" hidden="false" customHeight="false" outlineLevel="0" collapsed="false">
      <c r="A900" s="27"/>
      <c r="B900" s="27"/>
      <c r="C900" s="27"/>
      <c r="D900" s="27"/>
      <c r="E900" s="27"/>
      <c r="F900" s="27"/>
      <c r="G900" s="27"/>
      <c r="H900" s="27"/>
      <c r="I900" s="27"/>
      <c r="J900" s="28" t="str">
        <f aca="false">IF(AND(N(H900)&gt;0,N(I900)&gt;0),ROUND(I900/(H900/100)^2,1),"")</f>
        <v/>
      </c>
      <c r="K900" s="27"/>
      <c r="L900" s="27"/>
      <c r="M900" s="27"/>
      <c r="N900" s="27"/>
      <c r="O900" s="27"/>
      <c r="P900" s="27"/>
      <c r="Q900" s="27"/>
      <c r="R900" s="29"/>
      <c r="S900" s="29"/>
      <c r="T900" s="27"/>
      <c r="U900" s="28" t="str">
        <f aca="false">IF(N(T900)=0,"",IF(T900&lt;12,"Under 12 months",IF(T900&lt;36,"12-35 months",IF(T900&lt;60,"36-59 months","≥60 months"))))</f>
        <v/>
      </c>
      <c r="V900" s="27"/>
      <c r="W900" s="30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9"/>
      <c r="AT900" s="30"/>
      <c r="AU900" s="30"/>
      <c r="AV900" s="30"/>
      <c r="AW900" s="27"/>
      <c r="AX900" s="27"/>
      <c r="AY900" s="29"/>
      <c r="AZ900" s="27"/>
      <c r="BA900" s="27"/>
      <c r="BB900" s="29"/>
      <c r="BC900" s="30"/>
      <c r="BD900" s="30"/>
      <c r="BE900" s="30"/>
      <c r="BF900" s="27"/>
      <c r="BG900" s="27"/>
      <c r="BH900" s="28" t="str">
        <f aca="false">IF(COUNT(BC900:BE900)=0,"",IF(MIN(BC900:BE900)&lt;=-2.5,"Yes","No"))</f>
        <v/>
      </c>
      <c r="BI900" s="27"/>
      <c r="BJ900" s="29"/>
      <c r="BK900" s="27"/>
      <c r="BL900" s="27"/>
      <c r="BM900" s="27"/>
      <c r="BN900" s="28" t="str">
        <f aca="false">IF(OR(AX900="Yes",BI900="Yes"),"Yes",IF(AND(AX900="No",BI900="No"),"No",IF(AND(AX900="",BI900=""),"","Unknown")))</f>
        <v/>
      </c>
      <c r="BO900" s="31" t="str">
        <f aca="false">IF(COUNT(AY900,BJ900)=0,"",MIN(AY900,BJ900))</f>
        <v/>
      </c>
      <c r="BP900" s="29"/>
      <c r="BQ900" s="29"/>
      <c r="BR900" s="29"/>
      <c r="BS900" s="28" t="str">
        <f aca="false">IF(AND(N(BP900)&gt;0,N(BR900)&gt;0),BR900-BP900,"")</f>
        <v/>
      </c>
      <c r="BT900" s="28" t="str">
        <f aca="false">IF(BS900="","",ROUND(BS900/365.25,2))</f>
        <v/>
      </c>
      <c r="BU900" s="28" t="str">
        <f aca="false">IF(BS900="","",IF(BS900&gt;=730.5,"Yes","No"))</f>
        <v/>
      </c>
      <c r="BV900" s="27"/>
      <c r="BW900" s="29"/>
      <c r="BX900" s="27"/>
      <c r="BY900" s="27"/>
      <c r="BZ900" s="28" t="str">
        <f aca="false">IF(N(E900)=0,"",IF(E900&lt;65,"Under 65","≥65"))</f>
        <v/>
      </c>
      <c r="CA900" s="28" t="str">
        <f aca="false">IF(OR(AC900="Yes",AC900="No"),AC900,"")</f>
        <v/>
      </c>
      <c r="CB900" s="28" t="str">
        <f aca="false">IF(OR(AD900="Yes",AD900="No"),AD900,"")</f>
        <v/>
      </c>
      <c r="CC900" s="28" t="str">
        <f aca="false">IF(F900="","",F900)</f>
        <v/>
      </c>
      <c r="CD900" s="27"/>
      <c r="CE900" s="27"/>
    </row>
    <row r="901" customFormat="false" ht="15" hidden="false" customHeight="false" outlineLevel="0" collapsed="false">
      <c r="A901" s="27"/>
      <c r="B901" s="27"/>
      <c r="C901" s="27"/>
      <c r="D901" s="27"/>
      <c r="E901" s="27"/>
      <c r="F901" s="27"/>
      <c r="G901" s="27"/>
      <c r="H901" s="27"/>
      <c r="I901" s="27"/>
      <c r="J901" s="28" t="str">
        <f aca="false">IF(AND(N(H901)&gt;0,N(I901)&gt;0),ROUND(I901/(H901/100)^2,1),"")</f>
        <v/>
      </c>
      <c r="K901" s="27"/>
      <c r="L901" s="27"/>
      <c r="M901" s="27"/>
      <c r="N901" s="27"/>
      <c r="O901" s="27"/>
      <c r="P901" s="27"/>
      <c r="Q901" s="27"/>
      <c r="R901" s="29"/>
      <c r="S901" s="29"/>
      <c r="T901" s="27"/>
      <c r="U901" s="28" t="str">
        <f aca="false">IF(N(T901)=0,"",IF(T901&lt;12,"Under 12 months",IF(T901&lt;36,"12-35 months",IF(T901&lt;60,"36-59 months","≥60 months"))))</f>
        <v/>
      </c>
      <c r="V901" s="27"/>
      <c r="W901" s="30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9"/>
      <c r="AT901" s="30"/>
      <c r="AU901" s="30"/>
      <c r="AV901" s="30"/>
      <c r="AW901" s="27"/>
      <c r="AX901" s="27"/>
      <c r="AY901" s="29"/>
      <c r="AZ901" s="27"/>
      <c r="BA901" s="27"/>
      <c r="BB901" s="29"/>
      <c r="BC901" s="30"/>
      <c r="BD901" s="30"/>
      <c r="BE901" s="30"/>
      <c r="BF901" s="27"/>
      <c r="BG901" s="27"/>
      <c r="BH901" s="28" t="str">
        <f aca="false">IF(COUNT(BC901:BE901)=0,"",IF(MIN(BC901:BE901)&lt;=-2.5,"Yes","No"))</f>
        <v/>
      </c>
      <c r="BI901" s="27"/>
      <c r="BJ901" s="29"/>
      <c r="BK901" s="27"/>
      <c r="BL901" s="27"/>
      <c r="BM901" s="27"/>
      <c r="BN901" s="28" t="str">
        <f aca="false">IF(OR(AX901="Yes",BI901="Yes"),"Yes",IF(AND(AX901="No",BI901="No"),"No",IF(AND(AX901="",BI901=""),"","Unknown")))</f>
        <v/>
      </c>
      <c r="BO901" s="31" t="str">
        <f aca="false">IF(COUNT(AY901,BJ901)=0,"",MIN(AY901,BJ901))</f>
        <v/>
      </c>
      <c r="BP901" s="29"/>
      <c r="BQ901" s="29"/>
      <c r="BR901" s="29"/>
      <c r="BS901" s="28" t="str">
        <f aca="false">IF(AND(N(BP901)&gt;0,N(BR901)&gt;0),BR901-BP901,"")</f>
        <v/>
      </c>
      <c r="BT901" s="28" t="str">
        <f aca="false">IF(BS901="","",ROUND(BS901/365.25,2))</f>
        <v/>
      </c>
      <c r="BU901" s="28" t="str">
        <f aca="false">IF(BS901="","",IF(BS901&gt;=730.5,"Yes","No"))</f>
        <v/>
      </c>
      <c r="BV901" s="27"/>
      <c r="BW901" s="29"/>
      <c r="BX901" s="27"/>
      <c r="BY901" s="27"/>
      <c r="BZ901" s="28" t="str">
        <f aca="false">IF(N(E901)=0,"",IF(E901&lt;65,"Under 65","≥65"))</f>
        <v/>
      </c>
      <c r="CA901" s="28" t="str">
        <f aca="false">IF(OR(AC901="Yes",AC901="No"),AC901,"")</f>
        <v/>
      </c>
      <c r="CB901" s="28" t="str">
        <f aca="false">IF(OR(AD901="Yes",AD901="No"),AD901,"")</f>
        <v/>
      </c>
      <c r="CC901" s="28" t="str">
        <f aca="false">IF(F901="","",F901)</f>
        <v/>
      </c>
      <c r="CD901" s="27"/>
      <c r="CE901" s="27"/>
    </row>
    <row r="902" customFormat="false" ht="15" hidden="false" customHeight="false" outlineLevel="0" collapsed="false">
      <c r="A902" s="27"/>
      <c r="B902" s="27"/>
      <c r="C902" s="27"/>
      <c r="D902" s="27"/>
      <c r="E902" s="27"/>
      <c r="F902" s="27"/>
      <c r="G902" s="27"/>
      <c r="H902" s="27"/>
      <c r="I902" s="27"/>
      <c r="J902" s="28" t="str">
        <f aca="false">IF(AND(N(H902)&gt;0,N(I902)&gt;0),ROUND(I902/(H902/100)^2,1),"")</f>
        <v/>
      </c>
      <c r="K902" s="27"/>
      <c r="L902" s="27"/>
      <c r="M902" s="27"/>
      <c r="N902" s="27"/>
      <c r="O902" s="27"/>
      <c r="P902" s="27"/>
      <c r="Q902" s="27"/>
      <c r="R902" s="29"/>
      <c r="S902" s="29"/>
      <c r="T902" s="27"/>
      <c r="U902" s="28" t="str">
        <f aca="false">IF(N(T902)=0,"",IF(T902&lt;12,"Under 12 months",IF(T902&lt;36,"12-35 months",IF(T902&lt;60,"36-59 months","≥60 months"))))</f>
        <v/>
      </c>
      <c r="V902" s="27"/>
      <c r="W902" s="30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9"/>
      <c r="AT902" s="30"/>
      <c r="AU902" s="30"/>
      <c r="AV902" s="30"/>
      <c r="AW902" s="27"/>
      <c r="AX902" s="27"/>
      <c r="AY902" s="29"/>
      <c r="AZ902" s="27"/>
      <c r="BA902" s="27"/>
      <c r="BB902" s="29"/>
      <c r="BC902" s="30"/>
      <c r="BD902" s="30"/>
      <c r="BE902" s="30"/>
      <c r="BF902" s="27"/>
      <c r="BG902" s="27"/>
      <c r="BH902" s="28" t="str">
        <f aca="false">IF(COUNT(BC902:BE902)=0,"",IF(MIN(BC902:BE902)&lt;=-2.5,"Yes","No"))</f>
        <v/>
      </c>
      <c r="BI902" s="27"/>
      <c r="BJ902" s="29"/>
      <c r="BK902" s="27"/>
      <c r="BL902" s="27"/>
      <c r="BM902" s="27"/>
      <c r="BN902" s="28" t="str">
        <f aca="false">IF(OR(AX902="Yes",BI902="Yes"),"Yes",IF(AND(AX902="No",BI902="No"),"No",IF(AND(AX902="",BI902=""),"","Unknown")))</f>
        <v/>
      </c>
      <c r="BO902" s="31" t="str">
        <f aca="false">IF(COUNT(AY902,BJ902)=0,"",MIN(AY902,BJ902))</f>
        <v/>
      </c>
      <c r="BP902" s="29"/>
      <c r="BQ902" s="29"/>
      <c r="BR902" s="29"/>
      <c r="BS902" s="28" t="str">
        <f aca="false">IF(AND(N(BP902)&gt;0,N(BR902)&gt;0),BR902-BP902,"")</f>
        <v/>
      </c>
      <c r="BT902" s="28" t="str">
        <f aca="false">IF(BS902="","",ROUND(BS902/365.25,2))</f>
        <v/>
      </c>
      <c r="BU902" s="28" t="str">
        <f aca="false">IF(BS902="","",IF(BS902&gt;=730.5,"Yes","No"))</f>
        <v/>
      </c>
      <c r="BV902" s="27"/>
      <c r="BW902" s="29"/>
      <c r="BX902" s="27"/>
      <c r="BY902" s="27"/>
      <c r="BZ902" s="28" t="str">
        <f aca="false">IF(N(E902)=0,"",IF(E902&lt;65,"Under 65","≥65"))</f>
        <v/>
      </c>
      <c r="CA902" s="28" t="str">
        <f aca="false">IF(OR(AC902="Yes",AC902="No"),AC902,"")</f>
        <v/>
      </c>
      <c r="CB902" s="28" t="str">
        <f aca="false">IF(OR(AD902="Yes",AD902="No"),AD902,"")</f>
        <v/>
      </c>
      <c r="CC902" s="28" t="str">
        <f aca="false">IF(F902="","",F902)</f>
        <v/>
      </c>
      <c r="CD902" s="27"/>
      <c r="CE902" s="27"/>
    </row>
    <row r="903" customFormat="false" ht="15" hidden="false" customHeight="false" outlineLevel="0" collapsed="false">
      <c r="A903" s="27"/>
      <c r="B903" s="27"/>
      <c r="C903" s="27"/>
      <c r="D903" s="27"/>
      <c r="E903" s="27"/>
      <c r="F903" s="27"/>
      <c r="G903" s="27"/>
      <c r="H903" s="27"/>
      <c r="I903" s="27"/>
      <c r="J903" s="28" t="str">
        <f aca="false">IF(AND(N(H903)&gt;0,N(I903)&gt;0),ROUND(I903/(H903/100)^2,1),"")</f>
        <v/>
      </c>
      <c r="K903" s="27"/>
      <c r="L903" s="27"/>
      <c r="M903" s="27"/>
      <c r="N903" s="27"/>
      <c r="O903" s="27"/>
      <c r="P903" s="27"/>
      <c r="Q903" s="27"/>
      <c r="R903" s="29"/>
      <c r="S903" s="29"/>
      <c r="T903" s="27"/>
      <c r="U903" s="28" t="str">
        <f aca="false">IF(N(T903)=0,"",IF(T903&lt;12,"Under 12 months",IF(T903&lt;36,"12-35 months",IF(T903&lt;60,"36-59 months","≥60 months"))))</f>
        <v/>
      </c>
      <c r="V903" s="27"/>
      <c r="W903" s="30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9"/>
      <c r="AT903" s="30"/>
      <c r="AU903" s="30"/>
      <c r="AV903" s="30"/>
      <c r="AW903" s="27"/>
      <c r="AX903" s="27"/>
      <c r="AY903" s="29"/>
      <c r="AZ903" s="27"/>
      <c r="BA903" s="27"/>
      <c r="BB903" s="29"/>
      <c r="BC903" s="30"/>
      <c r="BD903" s="30"/>
      <c r="BE903" s="30"/>
      <c r="BF903" s="27"/>
      <c r="BG903" s="27"/>
      <c r="BH903" s="28" t="str">
        <f aca="false">IF(COUNT(BC903:BE903)=0,"",IF(MIN(BC903:BE903)&lt;=-2.5,"Yes","No"))</f>
        <v/>
      </c>
      <c r="BI903" s="27"/>
      <c r="BJ903" s="29"/>
      <c r="BK903" s="27"/>
      <c r="BL903" s="27"/>
      <c r="BM903" s="27"/>
      <c r="BN903" s="28" t="str">
        <f aca="false">IF(OR(AX903="Yes",BI903="Yes"),"Yes",IF(AND(AX903="No",BI903="No"),"No",IF(AND(AX903="",BI903=""),"","Unknown")))</f>
        <v/>
      </c>
      <c r="BO903" s="31" t="str">
        <f aca="false">IF(COUNT(AY903,BJ903)=0,"",MIN(AY903,BJ903))</f>
        <v/>
      </c>
      <c r="BP903" s="29"/>
      <c r="BQ903" s="29"/>
      <c r="BR903" s="29"/>
      <c r="BS903" s="28" t="str">
        <f aca="false">IF(AND(N(BP903)&gt;0,N(BR903)&gt;0),BR903-BP903,"")</f>
        <v/>
      </c>
      <c r="BT903" s="28" t="str">
        <f aca="false">IF(BS903="","",ROUND(BS903/365.25,2))</f>
        <v/>
      </c>
      <c r="BU903" s="28" t="str">
        <f aca="false">IF(BS903="","",IF(BS903&gt;=730.5,"Yes","No"))</f>
        <v/>
      </c>
      <c r="BV903" s="27"/>
      <c r="BW903" s="29"/>
      <c r="BX903" s="27"/>
      <c r="BY903" s="27"/>
      <c r="BZ903" s="28" t="str">
        <f aca="false">IF(N(E903)=0,"",IF(E903&lt;65,"Under 65","≥65"))</f>
        <v/>
      </c>
      <c r="CA903" s="28" t="str">
        <f aca="false">IF(OR(AC903="Yes",AC903="No"),AC903,"")</f>
        <v/>
      </c>
      <c r="CB903" s="28" t="str">
        <f aca="false">IF(OR(AD903="Yes",AD903="No"),AD903,"")</f>
        <v/>
      </c>
      <c r="CC903" s="28" t="str">
        <f aca="false">IF(F903="","",F903)</f>
        <v/>
      </c>
      <c r="CD903" s="27"/>
      <c r="CE903" s="27"/>
    </row>
    <row r="904" customFormat="false" ht="15" hidden="false" customHeight="false" outlineLevel="0" collapsed="false">
      <c r="A904" s="27"/>
      <c r="B904" s="27"/>
      <c r="C904" s="27"/>
      <c r="D904" s="27"/>
      <c r="E904" s="27"/>
      <c r="F904" s="27"/>
      <c r="G904" s="27"/>
      <c r="H904" s="27"/>
      <c r="I904" s="27"/>
      <c r="J904" s="28" t="str">
        <f aca="false">IF(AND(N(H904)&gt;0,N(I904)&gt;0),ROUND(I904/(H904/100)^2,1),"")</f>
        <v/>
      </c>
      <c r="K904" s="27"/>
      <c r="L904" s="27"/>
      <c r="M904" s="27"/>
      <c r="N904" s="27"/>
      <c r="O904" s="27"/>
      <c r="P904" s="27"/>
      <c r="Q904" s="27"/>
      <c r="R904" s="29"/>
      <c r="S904" s="29"/>
      <c r="T904" s="27"/>
      <c r="U904" s="28" t="str">
        <f aca="false">IF(N(T904)=0,"",IF(T904&lt;12,"Under 12 months",IF(T904&lt;36,"12-35 months",IF(T904&lt;60,"36-59 months","≥60 months"))))</f>
        <v/>
      </c>
      <c r="V904" s="27"/>
      <c r="W904" s="30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9"/>
      <c r="AT904" s="30"/>
      <c r="AU904" s="30"/>
      <c r="AV904" s="30"/>
      <c r="AW904" s="27"/>
      <c r="AX904" s="27"/>
      <c r="AY904" s="29"/>
      <c r="AZ904" s="27"/>
      <c r="BA904" s="27"/>
      <c r="BB904" s="29"/>
      <c r="BC904" s="30"/>
      <c r="BD904" s="30"/>
      <c r="BE904" s="30"/>
      <c r="BF904" s="27"/>
      <c r="BG904" s="27"/>
      <c r="BH904" s="28" t="str">
        <f aca="false">IF(COUNT(BC904:BE904)=0,"",IF(MIN(BC904:BE904)&lt;=-2.5,"Yes","No"))</f>
        <v/>
      </c>
      <c r="BI904" s="27"/>
      <c r="BJ904" s="29"/>
      <c r="BK904" s="27"/>
      <c r="BL904" s="27"/>
      <c r="BM904" s="27"/>
      <c r="BN904" s="28" t="str">
        <f aca="false">IF(OR(AX904="Yes",BI904="Yes"),"Yes",IF(AND(AX904="No",BI904="No"),"No",IF(AND(AX904="",BI904=""),"","Unknown")))</f>
        <v/>
      </c>
      <c r="BO904" s="31" t="str">
        <f aca="false">IF(COUNT(AY904,BJ904)=0,"",MIN(AY904,BJ904))</f>
        <v/>
      </c>
      <c r="BP904" s="29"/>
      <c r="BQ904" s="29"/>
      <c r="BR904" s="29"/>
      <c r="BS904" s="28" t="str">
        <f aca="false">IF(AND(N(BP904)&gt;0,N(BR904)&gt;0),BR904-BP904,"")</f>
        <v/>
      </c>
      <c r="BT904" s="28" t="str">
        <f aca="false">IF(BS904="","",ROUND(BS904/365.25,2))</f>
        <v/>
      </c>
      <c r="BU904" s="28" t="str">
        <f aca="false">IF(BS904="","",IF(BS904&gt;=730.5,"Yes","No"))</f>
        <v/>
      </c>
      <c r="BV904" s="27"/>
      <c r="BW904" s="29"/>
      <c r="BX904" s="27"/>
      <c r="BY904" s="27"/>
      <c r="BZ904" s="28" t="str">
        <f aca="false">IF(N(E904)=0,"",IF(E904&lt;65,"Under 65","≥65"))</f>
        <v/>
      </c>
      <c r="CA904" s="28" t="str">
        <f aca="false">IF(OR(AC904="Yes",AC904="No"),AC904,"")</f>
        <v/>
      </c>
      <c r="CB904" s="28" t="str">
        <f aca="false">IF(OR(AD904="Yes",AD904="No"),AD904,"")</f>
        <v/>
      </c>
      <c r="CC904" s="28" t="str">
        <f aca="false">IF(F904="","",F904)</f>
        <v/>
      </c>
      <c r="CD904" s="27"/>
      <c r="CE904" s="27"/>
    </row>
    <row r="905" customFormat="false" ht="15" hidden="false" customHeight="false" outlineLevel="0" collapsed="false">
      <c r="A905" s="27"/>
      <c r="B905" s="27"/>
      <c r="C905" s="27"/>
      <c r="D905" s="27"/>
      <c r="E905" s="27"/>
      <c r="F905" s="27"/>
      <c r="G905" s="27"/>
      <c r="H905" s="27"/>
      <c r="I905" s="27"/>
      <c r="J905" s="28" t="str">
        <f aca="false">IF(AND(N(H905)&gt;0,N(I905)&gt;0),ROUND(I905/(H905/100)^2,1),"")</f>
        <v/>
      </c>
      <c r="K905" s="27"/>
      <c r="L905" s="27"/>
      <c r="M905" s="27"/>
      <c r="N905" s="27"/>
      <c r="O905" s="27"/>
      <c r="P905" s="27"/>
      <c r="Q905" s="27"/>
      <c r="R905" s="29"/>
      <c r="S905" s="29"/>
      <c r="T905" s="27"/>
      <c r="U905" s="28" t="str">
        <f aca="false">IF(N(T905)=0,"",IF(T905&lt;12,"Under 12 months",IF(T905&lt;36,"12-35 months",IF(T905&lt;60,"36-59 months","≥60 months"))))</f>
        <v/>
      </c>
      <c r="V905" s="27"/>
      <c r="W905" s="30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9"/>
      <c r="AT905" s="30"/>
      <c r="AU905" s="30"/>
      <c r="AV905" s="30"/>
      <c r="AW905" s="27"/>
      <c r="AX905" s="27"/>
      <c r="AY905" s="29"/>
      <c r="AZ905" s="27"/>
      <c r="BA905" s="27"/>
      <c r="BB905" s="29"/>
      <c r="BC905" s="30"/>
      <c r="BD905" s="30"/>
      <c r="BE905" s="30"/>
      <c r="BF905" s="27"/>
      <c r="BG905" s="27"/>
      <c r="BH905" s="28" t="str">
        <f aca="false">IF(COUNT(BC905:BE905)=0,"",IF(MIN(BC905:BE905)&lt;=-2.5,"Yes","No"))</f>
        <v/>
      </c>
      <c r="BI905" s="27"/>
      <c r="BJ905" s="29"/>
      <c r="BK905" s="27"/>
      <c r="BL905" s="27"/>
      <c r="BM905" s="27"/>
      <c r="BN905" s="28" t="str">
        <f aca="false">IF(OR(AX905="Yes",BI905="Yes"),"Yes",IF(AND(AX905="No",BI905="No"),"No",IF(AND(AX905="",BI905=""),"","Unknown")))</f>
        <v/>
      </c>
      <c r="BO905" s="31" t="str">
        <f aca="false">IF(COUNT(AY905,BJ905)=0,"",MIN(AY905,BJ905))</f>
        <v/>
      </c>
      <c r="BP905" s="29"/>
      <c r="BQ905" s="29"/>
      <c r="BR905" s="29"/>
      <c r="BS905" s="28" t="str">
        <f aca="false">IF(AND(N(BP905)&gt;0,N(BR905)&gt;0),BR905-BP905,"")</f>
        <v/>
      </c>
      <c r="BT905" s="28" t="str">
        <f aca="false">IF(BS905="","",ROUND(BS905/365.25,2))</f>
        <v/>
      </c>
      <c r="BU905" s="28" t="str">
        <f aca="false">IF(BS905="","",IF(BS905&gt;=730.5,"Yes","No"))</f>
        <v/>
      </c>
      <c r="BV905" s="27"/>
      <c r="BW905" s="29"/>
      <c r="BX905" s="27"/>
      <c r="BY905" s="27"/>
      <c r="BZ905" s="28" t="str">
        <f aca="false">IF(N(E905)=0,"",IF(E905&lt;65,"Under 65","≥65"))</f>
        <v/>
      </c>
      <c r="CA905" s="28" t="str">
        <f aca="false">IF(OR(AC905="Yes",AC905="No"),AC905,"")</f>
        <v/>
      </c>
      <c r="CB905" s="28" t="str">
        <f aca="false">IF(OR(AD905="Yes",AD905="No"),AD905,"")</f>
        <v/>
      </c>
      <c r="CC905" s="28" t="str">
        <f aca="false">IF(F905="","",F905)</f>
        <v/>
      </c>
      <c r="CD905" s="27"/>
      <c r="CE905" s="27"/>
    </row>
    <row r="906" customFormat="false" ht="15" hidden="false" customHeight="false" outlineLevel="0" collapsed="false">
      <c r="A906" s="27"/>
      <c r="B906" s="27"/>
      <c r="C906" s="27"/>
      <c r="D906" s="27"/>
      <c r="E906" s="27"/>
      <c r="F906" s="27"/>
      <c r="G906" s="27"/>
      <c r="H906" s="27"/>
      <c r="I906" s="27"/>
      <c r="J906" s="28" t="str">
        <f aca="false">IF(AND(N(H906)&gt;0,N(I906)&gt;0),ROUND(I906/(H906/100)^2,1),"")</f>
        <v/>
      </c>
      <c r="K906" s="27"/>
      <c r="L906" s="27"/>
      <c r="M906" s="27"/>
      <c r="N906" s="27"/>
      <c r="O906" s="27"/>
      <c r="P906" s="27"/>
      <c r="Q906" s="27"/>
      <c r="R906" s="29"/>
      <c r="S906" s="29"/>
      <c r="T906" s="27"/>
      <c r="U906" s="28" t="str">
        <f aca="false">IF(N(T906)=0,"",IF(T906&lt;12,"Under 12 months",IF(T906&lt;36,"12-35 months",IF(T906&lt;60,"36-59 months","≥60 months"))))</f>
        <v/>
      </c>
      <c r="V906" s="27"/>
      <c r="W906" s="30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9"/>
      <c r="AT906" s="30"/>
      <c r="AU906" s="30"/>
      <c r="AV906" s="30"/>
      <c r="AW906" s="27"/>
      <c r="AX906" s="27"/>
      <c r="AY906" s="29"/>
      <c r="AZ906" s="27"/>
      <c r="BA906" s="27"/>
      <c r="BB906" s="29"/>
      <c r="BC906" s="30"/>
      <c r="BD906" s="30"/>
      <c r="BE906" s="30"/>
      <c r="BF906" s="27"/>
      <c r="BG906" s="27"/>
      <c r="BH906" s="28" t="str">
        <f aca="false">IF(COUNT(BC906:BE906)=0,"",IF(MIN(BC906:BE906)&lt;=-2.5,"Yes","No"))</f>
        <v/>
      </c>
      <c r="BI906" s="27"/>
      <c r="BJ906" s="29"/>
      <c r="BK906" s="27"/>
      <c r="BL906" s="27"/>
      <c r="BM906" s="27"/>
      <c r="BN906" s="28" t="str">
        <f aca="false">IF(OR(AX906="Yes",BI906="Yes"),"Yes",IF(AND(AX906="No",BI906="No"),"No",IF(AND(AX906="",BI906=""),"","Unknown")))</f>
        <v/>
      </c>
      <c r="BO906" s="31" t="str">
        <f aca="false">IF(COUNT(AY906,BJ906)=0,"",MIN(AY906,BJ906))</f>
        <v/>
      </c>
      <c r="BP906" s="29"/>
      <c r="BQ906" s="29"/>
      <c r="BR906" s="29"/>
      <c r="BS906" s="28" t="str">
        <f aca="false">IF(AND(N(BP906)&gt;0,N(BR906)&gt;0),BR906-BP906,"")</f>
        <v/>
      </c>
      <c r="BT906" s="28" t="str">
        <f aca="false">IF(BS906="","",ROUND(BS906/365.25,2))</f>
        <v/>
      </c>
      <c r="BU906" s="28" t="str">
        <f aca="false">IF(BS906="","",IF(BS906&gt;=730.5,"Yes","No"))</f>
        <v/>
      </c>
      <c r="BV906" s="27"/>
      <c r="BW906" s="29"/>
      <c r="BX906" s="27"/>
      <c r="BY906" s="27"/>
      <c r="BZ906" s="28" t="str">
        <f aca="false">IF(N(E906)=0,"",IF(E906&lt;65,"Under 65","≥65"))</f>
        <v/>
      </c>
      <c r="CA906" s="28" t="str">
        <f aca="false">IF(OR(AC906="Yes",AC906="No"),AC906,"")</f>
        <v/>
      </c>
      <c r="CB906" s="28" t="str">
        <f aca="false">IF(OR(AD906="Yes",AD906="No"),AD906,"")</f>
        <v/>
      </c>
      <c r="CC906" s="28" t="str">
        <f aca="false">IF(F906="","",F906)</f>
        <v/>
      </c>
      <c r="CD906" s="27"/>
      <c r="CE906" s="27"/>
    </row>
    <row r="907" customFormat="false" ht="15" hidden="false" customHeight="false" outlineLevel="0" collapsed="false">
      <c r="A907" s="27"/>
      <c r="B907" s="27"/>
      <c r="C907" s="27"/>
      <c r="D907" s="27"/>
      <c r="E907" s="27"/>
      <c r="F907" s="27"/>
      <c r="G907" s="27"/>
      <c r="H907" s="27"/>
      <c r="I907" s="27"/>
      <c r="J907" s="28" t="str">
        <f aca="false">IF(AND(N(H907)&gt;0,N(I907)&gt;0),ROUND(I907/(H907/100)^2,1),"")</f>
        <v/>
      </c>
      <c r="K907" s="27"/>
      <c r="L907" s="27"/>
      <c r="M907" s="27"/>
      <c r="N907" s="27"/>
      <c r="O907" s="27"/>
      <c r="P907" s="27"/>
      <c r="Q907" s="27"/>
      <c r="R907" s="29"/>
      <c r="S907" s="29"/>
      <c r="T907" s="27"/>
      <c r="U907" s="28" t="str">
        <f aca="false">IF(N(T907)=0,"",IF(T907&lt;12,"Under 12 months",IF(T907&lt;36,"12-35 months",IF(T907&lt;60,"36-59 months","≥60 months"))))</f>
        <v/>
      </c>
      <c r="V907" s="27"/>
      <c r="W907" s="30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9"/>
      <c r="AT907" s="30"/>
      <c r="AU907" s="30"/>
      <c r="AV907" s="30"/>
      <c r="AW907" s="27"/>
      <c r="AX907" s="27"/>
      <c r="AY907" s="29"/>
      <c r="AZ907" s="27"/>
      <c r="BA907" s="27"/>
      <c r="BB907" s="29"/>
      <c r="BC907" s="30"/>
      <c r="BD907" s="30"/>
      <c r="BE907" s="30"/>
      <c r="BF907" s="27"/>
      <c r="BG907" s="27"/>
      <c r="BH907" s="28" t="str">
        <f aca="false">IF(COUNT(BC907:BE907)=0,"",IF(MIN(BC907:BE907)&lt;=-2.5,"Yes","No"))</f>
        <v/>
      </c>
      <c r="BI907" s="27"/>
      <c r="BJ907" s="29"/>
      <c r="BK907" s="27"/>
      <c r="BL907" s="27"/>
      <c r="BM907" s="27"/>
      <c r="BN907" s="28" t="str">
        <f aca="false">IF(OR(AX907="Yes",BI907="Yes"),"Yes",IF(AND(AX907="No",BI907="No"),"No",IF(AND(AX907="",BI907=""),"","Unknown")))</f>
        <v/>
      </c>
      <c r="BO907" s="31" t="str">
        <f aca="false">IF(COUNT(AY907,BJ907)=0,"",MIN(AY907,BJ907))</f>
        <v/>
      </c>
      <c r="BP907" s="29"/>
      <c r="BQ907" s="29"/>
      <c r="BR907" s="29"/>
      <c r="BS907" s="28" t="str">
        <f aca="false">IF(AND(N(BP907)&gt;0,N(BR907)&gt;0),BR907-BP907,"")</f>
        <v/>
      </c>
      <c r="BT907" s="28" t="str">
        <f aca="false">IF(BS907="","",ROUND(BS907/365.25,2))</f>
        <v/>
      </c>
      <c r="BU907" s="28" t="str">
        <f aca="false">IF(BS907="","",IF(BS907&gt;=730.5,"Yes","No"))</f>
        <v/>
      </c>
      <c r="BV907" s="27"/>
      <c r="BW907" s="29"/>
      <c r="BX907" s="27"/>
      <c r="BY907" s="27"/>
      <c r="BZ907" s="28" t="str">
        <f aca="false">IF(N(E907)=0,"",IF(E907&lt;65,"Under 65","≥65"))</f>
        <v/>
      </c>
      <c r="CA907" s="28" t="str">
        <f aca="false">IF(OR(AC907="Yes",AC907="No"),AC907,"")</f>
        <v/>
      </c>
      <c r="CB907" s="28" t="str">
        <f aca="false">IF(OR(AD907="Yes",AD907="No"),AD907,"")</f>
        <v/>
      </c>
      <c r="CC907" s="28" t="str">
        <f aca="false">IF(F907="","",F907)</f>
        <v/>
      </c>
      <c r="CD907" s="27"/>
      <c r="CE907" s="27"/>
    </row>
    <row r="908" customFormat="false" ht="15" hidden="false" customHeight="false" outlineLevel="0" collapsed="false">
      <c r="A908" s="27"/>
      <c r="B908" s="27"/>
      <c r="C908" s="27"/>
      <c r="D908" s="27"/>
      <c r="E908" s="27"/>
      <c r="F908" s="27"/>
      <c r="G908" s="27"/>
      <c r="H908" s="27"/>
      <c r="I908" s="27"/>
      <c r="J908" s="28" t="str">
        <f aca="false">IF(AND(N(H908)&gt;0,N(I908)&gt;0),ROUND(I908/(H908/100)^2,1),"")</f>
        <v/>
      </c>
      <c r="K908" s="27"/>
      <c r="L908" s="27"/>
      <c r="M908" s="27"/>
      <c r="N908" s="27"/>
      <c r="O908" s="27"/>
      <c r="P908" s="27"/>
      <c r="Q908" s="27"/>
      <c r="R908" s="29"/>
      <c r="S908" s="29"/>
      <c r="T908" s="27"/>
      <c r="U908" s="28" t="str">
        <f aca="false">IF(N(T908)=0,"",IF(T908&lt;12,"Under 12 months",IF(T908&lt;36,"12-35 months",IF(T908&lt;60,"36-59 months","≥60 months"))))</f>
        <v/>
      </c>
      <c r="V908" s="27"/>
      <c r="W908" s="30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9"/>
      <c r="AT908" s="30"/>
      <c r="AU908" s="30"/>
      <c r="AV908" s="30"/>
      <c r="AW908" s="27"/>
      <c r="AX908" s="27"/>
      <c r="AY908" s="29"/>
      <c r="AZ908" s="27"/>
      <c r="BA908" s="27"/>
      <c r="BB908" s="29"/>
      <c r="BC908" s="30"/>
      <c r="BD908" s="30"/>
      <c r="BE908" s="30"/>
      <c r="BF908" s="27"/>
      <c r="BG908" s="27"/>
      <c r="BH908" s="28" t="str">
        <f aca="false">IF(COUNT(BC908:BE908)=0,"",IF(MIN(BC908:BE908)&lt;=-2.5,"Yes","No"))</f>
        <v/>
      </c>
      <c r="BI908" s="27"/>
      <c r="BJ908" s="29"/>
      <c r="BK908" s="27"/>
      <c r="BL908" s="27"/>
      <c r="BM908" s="27"/>
      <c r="BN908" s="28" t="str">
        <f aca="false">IF(OR(AX908="Yes",BI908="Yes"),"Yes",IF(AND(AX908="No",BI908="No"),"No",IF(AND(AX908="",BI908=""),"","Unknown")))</f>
        <v/>
      </c>
      <c r="BO908" s="31" t="str">
        <f aca="false">IF(COUNT(AY908,BJ908)=0,"",MIN(AY908,BJ908))</f>
        <v/>
      </c>
      <c r="BP908" s="29"/>
      <c r="BQ908" s="29"/>
      <c r="BR908" s="29"/>
      <c r="BS908" s="28" t="str">
        <f aca="false">IF(AND(N(BP908)&gt;0,N(BR908)&gt;0),BR908-BP908,"")</f>
        <v/>
      </c>
      <c r="BT908" s="28" t="str">
        <f aca="false">IF(BS908="","",ROUND(BS908/365.25,2))</f>
        <v/>
      </c>
      <c r="BU908" s="28" t="str">
        <f aca="false">IF(BS908="","",IF(BS908&gt;=730.5,"Yes","No"))</f>
        <v/>
      </c>
      <c r="BV908" s="27"/>
      <c r="BW908" s="29"/>
      <c r="BX908" s="27"/>
      <c r="BY908" s="27"/>
      <c r="BZ908" s="28" t="str">
        <f aca="false">IF(N(E908)=0,"",IF(E908&lt;65,"Under 65","≥65"))</f>
        <v/>
      </c>
      <c r="CA908" s="28" t="str">
        <f aca="false">IF(OR(AC908="Yes",AC908="No"),AC908,"")</f>
        <v/>
      </c>
      <c r="CB908" s="28" t="str">
        <f aca="false">IF(OR(AD908="Yes",AD908="No"),AD908,"")</f>
        <v/>
      </c>
      <c r="CC908" s="28" t="str">
        <f aca="false">IF(F908="","",F908)</f>
        <v/>
      </c>
      <c r="CD908" s="27"/>
      <c r="CE908" s="27"/>
    </row>
    <row r="909" customFormat="false" ht="15" hidden="false" customHeight="false" outlineLevel="0" collapsed="false">
      <c r="A909" s="27"/>
      <c r="B909" s="27"/>
      <c r="C909" s="27"/>
      <c r="D909" s="27"/>
      <c r="E909" s="27"/>
      <c r="F909" s="27"/>
      <c r="G909" s="27"/>
      <c r="H909" s="27"/>
      <c r="I909" s="27"/>
      <c r="J909" s="28" t="str">
        <f aca="false">IF(AND(N(H909)&gt;0,N(I909)&gt;0),ROUND(I909/(H909/100)^2,1),"")</f>
        <v/>
      </c>
      <c r="K909" s="27"/>
      <c r="L909" s="27"/>
      <c r="M909" s="27"/>
      <c r="N909" s="27"/>
      <c r="O909" s="27"/>
      <c r="P909" s="27"/>
      <c r="Q909" s="27"/>
      <c r="R909" s="29"/>
      <c r="S909" s="29"/>
      <c r="T909" s="27"/>
      <c r="U909" s="28" t="str">
        <f aca="false">IF(N(T909)=0,"",IF(T909&lt;12,"Under 12 months",IF(T909&lt;36,"12-35 months",IF(T909&lt;60,"36-59 months","≥60 months"))))</f>
        <v/>
      </c>
      <c r="V909" s="27"/>
      <c r="W909" s="30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9"/>
      <c r="AT909" s="30"/>
      <c r="AU909" s="30"/>
      <c r="AV909" s="30"/>
      <c r="AW909" s="27"/>
      <c r="AX909" s="27"/>
      <c r="AY909" s="29"/>
      <c r="AZ909" s="27"/>
      <c r="BA909" s="27"/>
      <c r="BB909" s="29"/>
      <c r="BC909" s="30"/>
      <c r="BD909" s="30"/>
      <c r="BE909" s="30"/>
      <c r="BF909" s="27"/>
      <c r="BG909" s="27"/>
      <c r="BH909" s="28" t="str">
        <f aca="false">IF(COUNT(BC909:BE909)=0,"",IF(MIN(BC909:BE909)&lt;=-2.5,"Yes","No"))</f>
        <v/>
      </c>
      <c r="BI909" s="27"/>
      <c r="BJ909" s="29"/>
      <c r="BK909" s="27"/>
      <c r="BL909" s="27"/>
      <c r="BM909" s="27"/>
      <c r="BN909" s="28" t="str">
        <f aca="false">IF(OR(AX909="Yes",BI909="Yes"),"Yes",IF(AND(AX909="No",BI909="No"),"No",IF(AND(AX909="",BI909=""),"","Unknown")))</f>
        <v/>
      </c>
      <c r="BO909" s="31" t="str">
        <f aca="false">IF(COUNT(AY909,BJ909)=0,"",MIN(AY909,BJ909))</f>
        <v/>
      </c>
      <c r="BP909" s="29"/>
      <c r="BQ909" s="29"/>
      <c r="BR909" s="29"/>
      <c r="BS909" s="28" t="str">
        <f aca="false">IF(AND(N(BP909)&gt;0,N(BR909)&gt;0),BR909-BP909,"")</f>
        <v/>
      </c>
      <c r="BT909" s="28" t="str">
        <f aca="false">IF(BS909="","",ROUND(BS909/365.25,2))</f>
        <v/>
      </c>
      <c r="BU909" s="28" t="str">
        <f aca="false">IF(BS909="","",IF(BS909&gt;=730.5,"Yes","No"))</f>
        <v/>
      </c>
      <c r="BV909" s="27"/>
      <c r="BW909" s="29"/>
      <c r="BX909" s="27"/>
      <c r="BY909" s="27"/>
      <c r="BZ909" s="28" t="str">
        <f aca="false">IF(N(E909)=0,"",IF(E909&lt;65,"Under 65","≥65"))</f>
        <v/>
      </c>
      <c r="CA909" s="28" t="str">
        <f aca="false">IF(OR(AC909="Yes",AC909="No"),AC909,"")</f>
        <v/>
      </c>
      <c r="CB909" s="28" t="str">
        <f aca="false">IF(OR(AD909="Yes",AD909="No"),AD909,"")</f>
        <v/>
      </c>
      <c r="CC909" s="28" t="str">
        <f aca="false">IF(F909="","",F909)</f>
        <v/>
      </c>
      <c r="CD909" s="27"/>
      <c r="CE909" s="27"/>
    </row>
    <row r="910" customFormat="false" ht="15" hidden="false" customHeight="false" outlineLevel="0" collapsed="false">
      <c r="A910" s="27"/>
      <c r="B910" s="27"/>
      <c r="C910" s="27"/>
      <c r="D910" s="27"/>
      <c r="E910" s="27"/>
      <c r="F910" s="27"/>
      <c r="G910" s="27"/>
      <c r="H910" s="27"/>
      <c r="I910" s="27"/>
      <c r="J910" s="28" t="str">
        <f aca="false">IF(AND(N(H910)&gt;0,N(I910)&gt;0),ROUND(I910/(H910/100)^2,1),"")</f>
        <v/>
      </c>
      <c r="K910" s="27"/>
      <c r="L910" s="27"/>
      <c r="M910" s="27"/>
      <c r="N910" s="27"/>
      <c r="O910" s="27"/>
      <c r="P910" s="27"/>
      <c r="Q910" s="27"/>
      <c r="R910" s="29"/>
      <c r="S910" s="29"/>
      <c r="T910" s="27"/>
      <c r="U910" s="28" t="str">
        <f aca="false">IF(N(T910)=0,"",IF(T910&lt;12,"Under 12 months",IF(T910&lt;36,"12-35 months",IF(T910&lt;60,"36-59 months","≥60 months"))))</f>
        <v/>
      </c>
      <c r="V910" s="27"/>
      <c r="W910" s="30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9"/>
      <c r="AT910" s="30"/>
      <c r="AU910" s="30"/>
      <c r="AV910" s="30"/>
      <c r="AW910" s="27"/>
      <c r="AX910" s="27"/>
      <c r="AY910" s="29"/>
      <c r="AZ910" s="27"/>
      <c r="BA910" s="27"/>
      <c r="BB910" s="29"/>
      <c r="BC910" s="30"/>
      <c r="BD910" s="30"/>
      <c r="BE910" s="30"/>
      <c r="BF910" s="27"/>
      <c r="BG910" s="27"/>
      <c r="BH910" s="28" t="str">
        <f aca="false">IF(COUNT(BC910:BE910)=0,"",IF(MIN(BC910:BE910)&lt;=-2.5,"Yes","No"))</f>
        <v/>
      </c>
      <c r="BI910" s="27"/>
      <c r="BJ910" s="29"/>
      <c r="BK910" s="27"/>
      <c r="BL910" s="27"/>
      <c r="BM910" s="27"/>
      <c r="BN910" s="28" t="str">
        <f aca="false">IF(OR(AX910="Yes",BI910="Yes"),"Yes",IF(AND(AX910="No",BI910="No"),"No",IF(AND(AX910="",BI910=""),"","Unknown")))</f>
        <v/>
      </c>
      <c r="BO910" s="31" t="str">
        <f aca="false">IF(COUNT(AY910,BJ910)=0,"",MIN(AY910,BJ910))</f>
        <v/>
      </c>
      <c r="BP910" s="29"/>
      <c r="BQ910" s="29"/>
      <c r="BR910" s="29"/>
      <c r="BS910" s="28" t="str">
        <f aca="false">IF(AND(N(BP910)&gt;0,N(BR910)&gt;0),BR910-BP910,"")</f>
        <v/>
      </c>
      <c r="BT910" s="28" t="str">
        <f aca="false">IF(BS910="","",ROUND(BS910/365.25,2))</f>
        <v/>
      </c>
      <c r="BU910" s="28" t="str">
        <f aca="false">IF(BS910="","",IF(BS910&gt;=730.5,"Yes","No"))</f>
        <v/>
      </c>
      <c r="BV910" s="27"/>
      <c r="BW910" s="29"/>
      <c r="BX910" s="27"/>
      <c r="BY910" s="27"/>
      <c r="BZ910" s="28" t="str">
        <f aca="false">IF(N(E910)=0,"",IF(E910&lt;65,"Under 65","≥65"))</f>
        <v/>
      </c>
      <c r="CA910" s="28" t="str">
        <f aca="false">IF(OR(AC910="Yes",AC910="No"),AC910,"")</f>
        <v/>
      </c>
      <c r="CB910" s="28" t="str">
        <f aca="false">IF(OR(AD910="Yes",AD910="No"),AD910,"")</f>
        <v/>
      </c>
      <c r="CC910" s="28" t="str">
        <f aca="false">IF(F910="","",F910)</f>
        <v/>
      </c>
      <c r="CD910" s="27"/>
      <c r="CE910" s="27"/>
    </row>
    <row r="911" customFormat="false" ht="15" hidden="false" customHeight="false" outlineLevel="0" collapsed="false">
      <c r="A911" s="27"/>
      <c r="B911" s="27"/>
      <c r="C911" s="27"/>
      <c r="D911" s="27"/>
      <c r="E911" s="27"/>
      <c r="F911" s="27"/>
      <c r="G911" s="27"/>
      <c r="H911" s="27"/>
      <c r="I911" s="27"/>
      <c r="J911" s="28" t="str">
        <f aca="false">IF(AND(N(H911)&gt;0,N(I911)&gt;0),ROUND(I911/(H911/100)^2,1),"")</f>
        <v/>
      </c>
      <c r="K911" s="27"/>
      <c r="L911" s="27"/>
      <c r="M911" s="27"/>
      <c r="N911" s="27"/>
      <c r="O911" s="27"/>
      <c r="P911" s="27"/>
      <c r="Q911" s="27"/>
      <c r="R911" s="29"/>
      <c r="S911" s="29"/>
      <c r="T911" s="27"/>
      <c r="U911" s="28" t="str">
        <f aca="false">IF(N(T911)=0,"",IF(T911&lt;12,"Under 12 months",IF(T911&lt;36,"12-35 months",IF(T911&lt;60,"36-59 months","≥60 months"))))</f>
        <v/>
      </c>
      <c r="V911" s="27"/>
      <c r="W911" s="30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9"/>
      <c r="AT911" s="30"/>
      <c r="AU911" s="30"/>
      <c r="AV911" s="30"/>
      <c r="AW911" s="27"/>
      <c r="AX911" s="27"/>
      <c r="AY911" s="29"/>
      <c r="AZ911" s="27"/>
      <c r="BA911" s="27"/>
      <c r="BB911" s="29"/>
      <c r="BC911" s="30"/>
      <c r="BD911" s="30"/>
      <c r="BE911" s="30"/>
      <c r="BF911" s="27"/>
      <c r="BG911" s="27"/>
      <c r="BH911" s="28" t="str">
        <f aca="false">IF(COUNT(BC911:BE911)=0,"",IF(MIN(BC911:BE911)&lt;=-2.5,"Yes","No"))</f>
        <v/>
      </c>
      <c r="BI911" s="27"/>
      <c r="BJ911" s="29"/>
      <c r="BK911" s="27"/>
      <c r="BL911" s="27"/>
      <c r="BM911" s="27"/>
      <c r="BN911" s="28" t="str">
        <f aca="false">IF(OR(AX911="Yes",BI911="Yes"),"Yes",IF(AND(AX911="No",BI911="No"),"No",IF(AND(AX911="",BI911=""),"","Unknown")))</f>
        <v/>
      </c>
      <c r="BO911" s="31" t="str">
        <f aca="false">IF(COUNT(AY911,BJ911)=0,"",MIN(AY911,BJ911))</f>
        <v/>
      </c>
      <c r="BP911" s="29"/>
      <c r="BQ911" s="29"/>
      <c r="BR911" s="29"/>
      <c r="BS911" s="28" t="str">
        <f aca="false">IF(AND(N(BP911)&gt;0,N(BR911)&gt;0),BR911-BP911,"")</f>
        <v/>
      </c>
      <c r="BT911" s="28" t="str">
        <f aca="false">IF(BS911="","",ROUND(BS911/365.25,2))</f>
        <v/>
      </c>
      <c r="BU911" s="28" t="str">
        <f aca="false">IF(BS911="","",IF(BS911&gt;=730.5,"Yes","No"))</f>
        <v/>
      </c>
      <c r="BV911" s="27"/>
      <c r="BW911" s="29"/>
      <c r="BX911" s="27"/>
      <c r="BY911" s="27"/>
      <c r="BZ911" s="28" t="str">
        <f aca="false">IF(N(E911)=0,"",IF(E911&lt;65,"Under 65","≥65"))</f>
        <v/>
      </c>
      <c r="CA911" s="28" t="str">
        <f aca="false">IF(OR(AC911="Yes",AC911="No"),AC911,"")</f>
        <v/>
      </c>
      <c r="CB911" s="28" t="str">
        <f aca="false">IF(OR(AD911="Yes",AD911="No"),AD911,"")</f>
        <v/>
      </c>
      <c r="CC911" s="28" t="str">
        <f aca="false">IF(F911="","",F911)</f>
        <v/>
      </c>
      <c r="CD911" s="27"/>
      <c r="CE911" s="27"/>
    </row>
    <row r="912" customFormat="false" ht="15" hidden="false" customHeight="false" outlineLevel="0" collapsed="false">
      <c r="A912" s="27"/>
      <c r="B912" s="27"/>
      <c r="C912" s="27"/>
      <c r="D912" s="27"/>
      <c r="E912" s="27"/>
      <c r="F912" s="27"/>
      <c r="G912" s="27"/>
      <c r="H912" s="27"/>
      <c r="I912" s="27"/>
      <c r="J912" s="28" t="str">
        <f aca="false">IF(AND(N(H912)&gt;0,N(I912)&gt;0),ROUND(I912/(H912/100)^2,1),"")</f>
        <v/>
      </c>
      <c r="K912" s="27"/>
      <c r="L912" s="27"/>
      <c r="M912" s="27"/>
      <c r="N912" s="27"/>
      <c r="O912" s="27"/>
      <c r="P912" s="27"/>
      <c r="Q912" s="27"/>
      <c r="R912" s="29"/>
      <c r="S912" s="29"/>
      <c r="T912" s="27"/>
      <c r="U912" s="28" t="str">
        <f aca="false">IF(N(T912)=0,"",IF(T912&lt;12,"Under 12 months",IF(T912&lt;36,"12-35 months",IF(T912&lt;60,"36-59 months","≥60 months"))))</f>
        <v/>
      </c>
      <c r="V912" s="27"/>
      <c r="W912" s="30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9"/>
      <c r="AT912" s="30"/>
      <c r="AU912" s="30"/>
      <c r="AV912" s="30"/>
      <c r="AW912" s="27"/>
      <c r="AX912" s="27"/>
      <c r="AY912" s="29"/>
      <c r="AZ912" s="27"/>
      <c r="BA912" s="27"/>
      <c r="BB912" s="29"/>
      <c r="BC912" s="30"/>
      <c r="BD912" s="30"/>
      <c r="BE912" s="30"/>
      <c r="BF912" s="27"/>
      <c r="BG912" s="27"/>
      <c r="BH912" s="28" t="str">
        <f aca="false">IF(COUNT(BC912:BE912)=0,"",IF(MIN(BC912:BE912)&lt;=-2.5,"Yes","No"))</f>
        <v/>
      </c>
      <c r="BI912" s="27"/>
      <c r="BJ912" s="29"/>
      <c r="BK912" s="27"/>
      <c r="BL912" s="27"/>
      <c r="BM912" s="27"/>
      <c r="BN912" s="28" t="str">
        <f aca="false">IF(OR(AX912="Yes",BI912="Yes"),"Yes",IF(AND(AX912="No",BI912="No"),"No",IF(AND(AX912="",BI912=""),"","Unknown")))</f>
        <v/>
      </c>
      <c r="BO912" s="31" t="str">
        <f aca="false">IF(COUNT(AY912,BJ912)=0,"",MIN(AY912,BJ912))</f>
        <v/>
      </c>
      <c r="BP912" s="29"/>
      <c r="BQ912" s="29"/>
      <c r="BR912" s="29"/>
      <c r="BS912" s="28" t="str">
        <f aca="false">IF(AND(N(BP912)&gt;0,N(BR912)&gt;0),BR912-BP912,"")</f>
        <v/>
      </c>
      <c r="BT912" s="28" t="str">
        <f aca="false">IF(BS912="","",ROUND(BS912/365.25,2))</f>
        <v/>
      </c>
      <c r="BU912" s="28" t="str">
        <f aca="false">IF(BS912="","",IF(BS912&gt;=730.5,"Yes","No"))</f>
        <v/>
      </c>
      <c r="BV912" s="27"/>
      <c r="BW912" s="29"/>
      <c r="BX912" s="27"/>
      <c r="BY912" s="27"/>
      <c r="BZ912" s="28" t="str">
        <f aca="false">IF(N(E912)=0,"",IF(E912&lt;65,"Under 65","≥65"))</f>
        <v/>
      </c>
      <c r="CA912" s="28" t="str">
        <f aca="false">IF(OR(AC912="Yes",AC912="No"),AC912,"")</f>
        <v/>
      </c>
      <c r="CB912" s="28" t="str">
        <f aca="false">IF(OR(AD912="Yes",AD912="No"),AD912,"")</f>
        <v/>
      </c>
      <c r="CC912" s="28" t="str">
        <f aca="false">IF(F912="","",F912)</f>
        <v/>
      </c>
      <c r="CD912" s="27"/>
      <c r="CE912" s="27"/>
    </row>
    <row r="913" customFormat="false" ht="15" hidden="false" customHeight="false" outlineLevel="0" collapsed="false">
      <c r="A913" s="27"/>
      <c r="B913" s="27"/>
      <c r="C913" s="27"/>
      <c r="D913" s="27"/>
      <c r="E913" s="27"/>
      <c r="F913" s="27"/>
      <c r="G913" s="27"/>
      <c r="H913" s="27"/>
      <c r="I913" s="27"/>
      <c r="J913" s="28" t="str">
        <f aca="false">IF(AND(N(H913)&gt;0,N(I913)&gt;0),ROUND(I913/(H913/100)^2,1),"")</f>
        <v/>
      </c>
      <c r="K913" s="27"/>
      <c r="L913" s="27"/>
      <c r="M913" s="27"/>
      <c r="N913" s="27"/>
      <c r="O913" s="27"/>
      <c r="P913" s="27"/>
      <c r="Q913" s="27"/>
      <c r="R913" s="29"/>
      <c r="S913" s="29"/>
      <c r="T913" s="27"/>
      <c r="U913" s="28" t="str">
        <f aca="false">IF(N(T913)=0,"",IF(T913&lt;12,"Under 12 months",IF(T913&lt;36,"12-35 months",IF(T913&lt;60,"36-59 months","≥60 months"))))</f>
        <v/>
      </c>
      <c r="V913" s="27"/>
      <c r="W913" s="30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9"/>
      <c r="AT913" s="30"/>
      <c r="AU913" s="30"/>
      <c r="AV913" s="30"/>
      <c r="AW913" s="27"/>
      <c r="AX913" s="27"/>
      <c r="AY913" s="29"/>
      <c r="AZ913" s="27"/>
      <c r="BA913" s="27"/>
      <c r="BB913" s="29"/>
      <c r="BC913" s="30"/>
      <c r="BD913" s="30"/>
      <c r="BE913" s="30"/>
      <c r="BF913" s="27"/>
      <c r="BG913" s="27"/>
      <c r="BH913" s="28" t="str">
        <f aca="false">IF(COUNT(BC913:BE913)=0,"",IF(MIN(BC913:BE913)&lt;=-2.5,"Yes","No"))</f>
        <v/>
      </c>
      <c r="BI913" s="27"/>
      <c r="BJ913" s="29"/>
      <c r="BK913" s="27"/>
      <c r="BL913" s="27"/>
      <c r="BM913" s="27"/>
      <c r="BN913" s="28" t="str">
        <f aca="false">IF(OR(AX913="Yes",BI913="Yes"),"Yes",IF(AND(AX913="No",BI913="No"),"No",IF(AND(AX913="",BI913=""),"","Unknown")))</f>
        <v/>
      </c>
      <c r="BO913" s="31" t="str">
        <f aca="false">IF(COUNT(AY913,BJ913)=0,"",MIN(AY913,BJ913))</f>
        <v/>
      </c>
      <c r="BP913" s="29"/>
      <c r="BQ913" s="29"/>
      <c r="BR913" s="29"/>
      <c r="BS913" s="28" t="str">
        <f aca="false">IF(AND(N(BP913)&gt;0,N(BR913)&gt;0),BR913-BP913,"")</f>
        <v/>
      </c>
      <c r="BT913" s="28" t="str">
        <f aca="false">IF(BS913="","",ROUND(BS913/365.25,2))</f>
        <v/>
      </c>
      <c r="BU913" s="28" t="str">
        <f aca="false">IF(BS913="","",IF(BS913&gt;=730.5,"Yes","No"))</f>
        <v/>
      </c>
      <c r="BV913" s="27"/>
      <c r="BW913" s="29"/>
      <c r="BX913" s="27"/>
      <c r="BY913" s="27"/>
      <c r="BZ913" s="28" t="str">
        <f aca="false">IF(N(E913)=0,"",IF(E913&lt;65,"Under 65","≥65"))</f>
        <v/>
      </c>
      <c r="CA913" s="28" t="str">
        <f aca="false">IF(OR(AC913="Yes",AC913="No"),AC913,"")</f>
        <v/>
      </c>
      <c r="CB913" s="28" t="str">
        <f aca="false">IF(OR(AD913="Yes",AD913="No"),AD913,"")</f>
        <v/>
      </c>
      <c r="CC913" s="28" t="str">
        <f aca="false">IF(F913="","",F913)</f>
        <v/>
      </c>
      <c r="CD913" s="27"/>
      <c r="CE913" s="27"/>
    </row>
    <row r="914" customFormat="false" ht="15" hidden="false" customHeight="false" outlineLevel="0" collapsed="false">
      <c r="A914" s="27"/>
      <c r="B914" s="27"/>
      <c r="C914" s="27"/>
      <c r="D914" s="27"/>
      <c r="E914" s="27"/>
      <c r="F914" s="27"/>
      <c r="G914" s="27"/>
      <c r="H914" s="27"/>
      <c r="I914" s="27"/>
      <c r="J914" s="28" t="str">
        <f aca="false">IF(AND(N(H914)&gt;0,N(I914)&gt;0),ROUND(I914/(H914/100)^2,1),"")</f>
        <v/>
      </c>
      <c r="K914" s="27"/>
      <c r="L914" s="27"/>
      <c r="M914" s="27"/>
      <c r="N914" s="27"/>
      <c r="O914" s="27"/>
      <c r="P914" s="27"/>
      <c r="Q914" s="27"/>
      <c r="R914" s="29"/>
      <c r="S914" s="29"/>
      <c r="T914" s="27"/>
      <c r="U914" s="28" t="str">
        <f aca="false">IF(N(T914)=0,"",IF(T914&lt;12,"Under 12 months",IF(T914&lt;36,"12-35 months",IF(T914&lt;60,"36-59 months","≥60 months"))))</f>
        <v/>
      </c>
      <c r="V914" s="27"/>
      <c r="W914" s="30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9"/>
      <c r="AT914" s="30"/>
      <c r="AU914" s="30"/>
      <c r="AV914" s="30"/>
      <c r="AW914" s="27"/>
      <c r="AX914" s="27"/>
      <c r="AY914" s="29"/>
      <c r="AZ914" s="27"/>
      <c r="BA914" s="27"/>
      <c r="BB914" s="29"/>
      <c r="BC914" s="30"/>
      <c r="BD914" s="30"/>
      <c r="BE914" s="30"/>
      <c r="BF914" s="27"/>
      <c r="BG914" s="27"/>
      <c r="BH914" s="28" t="str">
        <f aca="false">IF(COUNT(BC914:BE914)=0,"",IF(MIN(BC914:BE914)&lt;=-2.5,"Yes","No"))</f>
        <v/>
      </c>
      <c r="BI914" s="27"/>
      <c r="BJ914" s="29"/>
      <c r="BK914" s="27"/>
      <c r="BL914" s="27"/>
      <c r="BM914" s="27"/>
      <c r="BN914" s="28" t="str">
        <f aca="false">IF(OR(AX914="Yes",BI914="Yes"),"Yes",IF(AND(AX914="No",BI914="No"),"No",IF(AND(AX914="",BI914=""),"","Unknown")))</f>
        <v/>
      </c>
      <c r="BO914" s="31" t="str">
        <f aca="false">IF(COUNT(AY914,BJ914)=0,"",MIN(AY914,BJ914))</f>
        <v/>
      </c>
      <c r="BP914" s="29"/>
      <c r="BQ914" s="29"/>
      <c r="BR914" s="29"/>
      <c r="BS914" s="28" t="str">
        <f aca="false">IF(AND(N(BP914)&gt;0,N(BR914)&gt;0),BR914-BP914,"")</f>
        <v/>
      </c>
      <c r="BT914" s="28" t="str">
        <f aca="false">IF(BS914="","",ROUND(BS914/365.25,2))</f>
        <v/>
      </c>
      <c r="BU914" s="28" t="str">
        <f aca="false">IF(BS914="","",IF(BS914&gt;=730.5,"Yes","No"))</f>
        <v/>
      </c>
      <c r="BV914" s="27"/>
      <c r="BW914" s="29"/>
      <c r="BX914" s="27"/>
      <c r="BY914" s="27"/>
      <c r="BZ914" s="28" t="str">
        <f aca="false">IF(N(E914)=0,"",IF(E914&lt;65,"Under 65","≥65"))</f>
        <v/>
      </c>
      <c r="CA914" s="28" t="str">
        <f aca="false">IF(OR(AC914="Yes",AC914="No"),AC914,"")</f>
        <v/>
      </c>
      <c r="CB914" s="28" t="str">
        <f aca="false">IF(OR(AD914="Yes",AD914="No"),AD914,"")</f>
        <v/>
      </c>
      <c r="CC914" s="28" t="str">
        <f aca="false">IF(F914="","",F914)</f>
        <v/>
      </c>
      <c r="CD914" s="27"/>
      <c r="CE914" s="27"/>
    </row>
    <row r="915" customFormat="false" ht="15" hidden="false" customHeight="false" outlineLevel="0" collapsed="false">
      <c r="A915" s="27"/>
      <c r="B915" s="27"/>
      <c r="C915" s="27"/>
      <c r="D915" s="27"/>
      <c r="E915" s="27"/>
      <c r="F915" s="27"/>
      <c r="G915" s="27"/>
      <c r="H915" s="27"/>
      <c r="I915" s="27"/>
      <c r="J915" s="28" t="str">
        <f aca="false">IF(AND(N(H915)&gt;0,N(I915)&gt;0),ROUND(I915/(H915/100)^2,1),"")</f>
        <v/>
      </c>
      <c r="K915" s="27"/>
      <c r="L915" s="27"/>
      <c r="M915" s="27"/>
      <c r="N915" s="27"/>
      <c r="O915" s="27"/>
      <c r="P915" s="27"/>
      <c r="Q915" s="27"/>
      <c r="R915" s="29"/>
      <c r="S915" s="29"/>
      <c r="T915" s="27"/>
      <c r="U915" s="28" t="str">
        <f aca="false">IF(N(T915)=0,"",IF(T915&lt;12,"Under 12 months",IF(T915&lt;36,"12-35 months",IF(T915&lt;60,"36-59 months","≥60 months"))))</f>
        <v/>
      </c>
      <c r="V915" s="27"/>
      <c r="W915" s="30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9"/>
      <c r="AT915" s="30"/>
      <c r="AU915" s="30"/>
      <c r="AV915" s="30"/>
      <c r="AW915" s="27"/>
      <c r="AX915" s="27"/>
      <c r="AY915" s="29"/>
      <c r="AZ915" s="27"/>
      <c r="BA915" s="27"/>
      <c r="BB915" s="29"/>
      <c r="BC915" s="30"/>
      <c r="BD915" s="30"/>
      <c r="BE915" s="30"/>
      <c r="BF915" s="27"/>
      <c r="BG915" s="27"/>
      <c r="BH915" s="28" t="str">
        <f aca="false">IF(COUNT(BC915:BE915)=0,"",IF(MIN(BC915:BE915)&lt;=-2.5,"Yes","No"))</f>
        <v/>
      </c>
      <c r="BI915" s="27"/>
      <c r="BJ915" s="29"/>
      <c r="BK915" s="27"/>
      <c r="BL915" s="27"/>
      <c r="BM915" s="27"/>
      <c r="BN915" s="28" t="str">
        <f aca="false">IF(OR(AX915="Yes",BI915="Yes"),"Yes",IF(AND(AX915="No",BI915="No"),"No",IF(AND(AX915="",BI915=""),"","Unknown")))</f>
        <v/>
      </c>
      <c r="BO915" s="31" t="str">
        <f aca="false">IF(COUNT(AY915,BJ915)=0,"",MIN(AY915,BJ915))</f>
        <v/>
      </c>
      <c r="BP915" s="29"/>
      <c r="BQ915" s="29"/>
      <c r="BR915" s="29"/>
      <c r="BS915" s="28" t="str">
        <f aca="false">IF(AND(N(BP915)&gt;0,N(BR915)&gt;0),BR915-BP915,"")</f>
        <v/>
      </c>
      <c r="BT915" s="28" t="str">
        <f aca="false">IF(BS915="","",ROUND(BS915/365.25,2))</f>
        <v/>
      </c>
      <c r="BU915" s="28" t="str">
        <f aca="false">IF(BS915="","",IF(BS915&gt;=730.5,"Yes","No"))</f>
        <v/>
      </c>
      <c r="BV915" s="27"/>
      <c r="BW915" s="29"/>
      <c r="BX915" s="27"/>
      <c r="BY915" s="27"/>
      <c r="BZ915" s="28" t="str">
        <f aca="false">IF(N(E915)=0,"",IF(E915&lt;65,"Under 65","≥65"))</f>
        <v/>
      </c>
      <c r="CA915" s="28" t="str">
        <f aca="false">IF(OR(AC915="Yes",AC915="No"),AC915,"")</f>
        <v/>
      </c>
      <c r="CB915" s="28" t="str">
        <f aca="false">IF(OR(AD915="Yes",AD915="No"),AD915,"")</f>
        <v/>
      </c>
      <c r="CC915" s="28" t="str">
        <f aca="false">IF(F915="","",F915)</f>
        <v/>
      </c>
      <c r="CD915" s="27"/>
      <c r="CE915" s="27"/>
    </row>
    <row r="916" customFormat="false" ht="15" hidden="false" customHeight="false" outlineLevel="0" collapsed="false">
      <c r="A916" s="27"/>
      <c r="B916" s="27"/>
      <c r="C916" s="27"/>
      <c r="D916" s="27"/>
      <c r="E916" s="27"/>
      <c r="F916" s="27"/>
      <c r="G916" s="27"/>
      <c r="H916" s="27"/>
      <c r="I916" s="27"/>
      <c r="J916" s="28" t="str">
        <f aca="false">IF(AND(N(H916)&gt;0,N(I916)&gt;0),ROUND(I916/(H916/100)^2,1),"")</f>
        <v/>
      </c>
      <c r="K916" s="27"/>
      <c r="L916" s="27"/>
      <c r="M916" s="27"/>
      <c r="N916" s="27"/>
      <c r="O916" s="27"/>
      <c r="P916" s="27"/>
      <c r="Q916" s="27"/>
      <c r="R916" s="29"/>
      <c r="S916" s="29"/>
      <c r="T916" s="27"/>
      <c r="U916" s="28" t="str">
        <f aca="false">IF(N(T916)=0,"",IF(T916&lt;12,"Under 12 months",IF(T916&lt;36,"12-35 months",IF(T916&lt;60,"36-59 months","≥60 months"))))</f>
        <v/>
      </c>
      <c r="V916" s="27"/>
      <c r="W916" s="30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9"/>
      <c r="AT916" s="30"/>
      <c r="AU916" s="30"/>
      <c r="AV916" s="30"/>
      <c r="AW916" s="27"/>
      <c r="AX916" s="27"/>
      <c r="AY916" s="29"/>
      <c r="AZ916" s="27"/>
      <c r="BA916" s="27"/>
      <c r="BB916" s="29"/>
      <c r="BC916" s="30"/>
      <c r="BD916" s="30"/>
      <c r="BE916" s="30"/>
      <c r="BF916" s="27"/>
      <c r="BG916" s="27"/>
      <c r="BH916" s="28" t="str">
        <f aca="false">IF(COUNT(BC916:BE916)=0,"",IF(MIN(BC916:BE916)&lt;=-2.5,"Yes","No"))</f>
        <v/>
      </c>
      <c r="BI916" s="27"/>
      <c r="BJ916" s="29"/>
      <c r="BK916" s="27"/>
      <c r="BL916" s="27"/>
      <c r="BM916" s="27"/>
      <c r="BN916" s="28" t="str">
        <f aca="false">IF(OR(AX916="Yes",BI916="Yes"),"Yes",IF(AND(AX916="No",BI916="No"),"No",IF(AND(AX916="",BI916=""),"","Unknown")))</f>
        <v/>
      </c>
      <c r="BO916" s="31" t="str">
        <f aca="false">IF(COUNT(AY916,BJ916)=0,"",MIN(AY916,BJ916))</f>
        <v/>
      </c>
      <c r="BP916" s="29"/>
      <c r="BQ916" s="29"/>
      <c r="BR916" s="29"/>
      <c r="BS916" s="28" t="str">
        <f aca="false">IF(AND(N(BP916)&gt;0,N(BR916)&gt;0),BR916-BP916,"")</f>
        <v/>
      </c>
      <c r="BT916" s="28" t="str">
        <f aca="false">IF(BS916="","",ROUND(BS916/365.25,2))</f>
        <v/>
      </c>
      <c r="BU916" s="28" t="str">
        <f aca="false">IF(BS916="","",IF(BS916&gt;=730.5,"Yes","No"))</f>
        <v/>
      </c>
      <c r="BV916" s="27"/>
      <c r="BW916" s="29"/>
      <c r="BX916" s="27"/>
      <c r="BY916" s="27"/>
      <c r="BZ916" s="28" t="str">
        <f aca="false">IF(N(E916)=0,"",IF(E916&lt;65,"Under 65","≥65"))</f>
        <v/>
      </c>
      <c r="CA916" s="28" t="str">
        <f aca="false">IF(OR(AC916="Yes",AC916="No"),AC916,"")</f>
        <v/>
      </c>
      <c r="CB916" s="28" t="str">
        <f aca="false">IF(OR(AD916="Yes",AD916="No"),AD916,"")</f>
        <v/>
      </c>
      <c r="CC916" s="28" t="str">
        <f aca="false">IF(F916="","",F916)</f>
        <v/>
      </c>
      <c r="CD916" s="27"/>
      <c r="CE916" s="27"/>
    </row>
    <row r="917" customFormat="false" ht="15" hidden="false" customHeight="false" outlineLevel="0" collapsed="false">
      <c r="A917" s="27"/>
      <c r="B917" s="27"/>
      <c r="C917" s="27"/>
      <c r="D917" s="27"/>
      <c r="E917" s="27"/>
      <c r="F917" s="27"/>
      <c r="G917" s="27"/>
      <c r="H917" s="27"/>
      <c r="I917" s="27"/>
      <c r="J917" s="28" t="str">
        <f aca="false">IF(AND(N(H917)&gt;0,N(I917)&gt;0),ROUND(I917/(H917/100)^2,1),"")</f>
        <v/>
      </c>
      <c r="K917" s="27"/>
      <c r="L917" s="27"/>
      <c r="M917" s="27"/>
      <c r="N917" s="27"/>
      <c r="O917" s="27"/>
      <c r="P917" s="27"/>
      <c r="Q917" s="27"/>
      <c r="R917" s="29"/>
      <c r="S917" s="29"/>
      <c r="T917" s="27"/>
      <c r="U917" s="28" t="str">
        <f aca="false">IF(N(T917)=0,"",IF(T917&lt;12,"Under 12 months",IF(T917&lt;36,"12-35 months",IF(T917&lt;60,"36-59 months","≥60 months"))))</f>
        <v/>
      </c>
      <c r="V917" s="27"/>
      <c r="W917" s="30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9"/>
      <c r="AT917" s="30"/>
      <c r="AU917" s="30"/>
      <c r="AV917" s="30"/>
      <c r="AW917" s="27"/>
      <c r="AX917" s="27"/>
      <c r="AY917" s="29"/>
      <c r="AZ917" s="27"/>
      <c r="BA917" s="27"/>
      <c r="BB917" s="29"/>
      <c r="BC917" s="30"/>
      <c r="BD917" s="30"/>
      <c r="BE917" s="30"/>
      <c r="BF917" s="27"/>
      <c r="BG917" s="27"/>
      <c r="BH917" s="28" t="str">
        <f aca="false">IF(COUNT(BC917:BE917)=0,"",IF(MIN(BC917:BE917)&lt;=-2.5,"Yes","No"))</f>
        <v/>
      </c>
      <c r="BI917" s="27"/>
      <c r="BJ917" s="29"/>
      <c r="BK917" s="27"/>
      <c r="BL917" s="27"/>
      <c r="BM917" s="27"/>
      <c r="BN917" s="28" t="str">
        <f aca="false">IF(OR(AX917="Yes",BI917="Yes"),"Yes",IF(AND(AX917="No",BI917="No"),"No",IF(AND(AX917="",BI917=""),"","Unknown")))</f>
        <v/>
      </c>
      <c r="BO917" s="31" t="str">
        <f aca="false">IF(COUNT(AY917,BJ917)=0,"",MIN(AY917,BJ917))</f>
        <v/>
      </c>
      <c r="BP917" s="29"/>
      <c r="BQ917" s="29"/>
      <c r="BR917" s="29"/>
      <c r="BS917" s="28" t="str">
        <f aca="false">IF(AND(N(BP917)&gt;0,N(BR917)&gt;0),BR917-BP917,"")</f>
        <v/>
      </c>
      <c r="BT917" s="28" t="str">
        <f aca="false">IF(BS917="","",ROUND(BS917/365.25,2))</f>
        <v/>
      </c>
      <c r="BU917" s="28" t="str">
        <f aca="false">IF(BS917="","",IF(BS917&gt;=730.5,"Yes","No"))</f>
        <v/>
      </c>
      <c r="BV917" s="27"/>
      <c r="BW917" s="29"/>
      <c r="BX917" s="27"/>
      <c r="BY917" s="27"/>
      <c r="BZ917" s="28" t="str">
        <f aca="false">IF(N(E917)=0,"",IF(E917&lt;65,"Under 65","≥65"))</f>
        <v/>
      </c>
      <c r="CA917" s="28" t="str">
        <f aca="false">IF(OR(AC917="Yes",AC917="No"),AC917,"")</f>
        <v/>
      </c>
      <c r="CB917" s="28" t="str">
        <f aca="false">IF(OR(AD917="Yes",AD917="No"),AD917,"")</f>
        <v/>
      </c>
      <c r="CC917" s="28" t="str">
        <f aca="false">IF(F917="","",F917)</f>
        <v/>
      </c>
      <c r="CD917" s="27"/>
      <c r="CE917" s="27"/>
    </row>
    <row r="918" customFormat="false" ht="15" hidden="false" customHeight="false" outlineLevel="0" collapsed="false">
      <c r="A918" s="27"/>
      <c r="B918" s="27"/>
      <c r="C918" s="27"/>
      <c r="D918" s="27"/>
      <c r="E918" s="27"/>
      <c r="F918" s="27"/>
      <c r="G918" s="27"/>
      <c r="H918" s="27"/>
      <c r="I918" s="27"/>
      <c r="J918" s="28" t="str">
        <f aca="false">IF(AND(N(H918)&gt;0,N(I918)&gt;0),ROUND(I918/(H918/100)^2,1),"")</f>
        <v/>
      </c>
      <c r="K918" s="27"/>
      <c r="L918" s="27"/>
      <c r="M918" s="27"/>
      <c r="N918" s="27"/>
      <c r="O918" s="27"/>
      <c r="P918" s="27"/>
      <c r="Q918" s="27"/>
      <c r="R918" s="29"/>
      <c r="S918" s="29"/>
      <c r="T918" s="27"/>
      <c r="U918" s="28" t="str">
        <f aca="false">IF(N(T918)=0,"",IF(T918&lt;12,"Under 12 months",IF(T918&lt;36,"12-35 months",IF(T918&lt;60,"36-59 months","≥60 months"))))</f>
        <v/>
      </c>
      <c r="V918" s="27"/>
      <c r="W918" s="30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9"/>
      <c r="AT918" s="30"/>
      <c r="AU918" s="30"/>
      <c r="AV918" s="30"/>
      <c r="AW918" s="27"/>
      <c r="AX918" s="27"/>
      <c r="AY918" s="29"/>
      <c r="AZ918" s="27"/>
      <c r="BA918" s="27"/>
      <c r="BB918" s="29"/>
      <c r="BC918" s="30"/>
      <c r="BD918" s="30"/>
      <c r="BE918" s="30"/>
      <c r="BF918" s="27"/>
      <c r="BG918" s="27"/>
      <c r="BH918" s="28" t="str">
        <f aca="false">IF(COUNT(BC918:BE918)=0,"",IF(MIN(BC918:BE918)&lt;=-2.5,"Yes","No"))</f>
        <v/>
      </c>
      <c r="BI918" s="27"/>
      <c r="BJ918" s="29"/>
      <c r="BK918" s="27"/>
      <c r="BL918" s="27"/>
      <c r="BM918" s="27"/>
      <c r="BN918" s="28" t="str">
        <f aca="false">IF(OR(AX918="Yes",BI918="Yes"),"Yes",IF(AND(AX918="No",BI918="No"),"No",IF(AND(AX918="",BI918=""),"","Unknown")))</f>
        <v/>
      </c>
      <c r="BO918" s="31" t="str">
        <f aca="false">IF(COUNT(AY918,BJ918)=0,"",MIN(AY918,BJ918))</f>
        <v/>
      </c>
      <c r="BP918" s="29"/>
      <c r="BQ918" s="29"/>
      <c r="BR918" s="29"/>
      <c r="BS918" s="28" t="str">
        <f aca="false">IF(AND(N(BP918)&gt;0,N(BR918)&gt;0),BR918-BP918,"")</f>
        <v/>
      </c>
      <c r="BT918" s="28" t="str">
        <f aca="false">IF(BS918="","",ROUND(BS918/365.25,2))</f>
        <v/>
      </c>
      <c r="BU918" s="28" t="str">
        <f aca="false">IF(BS918="","",IF(BS918&gt;=730.5,"Yes","No"))</f>
        <v/>
      </c>
      <c r="BV918" s="27"/>
      <c r="BW918" s="29"/>
      <c r="BX918" s="27"/>
      <c r="BY918" s="27"/>
      <c r="BZ918" s="28" t="str">
        <f aca="false">IF(N(E918)=0,"",IF(E918&lt;65,"Under 65","≥65"))</f>
        <v/>
      </c>
      <c r="CA918" s="28" t="str">
        <f aca="false">IF(OR(AC918="Yes",AC918="No"),AC918,"")</f>
        <v/>
      </c>
      <c r="CB918" s="28" t="str">
        <f aca="false">IF(OR(AD918="Yes",AD918="No"),AD918,"")</f>
        <v/>
      </c>
      <c r="CC918" s="28" t="str">
        <f aca="false">IF(F918="","",F918)</f>
        <v/>
      </c>
      <c r="CD918" s="27"/>
      <c r="CE918" s="27"/>
    </row>
    <row r="919" customFormat="false" ht="15" hidden="false" customHeight="false" outlineLevel="0" collapsed="false">
      <c r="A919" s="27"/>
      <c r="B919" s="27"/>
      <c r="C919" s="27"/>
      <c r="D919" s="27"/>
      <c r="E919" s="27"/>
      <c r="F919" s="27"/>
      <c r="G919" s="27"/>
      <c r="H919" s="27"/>
      <c r="I919" s="27"/>
      <c r="J919" s="28" t="str">
        <f aca="false">IF(AND(N(H919)&gt;0,N(I919)&gt;0),ROUND(I919/(H919/100)^2,1),"")</f>
        <v/>
      </c>
      <c r="K919" s="27"/>
      <c r="L919" s="27"/>
      <c r="M919" s="27"/>
      <c r="N919" s="27"/>
      <c r="O919" s="27"/>
      <c r="P919" s="27"/>
      <c r="Q919" s="27"/>
      <c r="R919" s="29"/>
      <c r="S919" s="29"/>
      <c r="T919" s="27"/>
      <c r="U919" s="28" t="str">
        <f aca="false">IF(N(T919)=0,"",IF(T919&lt;12,"Under 12 months",IF(T919&lt;36,"12-35 months",IF(T919&lt;60,"36-59 months","≥60 months"))))</f>
        <v/>
      </c>
      <c r="V919" s="27"/>
      <c r="W919" s="30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9"/>
      <c r="AT919" s="30"/>
      <c r="AU919" s="30"/>
      <c r="AV919" s="30"/>
      <c r="AW919" s="27"/>
      <c r="AX919" s="27"/>
      <c r="AY919" s="29"/>
      <c r="AZ919" s="27"/>
      <c r="BA919" s="27"/>
      <c r="BB919" s="29"/>
      <c r="BC919" s="30"/>
      <c r="BD919" s="30"/>
      <c r="BE919" s="30"/>
      <c r="BF919" s="27"/>
      <c r="BG919" s="27"/>
      <c r="BH919" s="28" t="str">
        <f aca="false">IF(COUNT(BC919:BE919)=0,"",IF(MIN(BC919:BE919)&lt;=-2.5,"Yes","No"))</f>
        <v/>
      </c>
      <c r="BI919" s="27"/>
      <c r="BJ919" s="29"/>
      <c r="BK919" s="27"/>
      <c r="BL919" s="27"/>
      <c r="BM919" s="27"/>
      <c r="BN919" s="28" t="str">
        <f aca="false">IF(OR(AX919="Yes",BI919="Yes"),"Yes",IF(AND(AX919="No",BI919="No"),"No",IF(AND(AX919="",BI919=""),"","Unknown")))</f>
        <v/>
      </c>
      <c r="BO919" s="31" t="str">
        <f aca="false">IF(COUNT(AY919,BJ919)=0,"",MIN(AY919,BJ919))</f>
        <v/>
      </c>
      <c r="BP919" s="29"/>
      <c r="BQ919" s="29"/>
      <c r="BR919" s="29"/>
      <c r="BS919" s="28" t="str">
        <f aca="false">IF(AND(N(BP919)&gt;0,N(BR919)&gt;0),BR919-BP919,"")</f>
        <v/>
      </c>
      <c r="BT919" s="28" t="str">
        <f aca="false">IF(BS919="","",ROUND(BS919/365.25,2))</f>
        <v/>
      </c>
      <c r="BU919" s="28" t="str">
        <f aca="false">IF(BS919="","",IF(BS919&gt;=730.5,"Yes","No"))</f>
        <v/>
      </c>
      <c r="BV919" s="27"/>
      <c r="BW919" s="29"/>
      <c r="BX919" s="27"/>
      <c r="BY919" s="27"/>
      <c r="BZ919" s="28" t="str">
        <f aca="false">IF(N(E919)=0,"",IF(E919&lt;65,"Under 65","≥65"))</f>
        <v/>
      </c>
      <c r="CA919" s="28" t="str">
        <f aca="false">IF(OR(AC919="Yes",AC919="No"),AC919,"")</f>
        <v/>
      </c>
      <c r="CB919" s="28" t="str">
        <f aca="false">IF(OR(AD919="Yes",AD919="No"),AD919,"")</f>
        <v/>
      </c>
      <c r="CC919" s="28" t="str">
        <f aca="false">IF(F919="","",F919)</f>
        <v/>
      </c>
      <c r="CD919" s="27"/>
      <c r="CE919" s="27"/>
    </row>
    <row r="920" customFormat="false" ht="15" hidden="false" customHeight="false" outlineLevel="0" collapsed="false">
      <c r="A920" s="27"/>
      <c r="B920" s="27"/>
      <c r="C920" s="27"/>
      <c r="D920" s="27"/>
      <c r="E920" s="27"/>
      <c r="F920" s="27"/>
      <c r="G920" s="27"/>
      <c r="H920" s="27"/>
      <c r="I920" s="27"/>
      <c r="J920" s="28" t="str">
        <f aca="false">IF(AND(N(H920)&gt;0,N(I920)&gt;0),ROUND(I920/(H920/100)^2,1),"")</f>
        <v/>
      </c>
      <c r="K920" s="27"/>
      <c r="L920" s="27"/>
      <c r="M920" s="27"/>
      <c r="N920" s="27"/>
      <c r="O920" s="27"/>
      <c r="P920" s="27"/>
      <c r="Q920" s="27"/>
      <c r="R920" s="29"/>
      <c r="S920" s="29"/>
      <c r="T920" s="27"/>
      <c r="U920" s="28" t="str">
        <f aca="false">IF(N(T920)=0,"",IF(T920&lt;12,"Under 12 months",IF(T920&lt;36,"12-35 months",IF(T920&lt;60,"36-59 months","≥60 months"))))</f>
        <v/>
      </c>
      <c r="V920" s="27"/>
      <c r="W920" s="30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9"/>
      <c r="AT920" s="30"/>
      <c r="AU920" s="30"/>
      <c r="AV920" s="30"/>
      <c r="AW920" s="27"/>
      <c r="AX920" s="27"/>
      <c r="AY920" s="29"/>
      <c r="AZ920" s="27"/>
      <c r="BA920" s="27"/>
      <c r="BB920" s="29"/>
      <c r="BC920" s="30"/>
      <c r="BD920" s="30"/>
      <c r="BE920" s="30"/>
      <c r="BF920" s="27"/>
      <c r="BG920" s="27"/>
      <c r="BH920" s="28" t="str">
        <f aca="false">IF(COUNT(BC920:BE920)=0,"",IF(MIN(BC920:BE920)&lt;=-2.5,"Yes","No"))</f>
        <v/>
      </c>
      <c r="BI920" s="27"/>
      <c r="BJ920" s="29"/>
      <c r="BK920" s="27"/>
      <c r="BL920" s="27"/>
      <c r="BM920" s="27"/>
      <c r="BN920" s="28" t="str">
        <f aca="false">IF(OR(AX920="Yes",BI920="Yes"),"Yes",IF(AND(AX920="No",BI920="No"),"No",IF(AND(AX920="",BI920=""),"","Unknown")))</f>
        <v/>
      </c>
      <c r="BO920" s="31" t="str">
        <f aca="false">IF(COUNT(AY920,BJ920)=0,"",MIN(AY920,BJ920))</f>
        <v/>
      </c>
      <c r="BP920" s="29"/>
      <c r="BQ920" s="29"/>
      <c r="BR920" s="29"/>
      <c r="BS920" s="28" t="str">
        <f aca="false">IF(AND(N(BP920)&gt;0,N(BR920)&gt;0),BR920-BP920,"")</f>
        <v/>
      </c>
      <c r="BT920" s="28" t="str">
        <f aca="false">IF(BS920="","",ROUND(BS920/365.25,2))</f>
        <v/>
      </c>
      <c r="BU920" s="28" t="str">
        <f aca="false">IF(BS920="","",IF(BS920&gt;=730.5,"Yes","No"))</f>
        <v/>
      </c>
      <c r="BV920" s="27"/>
      <c r="BW920" s="29"/>
      <c r="BX920" s="27"/>
      <c r="BY920" s="27"/>
      <c r="BZ920" s="28" t="str">
        <f aca="false">IF(N(E920)=0,"",IF(E920&lt;65,"Under 65","≥65"))</f>
        <v/>
      </c>
      <c r="CA920" s="28" t="str">
        <f aca="false">IF(OR(AC920="Yes",AC920="No"),AC920,"")</f>
        <v/>
      </c>
      <c r="CB920" s="28" t="str">
        <f aca="false">IF(OR(AD920="Yes",AD920="No"),AD920,"")</f>
        <v/>
      </c>
      <c r="CC920" s="28" t="str">
        <f aca="false">IF(F920="","",F920)</f>
        <v/>
      </c>
      <c r="CD920" s="27"/>
      <c r="CE920" s="27"/>
    </row>
    <row r="921" customFormat="false" ht="15" hidden="false" customHeight="false" outlineLevel="0" collapsed="false">
      <c r="A921" s="27"/>
      <c r="B921" s="27"/>
      <c r="C921" s="27"/>
      <c r="D921" s="27"/>
      <c r="E921" s="27"/>
      <c r="F921" s="27"/>
      <c r="G921" s="27"/>
      <c r="H921" s="27"/>
      <c r="I921" s="27"/>
      <c r="J921" s="28" t="str">
        <f aca="false">IF(AND(N(H921)&gt;0,N(I921)&gt;0),ROUND(I921/(H921/100)^2,1),"")</f>
        <v/>
      </c>
      <c r="K921" s="27"/>
      <c r="L921" s="27"/>
      <c r="M921" s="27"/>
      <c r="N921" s="27"/>
      <c r="O921" s="27"/>
      <c r="P921" s="27"/>
      <c r="Q921" s="27"/>
      <c r="R921" s="29"/>
      <c r="S921" s="29"/>
      <c r="T921" s="27"/>
      <c r="U921" s="28" t="str">
        <f aca="false">IF(N(T921)=0,"",IF(T921&lt;12,"Under 12 months",IF(T921&lt;36,"12-35 months",IF(T921&lt;60,"36-59 months","≥60 months"))))</f>
        <v/>
      </c>
      <c r="V921" s="27"/>
      <c r="W921" s="30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9"/>
      <c r="AT921" s="30"/>
      <c r="AU921" s="30"/>
      <c r="AV921" s="30"/>
      <c r="AW921" s="27"/>
      <c r="AX921" s="27"/>
      <c r="AY921" s="29"/>
      <c r="AZ921" s="27"/>
      <c r="BA921" s="27"/>
      <c r="BB921" s="29"/>
      <c r="BC921" s="30"/>
      <c r="BD921" s="30"/>
      <c r="BE921" s="30"/>
      <c r="BF921" s="27"/>
      <c r="BG921" s="27"/>
      <c r="BH921" s="28" t="str">
        <f aca="false">IF(COUNT(BC921:BE921)=0,"",IF(MIN(BC921:BE921)&lt;=-2.5,"Yes","No"))</f>
        <v/>
      </c>
      <c r="BI921" s="27"/>
      <c r="BJ921" s="29"/>
      <c r="BK921" s="27"/>
      <c r="BL921" s="27"/>
      <c r="BM921" s="27"/>
      <c r="BN921" s="28" t="str">
        <f aca="false">IF(OR(AX921="Yes",BI921="Yes"),"Yes",IF(AND(AX921="No",BI921="No"),"No",IF(AND(AX921="",BI921=""),"","Unknown")))</f>
        <v/>
      </c>
      <c r="BO921" s="31" t="str">
        <f aca="false">IF(COUNT(AY921,BJ921)=0,"",MIN(AY921,BJ921))</f>
        <v/>
      </c>
      <c r="BP921" s="29"/>
      <c r="BQ921" s="29"/>
      <c r="BR921" s="29"/>
      <c r="BS921" s="28" t="str">
        <f aca="false">IF(AND(N(BP921)&gt;0,N(BR921)&gt;0),BR921-BP921,"")</f>
        <v/>
      </c>
      <c r="BT921" s="28" t="str">
        <f aca="false">IF(BS921="","",ROUND(BS921/365.25,2))</f>
        <v/>
      </c>
      <c r="BU921" s="28" t="str">
        <f aca="false">IF(BS921="","",IF(BS921&gt;=730.5,"Yes","No"))</f>
        <v/>
      </c>
      <c r="BV921" s="27"/>
      <c r="BW921" s="29"/>
      <c r="BX921" s="27"/>
      <c r="BY921" s="27"/>
      <c r="BZ921" s="28" t="str">
        <f aca="false">IF(N(E921)=0,"",IF(E921&lt;65,"Under 65","≥65"))</f>
        <v/>
      </c>
      <c r="CA921" s="28" t="str">
        <f aca="false">IF(OR(AC921="Yes",AC921="No"),AC921,"")</f>
        <v/>
      </c>
      <c r="CB921" s="28" t="str">
        <f aca="false">IF(OR(AD921="Yes",AD921="No"),AD921,"")</f>
        <v/>
      </c>
      <c r="CC921" s="28" t="str">
        <f aca="false">IF(F921="","",F921)</f>
        <v/>
      </c>
      <c r="CD921" s="27"/>
      <c r="CE921" s="27"/>
    </row>
    <row r="922" customFormat="false" ht="15" hidden="false" customHeight="false" outlineLevel="0" collapsed="false">
      <c r="A922" s="27"/>
      <c r="B922" s="27"/>
      <c r="C922" s="27"/>
      <c r="D922" s="27"/>
      <c r="E922" s="27"/>
      <c r="F922" s="27"/>
      <c r="G922" s="27"/>
      <c r="H922" s="27"/>
      <c r="I922" s="27"/>
      <c r="J922" s="28" t="str">
        <f aca="false">IF(AND(N(H922)&gt;0,N(I922)&gt;0),ROUND(I922/(H922/100)^2,1),"")</f>
        <v/>
      </c>
      <c r="K922" s="27"/>
      <c r="L922" s="27"/>
      <c r="M922" s="27"/>
      <c r="N922" s="27"/>
      <c r="O922" s="27"/>
      <c r="P922" s="27"/>
      <c r="Q922" s="27"/>
      <c r="R922" s="29"/>
      <c r="S922" s="29"/>
      <c r="T922" s="27"/>
      <c r="U922" s="28" t="str">
        <f aca="false">IF(N(T922)=0,"",IF(T922&lt;12,"Under 12 months",IF(T922&lt;36,"12-35 months",IF(T922&lt;60,"36-59 months","≥60 months"))))</f>
        <v/>
      </c>
      <c r="V922" s="27"/>
      <c r="W922" s="30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9"/>
      <c r="AT922" s="30"/>
      <c r="AU922" s="30"/>
      <c r="AV922" s="30"/>
      <c r="AW922" s="27"/>
      <c r="AX922" s="27"/>
      <c r="AY922" s="29"/>
      <c r="AZ922" s="27"/>
      <c r="BA922" s="27"/>
      <c r="BB922" s="29"/>
      <c r="BC922" s="30"/>
      <c r="BD922" s="30"/>
      <c r="BE922" s="30"/>
      <c r="BF922" s="27"/>
      <c r="BG922" s="27"/>
      <c r="BH922" s="28" t="str">
        <f aca="false">IF(COUNT(BC922:BE922)=0,"",IF(MIN(BC922:BE922)&lt;=-2.5,"Yes","No"))</f>
        <v/>
      </c>
      <c r="BI922" s="27"/>
      <c r="BJ922" s="29"/>
      <c r="BK922" s="27"/>
      <c r="BL922" s="27"/>
      <c r="BM922" s="27"/>
      <c r="BN922" s="28" t="str">
        <f aca="false">IF(OR(AX922="Yes",BI922="Yes"),"Yes",IF(AND(AX922="No",BI922="No"),"No",IF(AND(AX922="",BI922=""),"","Unknown")))</f>
        <v/>
      </c>
      <c r="BO922" s="31" t="str">
        <f aca="false">IF(COUNT(AY922,BJ922)=0,"",MIN(AY922,BJ922))</f>
        <v/>
      </c>
      <c r="BP922" s="29"/>
      <c r="BQ922" s="29"/>
      <c r="BR922" s="29"/>
      <c r="BS922" s="28" t="str">
        <f aca="false">IF(AND(N(BP922)&gt;0,N(BR922)&gt;0),BR922-BP922,"")</f>
        <v/>
      </c>
      <c r="BT922" s="28" t="str">
        <f aca="false">IF(BS922="","",ROUND(BS922/365.25,2))</f>
        <v/>
      </c>
      <c r="BU922" s="28" t="str">
        <f aca="false">IF(BS922="","",IF(BS922&gt;=730.5,"Yes","No"))</f>
        <v/>
      </c>
      <c r="BV922" s="27"/>
      <c r="BW922" s="29"/>
      <c r="BX922" s="27"/>
      <c r="BY922" s="27"/>
      <c r="BZ922" s="28" t="str">
        <f aca="false">IF(N(E922)=0,"",IF(E922&lt;65,"Under 65","≥65"))</f>
        <v/>
      </c>
      <c r="CA922" s="28" t="str">
        <f aca="false">IF(OR(AC922="Yes",AC922="No"),AC922,"")</f>
        <v/>
      </c>
      <c r="CB922" s="28" t="str">
        <f aca="false">IF(OR(AD922="Yes",AD922="No"),AD922,"")</f>
        <v/>
      </c>
      <c r="CC922" s="28" t="str">
        <f aca="false">IF(F922="","",F922)</f>
        <v/>
      </c>
      <c r="CD922" s="27"/>
      <c r="CE922" s="27"/>
    </row>
    <row r="923" customFormat="false" ht="15" hidden="false" customHeight="false" outlineLevel="0" collapsed="false">
      <c r="A923" s="27"/>
      <c r="B923" s="27"/>
      <c r="C923" s="27"/>
      <c r="D923" s="27"/>
      <c r="E923" s="27"/>
      <c r="F923" s="27"/>
      <c r="G923" s="27"/>
      <c r="H923" s="27"/>
      <c r="I923" s="27"/>
      <c r="J923" s="28" t="str">
        <f aca="false">IF(AND(N(H923)&gt;0,N(I923)&gt;0),ROUND(I923/(H923/100)^2,1),"")</f>
        <v/>
      </c>
      <c r="K923" s="27"/>
      <c r="L923" s="27"/>
      <c r="M923" s="27"/>
      <c r="N923" s="27"/>
      <c r="O923" s="27"/>
      <c r="P923" s="27"/>
      <c r="Q923" s="27"/>
      <c r="R923" s="29"/>
      <c r="S923" s="29"/>
      <c r="T923" s="27"/>
      <c r="U923" s="28" t="str">
        <f aca="false">IF(N(T923)=0,"",IF(T923&lt;12,"Under 12 months",IF(T923&lt;36,"12-35 months",IF(T923&lt;60,"36-59 months","≥60 months"))))</f>
        <v/>
      </c>
      <c r="V923" s="27"/>
      <c r="W923" s="30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9"/>
      <c r="AT923" s="30"/>
      <c r="AU923" s="30"/>
      <c r="AV923" s="30"/>
      <c r="AW923" s="27"/>
      <c r="AX923" s="27"/>
      <c r="AY923" s="29"/>
      <c r="AZ923" s="27"/>
      <c r="BA923" s="27"/>
      <c r="BB923" s="29"/>
      <c r="BC923" s="30"/>
      <c r="BD923" s="30"/>
      <c r="BE923" s="30"/>
      <c r="BF923" s="27"/>
      <c r="BG923" s="27"/>
      <c r="BH923" s="28" t="str">
        <f aca="false">IF(COUNT(BC923:BE923)=0,"",IF(MIN(BC923:BE923)&lt;=-2.5,"Yes","No"))</f>
        <v/>
      </c>
      <c r="BI923" s="27"/>
      <c r="BJ923" s="29"/>
      <c r="BK923" s="27"/>
      <c r="BL923" s="27"/>
      <c r="BM923" s="27"/>
      <c r="BN923" s="28" t="str">
        <f aca="false">IF(OR(AX923="Yes",BI923="Yes"),"Yes",IF(AND(AX923="No",BI923="No"),"No",IF(AND(AX923="",BI923=""),"","Unknown")))</f>
        <v/>
      </c>
      <c r="BO923" s="31" t="str">
        <f aca="false">IF(COUNT(AY923,BJ923)=0,"",MIN(AY923,BJ923))</f>
        <v/>
      </c>
      <c r="BP923" s="29"/>
      <c r="BQ923" s="29"/>
      <c r="BR923" s="29"/>
      <c r="BS923" s="28" t="str">
        <f aca="false">IF(AND(N(BP923)&gt;0,N(BR923)&gt;0),BR923-BP923,"")</f>
        <v/>
      </c>
      <c r="BT923" s="28" t="str">
        <f aca="false">IF(BS923="","",ROUND(BS923/365.25,2))</f>
        <v/>
      </c>
      <c r="BU923" s="28" t="str">
        <f aca="false">IF(BS923="","",IF(BS923&gt;=730.5,"Yes","No"))</f>
        <v/>
      </c>
      <c r="BV923" s="27"/>
      <c r="BW923" s="29"/>
      <c r="BX923" s="27"/>
      <c r="BY923" s="27"/>
      <c r="BZ923" s="28" t="str">
        <f aca="false">IF(N(E923)=0,"",IF(E923&lt;65,"Under 65","≥65"))</f>
        <v/>
      </c>
      <c r="CA923" s="28" t="str">
        <f aca="false">IF(OR(AC923="Yes",AC923="No"),AC923,"")</f>
        <v/>
      </c>
      <c r="CB923" s="28" t="str">
        <f aca="false">IF(OR(AD923="Yes",AD923="No"),AD923,"")</f>
        <v/>
      </c>
      <c r="CC923" s="28" t="str">
        <f aca="false">IF(F923="","",F923)</f>
        <v/>
      </c>
      <c r="CD923" s="27"/>
      <c r="CE923" s="27"/>
    </row>
    <row r="924" customFormat="false" ht="15" hidden="false" customHeight="false" outlineLevel="0" collapsed="false">
      <c r="A924" s="27"/>
      <c r="B924" s="27"/>
      <c r="C924" s="27"/>
      <c r="D924" s="27"/>
      <c r="E924" s="27"/>
      <c r="F924" s="27"/>
      <c r="G924" s="27"/>
      <c r="H924" s="27"/>
      <c r="I924" s="27"/>
      <c r="J924" s="28" t="str">
        <f aca="false">IF(AND(N(H924)&gt;0,N(I924)&gt;0),ROUND(I924/(H924/100)^2,1),"")</f>
        <v/>
      </c>
      <c r="K924" s="27"/>
      <c r="L924" s="27"/>
      <c r="M924" s="27"/>
      <c r="N924" s="27"/>
      <c r="O924" s="27"/>
      <c r="P924" s="27"/>
      <c r="Q924" s="27"/>
      <c r="R924" s="29"/>
      <c r="S924" s="29"/>
      <c r="T924" s="27"/>
      <c r="U924" s="28" t="str">
        <f aca="false">IF(N(T924)=0,"",IF(T924&lt;12,"Under 12 months",IF(T924&lt;36,"12-35 months",IF(T924&lt;60,"36-59 months","≥60 months"))))</f>
        <v/>
      </c>
      <c r="V924" s="27"/>
      <c r="W924" s="30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9"/>
      <c r="AT924" s="30"/>
      <c r="AU924" s="30"/>
      <c r="AV924" s="30"/>
      <c r="AW924" s="27"/>
      <c r="AX924" s="27"/>
      <c r="AY924" s="29"/>
      <c r="AZ924" s="27"/>
      <c r="BA924" s="27"/>
      <c r="BB924" s="29"/>
      <c r="BC924" s="30"/>
      <c r="BD924" s="30"/>
      <c r="BE924" s="30"/>
      <c r="BF924" s="27"/>
      <c r="BG924" s="27"/>
      <c r="BH924" s="28" t="str">
        <f aca="false">IF(COUNT(BC924:BE924)=0,"",IF(MIN(BC924:BE924)&lt;=-2.5,"Yes","No"))</f>
        <v/>
      </c>
      <c r="BI924" s="27"/>
      <c r="BJ924" s="29"/>
      <c r="BK924" s="27"/>
      <c r="BL924" s="27"/>
      <c r="BM924" s="27"/>
      <c r="BN924" s="28" t="str">
        <f aca="false">IF(OR(AX924="Yes",BI924="Yes"),"Yes",IF(AND(AX924="No",BI924="No"),"No",IF(AND(AX924="",BI924=""),"","Unknown")))</f>
        <v/>
      </c>
      <c r="BO924" s="31" t="str">
        <f aca="false">IF(COUNT(AY924,BJ924)=0,"",MIN(AY924,BJ924))</f>
        <v/>
      </c>
      <c r="BP924" s="29"/>
      <c r="BQ924" s="29"/>
      <c r="BR924" s="29"/>
      <c r="BS924" s="28" t="str">
        <f aca="false">IF(AND(N(BP924)&gt;0,N(BR924)&gt;0),BR924-BP924,"")</f>
        <v/>
      </c>
      <c r="BT924" s="28" t="str">
        <f aca="false">IF(BS924="","",ROUND(BS924/365.25,2))</f>
        <v/>
      </c>
      <c r="BU924" s="28" t="str">
        <f aca="false">IF(BS924="","",IF(BS924&gt;=730.5,"Yes","No"))</f>
        <v/>
      </c>
      <c r="BV924" s="27"/>
      <c r="BW924" s="29"/>
      <c r="BX924" s="27"/>
      <c r="BY924" s="27"/>
      <c r="BZ924" s="28" t="str">
        <f aca="false">IF(N(E924)=0,"",IF(E924&lt;65,"Under 65","≥65"))</f>
        <v/>
      </c>
      <c r="CA924" s="28" t="str">
        <f aca="false">IF(OR(AC924="Yes",AC924="No"),AC924,"")</f>
        <v/>
      </c>
      <c r="CB924" s="28" t="str">
        <f aca="false">IF(OR(AD924="Yes",AD924="No"),AD924,"")</f>
        <v/>
      </c>
      <c r="CC924" s="28" t="str">
        <f aca="false">IF(F924="","",F924)</f>
        <v/>
      </c>
      <c r="CD924" s="27"/>
      <c r="CE924" s="27"/>
    </row>
    <row r="925" customFormat="false" ht="15" hidden="false" customHeight="false" outlineLevel="0" collapsed="false">
      <c r="A925" s="27"/>
      <c r="B925" s="27"/>
      <c r="C925" s="27"/>
      <c r="D925" s="27"/>
      <c r="E925" s="27"/>
      <c r="F925" s="27"/>
      <c r="G925" s="27"/>
      <c r="H925" s="27"/>
      <c r="I925" s="27"/>
      <c r="J925" s="28" t="str">
        <f aca="false">IF(AND(N(H925)&gt;0,N(I925)&gt;0),ROUND(I925/(H925/100)^2,1),"")</f>
        <v/>
      </c>
      <c r="K925" s="27"/>
      <c r="L925" s="27"/>
      <c r="M925" s="27"/>
      <c r="N925" s="27"/>
      <c r="O925" s="27"/>
      <c r="P925" s="27"/>
      <c r="Q925" s="27"/>
      <c r="R925" s="29"/>
      <c r="S925" s="29"/>
      <c r="T925" s="27"/>
      <c r="U925" s="28" t="str">
        <f aca="false">IF(N(T925)=0,"",IF(T925&lt;12,"Under 12 months",IF(T925&lt;36,"12-35 months",IF(T925&lt;60,"36-59 months","≥60 months"))))</f>
        <v/>
      </c>
      <c r="V925" s="27"/>
      <c r="W925" s="30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9"/>
      <c r="AT925" s="30"/>
      <c r="AU925" s="30"/>
      <c r="AV925" s="30"/>
      <c r="AW925" s="27"/>
      <c r="AX925" s="27"/>
      <c r="AY925" s="29"/>
      <c r="AZ925" s="27"/>
      <c r="BA925" s="27"/>
      <c r="BB925" s="29"/>
      <c r="BC925" s="30"/>
      <c r="BD925" s="30"/>
      <c r="BE925" s="30"/>
      <c r="BF925" s="27"/>
      <c r="BG925" s="27"/>
      <c r="BH925" s="28" t="str">
        <f aca="false">IF(COUNT(BC925:BE925)=0,"",IF(MIN(BC925:BE925)&lt;=-2.5,"Yes","No"))</f>
        <v/>
      </c>
      <c r="BI925" s="27"/>
      <c r="BJ925" s="29"/>
      <c r="BK925" s="27"/>
      <c r="BL925" s="27"/>
      <c r="BM925" s="27"/>
      <c r="BN925" s="28" t="str">
        <f aca="false">IF(OR(AX925="Yes",BI925="Yes"),"Yes",IF(AND(AX925="No",BI925="No"),"No",IF(AND(AX925="",BI925=""),"","Unknown")))</f>
        <v/>
      </c>
      <c r="BO925" s="31" t="str">
        <f aca="false">IF(COUNT(AY925,BJ925)=0,"",MIN(AY925,BJ925))</f>
        <v/>
      </c>
      <c r="BP925" s="29"/>
      <c r="BQ925" s="29"/>
      <c r="BR925" s="29"/>
      <c r="BS925" s="28" t="str">
        <f aca="false">IF(AND(N(BP925)&gt;0,N(BR925)&gt;0),BR925-BP925,"")</f>
        <v/>
      </c>
      <c r="BT925" s="28" t="str">
        <f aca="false">IF(BS925="","",ROUND(BS925/365.25,2))</f>
        <v/>
      </c>
      <c r="BU925" s="28" t="str">
        <f aca="false">IF(BS925="","",IF(BS925&gt;=730.5,"Yes","No"))</f>
        <v/>
      </c>
      <c r="BV925" s="27"/>
      <c r="BW925" s="29"/>
      <c r="BX925" s="27"/>
      <c r="BY925" s="27"/>
      <c r="BZ925" s="28" t="str">
        <f aca="false">IF(N(E925)=0,"",IF(E925&lt;65,"Under 65","≥65"))</f>
        <v/>
      </c>
      <c r="CA925" s="28" t="str">
        <f aca="false">IF(OR(AC925="Yes",AC925="No"),AC925,"")</f>
        <v/>
      </c>
      <c r="CB925" s="28" t="str">
        <f aca="false">IF(OR(AD925="Yes",AD925="No"),AD925,"")</f>
        <v/>
      </c>
      <c r="CC925" s="28" t="str">
        <f aca="false">IF(F925="","",F925)</f>
        <v/>
      </c>
      <c r="CD925" s="27"/>
      <c r="CE925" s="27"/>
    </row>
    <row r="926" customFormat="false" ht="15" hidden="false" customHeight="false" outlineLevel="0" collapsed="false">
      <c r="A926" s="27"/>
      <c r="B926" s="27"/>
      <c r="C926" s="27"/>
      <c r="D926" s="27"/>
      <c r="E926" s="27"/>
      <c r="F926" s="27"/>
      <c r="G926" s="27"/>
      <c r="H926" s="27"/>
      <c r="I926" s="27"/>
      <c r="J926" s="28" t="str">
        <f aca="false">IF(AND(N(H926)&gt;0,N(I926)&gt;0),ROUND(I926/(H926/100)^2,1),"")</f>
        <v/>
      </c>
      <c r="K926" s="27"/>
      <c r="L926" s="27"/>
      <c r="M926" s="27"/>
      <c r="N926" s="27"/>
      <c r="O926" s="27"/>
      <c r="P926" s="27"/>
      <c r="Q926" s="27"/>
      <c r="R926" s="29"/>
      <c r="S926" s="29"/>
      <c r="T926" s="27"/>
      <c r="U926" s="28" t="str">
        <f aca="false">IF(N(T926)=0,"",IF(T926&lt;12,"Under 12 months",IF(T926&lt;36,"12-35 months",IF(T926&lt;60,"36-59 months","≥60 months"))))</f>
        <v/>
      </c>
      <c r="V926" s="27"/>
      <c r="W926" s="30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9"/>
      <c r="AT926" s="30"/>
      <c r="AU926" s="30"/>
      <c r="AV926" s="30"/>
      <c r="AW926" s="27"/>
      <c r="AX926" s="27"/>
      <c r="AY926" s="29"/>
      <c r="AZ926" s="27"/>
      <c r="BA926" s="27"/>
      <c r="BB926" s="29"/>
      <c r="BC926" s="30"/>
      <c r="BD926" s="30"/>
      <c r="BE926" s="30"/>
      <c r="BF926" s="27"/>
      <c r="BG926" s="27"/>
      <c r="BH926" s="28" t="str">
        <f aca="false">IF(COUNT(BC926:BE926)=0,"",IF(MIN(BC926:BE926)&lt;=-2.5,"Yes","No"))</f>
        <v/>
      </c>
      <c r="BI926" s="27"/>
      <c r="BJ926" s="29"/>
      <c r="BK926" s="27"/>
      <c r="BL926" s="27"/>
      <c r="BM926" s="27"/>
      <c r="BN926" s="28" t="str">
        <f aca="false">IF(OR(AX926="Yes",BI926="Yes"),"Yes",IF(AND(AX926="No",BI926="No"),"No",IF(AND(AX926="",BI926=""),"","Unknown")))</f>
        <v/>
      </c>
      <c r="BO926" s="31" t="str">
        <f aca="false">IF(COUNT(AY926,BJ926)=0,"",MIN(AY926,BJ926))</f>
        <v/>
      </c>
      <c r="BP926" s="29"/>
      <c r="BQ926" s="29"/>
      <c r="BR926" s="29"/>
      <c r="BS926" s="28" t="str">
        <f aca="false">IF(AND(N(BP926)&gt;0,N(BR926)&gt;0),BR926-BP926,"")</f>
        <v/>
      </c>
      <c r="BT926" s="28" t="str">
        <f aca="false">IF(BS926="","",ROUND(BS926/365.25,2))</f>
        <v/>
      </c>
      <c r="BU926" s="28" t="str">
        <f aca="false">IF(BS926="","",IF(BS926&gt;=730.5,"Yes","No"))</f>
        <v/>
      </c>
      <c r="BV926" s="27"/>
      <c r="BW926" s="29"/>
      <c r="BX926" s="27"/>
      <c r="BY926" s="27"/>
      <c r="BZ926" s="28" t="str">
        <f aca="false">IF(N(E926)=0,"",IF(E926&lt;65,"Under 65","≥65"))</f>
        <v/>
      </c>
      <c r="CA926" s="28" t="str">
        <f aca="false">IF(OR(AC926="Yes",AC926="No"),AC926,"")</f>
        <v/>
      </c>
      <c r="CB926" s="28" t="str">
        <f aca="false">IF(OR(AD926="Yes",AD926="No"),AD926,"")</f>
        <v/>
      </c>
      <c r="CC926" s="28" t="str">
        <f aca="false">IF(F926="","",F926)</f>
        <v/>
      </c>
      <c r="CD926" s="27"/>
      <c r="CE926" s="27"/>
    </row>
    <row r="927" customFormat="false" ht="15" hidden="false" customHeight="false" outlineLevel="0" collapsed="false">
      <c r="A927" s="27"/>
      <c r="B927" s="27"/>
      <c r="C927" s="27"/>
      <c r="D927" s="27"/>
      <c r="E927" s="27"/>
      <c r="F927" s="27"/>
      <c r="G927" s="27"/>
      <c r="H927" s="27"/>
      <c r="I927" s="27"/>
      <c r="J927" s="28" t="str">
        <f aca="false">IF(AND(N(H927)&gt;0,N(I927)&gt;0),ROUND(I927/(H927/100)^2,1),"")</f>
        <v/>
      </c>
      <c r="K927" s="27"/>
      <c r="L927" s="27"/>
      <c r="M927" s="27"/>
      <c r="N927" s="27"/>
      <c r="O927" s="27"/>
      <c r="P927" s="27"/>
      <c r="Q927" s="27"/>
      <c r="R927" s="29"/>
      <c r="S927" s="29"/>
      <c r="T927" s="27"/>
      <c r="U927" s="28" t="str">
        <f aca="false">IF(N(T927)=0,"",IF(T927&lt;12,"Under 12 months",IF(T927&lt;36,"12-35 months",IF(T927&lt;60,"36-59 months","≥60 months"))))</f>
        <v/>
      </c>
      <c r="V927" s="27"/>
      <c r="W927" s="30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9"/>
      <c r="AT927" s="30"/>
      <c r="AU927" s="30"/>
      <c r="AV927" s="30"/>
      <c r="AW927" s="27"/>
      <c r="AX927" s="27"/>
      <c r="AY927" s="29"/>
      <c r="AZ927" s="27"/>
      <c r="BA927" s="27"/>
      <c r="BB927" s="29"/>
      <c r="BC927" s="30"/>
      <c r="BD927" s="30"/>
      <c r="BE927" s="30"/>
      <c r="BF927" s="27"/>
      <c r="BG927" s="27"/>
      <c r="BH927" s="28" t="str">
        <f aca="false">IF(COUNT(BC927:BE927)=0,"",IF(MIN(BC927:BE927)&lt;=-2.5,"Yes","No"))</f>
        <v/>
      </c>
      <c r="BI927" s="27"/>
      <c r="BJ927" s="29"/>
      <c r="BK927" s="27"/>
      <c r="BL927" s="27"/>
      <c r="BM927" s="27"/>
      <c r="BN927" s="28" t="str">
        <f aca="false">IF(OR(AX927="Yes",BI927="Yes"),"Yes",IF(AND(AX927="No",BI927="No"),"No",IF(AND(AX927="",BI927=""),"","Unknown")))</f>
        <v/>
      </c>
      <c r="BO927" s="31" t="str">
        <f aca="false">IF(COUNT(AY927,BJ927)=0,"",MIN(AY927,BJ927))</f>
        <v/>
      </c>
      <c r="BP927" s="29"/>
      <c r="BQ927" s="29"/>
      <c r="BR927" s="29"/>
      <c r="BS927" s="28" t="str">
        <f aca="false">IF(AND(N(BP927)&gt;0,N(BR927)&gt;0),BR927-BP927,"")</f>
        <v/>
      </c>
      <c r="BT927" s="28" t="str">
        <f aca="false">IF(BS927="","",ROUND(BS927/365.25,2))</f>
        <v/>
      </c>
      <c r="BU927" s="28" t="str">
        <f aca="false">IF(BS927="","",IF(BS927&gt;=730.5,"Yes","No"))</f>
        <v/>
      </c>
      <c r="BV927" s="27"/>
      <c r="BW927" s="29"/>
      <c r="BX927" s="27"/>
      <c r="BY927" s="27"/>
      <c r="BZ927" s="28" t="str">
        <f aca="false">IF(N(E927)=0,"",IF(E927&lt;65,"Under 65","≥65"))</f>
        <v/>
      </c>
      <c r="CA927" s="28" t="str">
        <f aca="false">IF(OR(AC927="Yes",AC927="No"),AC927,"")</f>
        <v/>
      </c>
      <c r="CB927" s="28" t="str">
        <f aca="false">IF(OR(AD927="Yes",AD927="No"),AD927,"")</f>
        <v/>
      </c>
      <c r="CC927" s="28" t="str">
        <f aca="false">IF(F927="","",F927)</f>
        <v/>
      </c>
      <c r="CD927" s="27"/>
      <c r="CE927" s="27"/>
    </row>
    <row r="928" customFormat="false" ht="15" hidden="false" customHeight="false" outlineLevel="0" collapsed="false">
      <c r="A928" s="27"/>
      <c r="B928" s="27"/>
      <c r="C928" s="27"/>
      <c r="D928" s="27"/>
      <c r="E928" s="27"/>
      <c r="F928" s="27"/>
      <c r="G928" s="27"/>
      <c r="H928" s="27"/>
      <c r="I928" s="27"/>
      <c r="J928" s="28" t="str">
        <f aca="false">IF(AND(N(H928)&gt;0,N(I928)&gt;0),ROUND(I928/(H928/100)^2,1),"")</f>
        <v/>
      </c>
      <c r="K928" s="27"/>
      <c r="L928" s="27"/>
      <c r="M928" s="27"/>
      <c r="N928" s="27"/>
      <c r="O928" s="27"/>
      <c r="P928" s="27"/>
      <c r="Q928" s="27"/>
      <c r="R928" s="29"/>
      <c r="S928" s="29"/>
      <c r="T928" s="27"/>
      <c r="U928" s="28" t="str">
        <f aca="false">IF(N(T928)=0,"",IF(T928&lt;12,"Under 12 months",IF(T928&lt;36,"12-35 months",IF(T928&lt;60,"36-59 months","≥60 months"))))</f>
        <v/>
      </c>
      <c r="V928" s="27"/>
      <c r="W928" s="30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9"/>
      <c r="AT928" s="30"/>
      <c r="AU928" s="30"/>
      <c r="AV928" s="30"/>
      <c r="AW928" s="27"/>
      <c r="AX928" s="27"/>
      <c r="AY928" s="29"/>
      <c r="AZ928" s="27"/>
      <c r="BA928" s="27"/>
      <c r="BB928" s="29"/>
      <c r="BC928" s="30"/>
      <c r="BD928" s="30"/>
      <c r="BE928" s="30"/>
      <c r="BF928" s="27"/>
      <c r="BG928" s="27"/>
      <c r="BH928" s="28" t="str">
        <f aca="false">IF(COUNT(BC928:BE928)=0,"",IF(MIN(BC928:BE928)&lt;=-2.5,"Yes","No"))</f>
        <v/>
      </c>
      <c r="BI928" s="27"/>
      <c r="BJ928" s="29"/>
      <c r="BK928" s="27"/>
      <c r="BL928" s="27"/>
      <c r="BM928" s="27"/>
      <c r="BN928" s="28" t="str">
        <f aca="false">IF(OR(AX928="Yes",BI928="Yes"),"Yes",IF(AND(AX928="No",BI928="No"),"No",IF(AND(AX928="",BI928=""),"","Unknown")))</f>
        <v/>
      </c>
      <c r="BO928" s="31" t="str">
        <f aca="false">IF(COUNT(AY928,BJ928)=0,"",MIN(AY928,BJ928))</f>
        <v/>
      </c>
      <c r="BP928" s="29"/>
      <c r="BQ928" s="29"/>
      <c r="BR928" s="29"/>
      <c r="BS928" s="28" t="str">
        <f aca="false">IF(AND(N(BP928)&gt;0,N(BR928)&gt;0),BR928-BP928,"")</f>
        <v/>
      </c>
      <c r="BT928" s="28" t="str">
        <f aca="false">IF(BS928="","",ROUND(BS928/365.25,2))</f>
        <v/>
      </c>
      <c r="BU928" s="28" t="str">
        <f aca="false">IF(BS928="","",IF(BS928&gt;=730.5,"Yes","No"))</f>
        <v/>
      </c>
      <c r="BV928" s="27"/>
      <c r="BW928" s="29"/>
      <c r="BX928" s="27"/>
      <c r="BY928" s="27"/>
      <c r="BZ928" s="28" t="str">
        <f aca="false">IF(N(E928)=0,"",IF(E928&lt;65,"Under 65","≥65"))</f>
        <v/>
      </c>
      <c r="CA928" s="28" t="str">
        <f aca="false">IF(OR(AC928="Yes",AC928="No"),AC928,"")</f>
        <v/>
      </c>
      <c r="CB928" s="28" t="str">
        <f aca="false">IF(OR(AD928="Yes",AD928="No"),AD928,"")</f>
        <v/>
      </c>
      <c r="CC928" s="28" t="str">
        <f aca="false">IF(F928="","",F928)</f>
        <v/>
      </c>
      <c r="CD928" s="27"/>
      <c r="CE928" s="27"/>
    </row>
    <row r="929" customFormat="false" ht="15" hidden="false" customHeight="false" outlineLevel="0" collapsed="false">
      <c r="A929" s="27"/>
      <c r="B929" s="27"/>
      <c r="C929" s="27"/>
      <c r="D929" s="27"/>
      <c r="E929" s="27"/>
      <c r="F929" s="27"/>
      <c r="G929" s="27"/>
      <c r="H929" s="27"/>
      <c r="I929" s="27"/>
      <c r="J929" s="28" t="str">
        <f aca="false">IF(AND(N(H929)&gt;0,N(I929)&gt;0),ROUND(I929/(H929/100)^2,1),"")</f>
        <v/>
      </c>
      <c r="K929" s="27"/>
      <c r="L929" s="27"/>
      <c r="M929" s="27"/>
      <c r="N929" s="27"/>
      <c r="O929" s="27"/>
      <c r="P929" s="27"/>
      <c r="Q929" s="27"/>
      <c r="R929" s="29"/>
      <c r="S929" s="29"/>
      <c r="T929" s="27"/>
      <c r="U929" s="28" t="str">
        <f aca="false">IF(N(T929)=0,"",IF(T929&lt;12,"Under 12 months",IF(T929&lt;36,"12-35 months",IF(T929&lt;60,"36-59 months","≥60 months"))))</f>
        <v/>
      </c>
      <c r="V929" s="27"/>
      <c r="W929" s="30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9"/>
      <c r="AT929" s="30"/>
      <c r="AU929" s="30"/>
      <c r="AV929" s="30"/>
      <c r="AW929" s="27"/>
      <c r="AX929" s="27"/>
      <c r="AY929" s="29"/>
      <c r="AZ929" s="27"/>
      <c r="BA929" s="27"/>
      <c r="BB929" s="29"/>
      <c r="BC929" s="30"/>
      <c r="BD929" s="30"/>
      <c r="BE929" s="30"/>
      <c r="BF929" s="27"/>
      <c r="BG929" s="27"/>
      <c r="BH929" s="28" t="str">
        <f aca="false">IF(COUNT(BC929:BE929)=0,"",IF(MIN(BC929:BE929)&lt;=-2.5,"Yes","No"))</f>
        <v/>
      </c>
      <c r="BI929" s="27"/>
      <c r="BJ929" s="29"/>
      <c r="BK929" s="27"/>
      <c r="BL929" s="27"/>
      <c r="BM929" s="27"/>
      <c r="BN929" s="28" t="str">
        <f aca="false">IF(OR(AX929="Yes",BI929="Yes"),"Yes",IF(AND(AX929="No",BI929="No"),"No",IF(AND(AX929="",BI929=""),"","Unknown")))</f>
        <v/>
      </c>
      <c r="BO929" s="31" t="str">
        <f aca="false">IF(COUNT(AY929,BJ929)=0,"",MIN(AY929,BJ929))</f>
        <v/>
      </c>
      <c r="BP929" s="29"/>
      <c r="BQ929" s="29"/>
      <c r="BR929" s="29"/>
      <c r="BS929" s="28" t="str">
        <f aca="false">IF(AND(N(BP929)&gt;0,N(BR929)&gt;0),BR929-BP929,"")</f>
        <v/>
      </c>
      <c r="BT929" s="28" t="str">
        <f aca="false">IF(BS929="","",ROUND(BS929/365.25,2))</f>
        <v/>
      </c>
      <c r="BU929" s="28" t="str">
        <f aca="false">IF(BS929="","",IF(BS929&gt;=730.5,"Yes","No"))</f>
        <v/>
      </c>
      <c r="BV929" s="27"/>
      <c r="BW929" s="29"/>
      <c r="BX929" s="27"/>
      <c r="BY929" s="27"/>
      <c r="BZ929" s="28" t="str">
        <f aca="false">IF(N(E929)=0,"",IF(E929&lt;65,"Under 65","≥65"))</f>
        <v/>
      </c>
      <c r="CA929" s="28" t="str">
        <f aca="false">IF(OR(AC929="Yes",AC929="No"),AC929,"")</f>
        <v/>
      </c>
      <c r="CB929" s="28" t="str">
        <f aca="false">IF(OR(AD929="Yes",AD929="No"),AD929,"")</f>
        <v/>
      </c>
      <c r="CC929" s="28" t="str">
        <f aca="false">IF(F929="","",F929)</f>
        <v/>
      </c>
      <c r="CD929" s="27"/>
      <c r="CE929" s="27"/>
    </row>
    <row r="930" customFormat="false" ht="15" hidden="false" customHeight="false" outlineLevel="0" collapsed="false">
      <c r="A930" s="27"/>
      <c r="B930" s="27"/>
      <c r="C930" s="27"/>
      <c r="D930" s="27"/>
      <c r="E930" s="27"/>
      <c r="F930" s="27"/>
      <c r="G930" s="27"/>
      <c r="H930" s="27"/>
      <c r="I930" s="27"/>
      <c r="J930" s="28" t="str">
        <f aca="false">IF(AND(N(H930)&gt;0,N(I930)&gt;0),ROUND(I930/(H930/100)^2,1),"")</f>
        <v/>
      </c>
      <c r="K930" s="27"/>
      <c r="L930" s="27"/>
      <c r="M930" s="27"/>
      <c r="N930" s="27"/>
      <c r="O930" s="27"/>
      <c r="P930" s="27"/>
      <c r="Q930" s="27"/>
      <c r="R930" s="29"/>
      <c r="S930" s="29"/>
      <c r="T930" s="27"/>
      <c r="U930" s="28" t="str">
        <f aca="false">IF(N(T930)=0,"",IF(T930&lt;12,"Under 12 months",IF(T930&lt;36,"12-35 months",IF(T930&lt;60,"36-59 months","≥60 months"))))</f>
        <v/>
      </c>
      <c r="V930" s="27"/>
      <c r="W930" s="30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9"/>
      <c r="AT930" s="30"/>
      <c r="AU930" s="30"/>
      <c r="AV930" s="30"/>
      <c r="AW930" s="27"/>
      <c r="AX930" s="27"/>
      <c r="AY930" s="29"/>
      <c r="AZ930" s="27"/>
      <c r="BA930" s="27"/>
      <c r="BB930" s="29"/>
      <c r="BC930" s="30"/>
      <c r="BD930" s="30"/>
      <c r="BE930" s="30"/>
      <c r="BF930" s="27"/>
      <c r="BG930" s="27"/>
      <c r="BH930" s="28" t="str">
        <f aca="false">IF(COUNT(BC930:BE930)=0,"",IF(MIN(BC930:BE930)&lt;=-2.5,"Yes","No"))</f>
        <v/>
      </c>
      <c r="BI930" s="27"/>
      <c r="BJ930" s="29"/>
      <c r="BK930" s="27"/>
      <c r="BL930" s="27"/>
      <c r="BM930" s="27"/>
      <c r="BN930" s="28" t="str">
        <f aca="false">IF(OR(AX930="Yes",BI930="Yes"),"Yes",IF(AND(AX930="No",BI930="No"),"No",IF(AND(AX930="",BI930=""),"","Unknown")))</f>
        <v/>
      </c>
      <c r="BO930" s="31" t="str">
        <f aca="false">IF(COUNT(AY930,BJ930)=0,"",MIN(AY930,BJ930))</f>
        <v/>
      </c>
      <c r="BP930" s="29"/>
      <c r="BQ930" s="29"/>
      <c r="BR930" s="29"/>
      <c r="BS930" s="28" t="str">
        <f aca="false">IF(AND(N(BP930)&gt;0,N(BR930)&gt;0),BR930-BP930,"")</f>
        <v/>
      </c>
      <c r="BT930" s="28" t="str">
        <f aca="false">IF(BS930="","",ROUND(BS930/365.25,2))</f>
        <v/>
      </c>
      <c r="BU930" s="28" t="str">
        <f aca="false">IF(BS930="","",IF(BS930&gt;=730.5,"Yes","No"))</f>
        <v/>
      </c>
      <c r="BV930" s="27"/>
      <c r="BW930" s="29"/>
      <c r="BX930" s="27"/>
      <c r="BY930" s="27"/>
      <c r="BZ930" s="28" t="str">
        <f aca="false">IF(N(E930)=0,"",IF(E930&lt;65,"Under 65","≥65"))</f>
        <v/>
      </c>
      <c r="CA930" s="28" t="str">
        <f aca="false">IF(OR(AC930="Yes",AC930="No"),AC930,"")</f>
        <v/>
      </c>
      <c r="CB930" s="28" t="str">
        <f aca="false">IF(OR(AD930="Yes",AD930="No"),AD930,"")</f>
        <v/>
      </c>
      <c r="CC930" s="28" t="str">
        <f aca="false">IF(F930="","",F930)</f>
        <v/>
      </c>
      <c r="CD930" s="27"/>
      <c r="CE930" s="27"/>
    </row>
    <row r="931" customFormat="false" ht="15" hidden="false" customHeight="false" outlineLevel="0" collapsed="false">
      <c r="A931" s="27"/>
      <c r="B931" s="27"/>
      <c r="C931" s="27"/>
      <c r="D931" s="27"/>
      <c r="E931" s="27"/>
      <c r="F931" s="27"/>
      <c r="G931" s="27"/>
      <c r="H931" s="27"/>
      <c r="I931" s="27"/>
      <c r="J931" s="28" t="str">
        <f aca="false">IF(AND(N(H931)&gt;0,N(I931)&gt;0),ROUND(I931/(H931/100)^2,1),"")</f>
        <v/>
      </c>
      <c r="K931" s="27"/>
      <c r="L931" s="27"/>
      <c r="M931" s="27"/>
      <c r="N931" s="27"/>
      <c r="O931" s="27"/>
      <c r="P931" s="27"/>
      <c r="Q931" s="27"/>
      <c r="R931" s="29"/>
      <c r="S931" s="29"/>
      <c r="T931" s="27"/>
      <c r="U931" s="28" t="str">
        <f aca="false">IF(N(T931)=0,"",IF(T931&lt;12,"Under 12 months",IF(T931&lt;36,"12-35 months",IF(T931&lt;60,"36-59 months","≥60 months"))))</f>
        <v/>
      </c>
      <c r="V931" s="27"/>
      <c r="W931" s="30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9"/>
      <c r="AT931" s="30"/>
      <c r="AU931" s="30"/>
      <c r="AV931" s="30"/>
      <c r="AW931" s="27"/>
      <c r="AX931" s="27"/>
      <c r="AY931" s="29"/>
      <c r="AZ931" s="27"/>
      <c r="BA931" s="27"/>
      <c r="BB931" s="29"/>
      <c r="BC931" s="30"/>
      <c r="BD931" s="30"/>
      <c r="BE931" s="30"/>
      <c r="BF931" s="27"/>
      <c r="BG931" s="27"/>
      <c r="BH931" s="28" t="str">
        <f aca="false">IF(COUNT(BC931:BE931)=0,"",IF(MIN(BC931:BE931)&lt;=-2.5,"Yes","No"))</f>
        <v/>
      </c>
      <c r="BI931" s="27"/>
      <c r="BJ931" s="29"/>
      <c r="BK931" s="27"/>
      <c r="BL931" s="27"/>
      <c r="BM931" s="27"/>
      <c r="BN931" s="28" t="str">
        <f aca="false">IF(OR(AX931="Yes",BI931="Yes"),"Yes",IF(AND(AX931="No",BI931="No"),"No",IF(AND(AX931="",BI931=""),"","Unknown")))</f>
        <v/>
      </c>
      <c r="BO931" s="31" t="str">
        <f aca="false">IF(COUNT(AY931,BJ931)=0,"",MIN(AY931,BJ931))</f>
        <v/>
      </c>
      <c r="BP931" s="29"/>
      <c r="BQ931" s="29"/>
      <c r="BR931" s="29"/>
      <c r="BS931" s="28" t="str">
        <f aca="false">IF(AND(N(BP931)&gt;0,N(BR931)&gt;0),BR931-BP931,"")</f>
        <v/>
      </c>
      <c r="BT931" s="28" t="str">
        <f aca="false">IF(BS931="","",ROUND(BS931/365.25,2))</f>
        <v/>
      </c>
      <c r="BU931" s="28" t="str">
        <f aca="false">IF(BS931="","",IF(BS931&gt;=730.5,"Yes","No"))</f>
        <v/>
      </c>
      <c r="BV931" s="27"/>
      <c r="BW931" s="29"/>
      <c r="BX931" s="27"/>
      <c r="BY931" s="27"/>
      <c r="BZ931" s="28" t="str">
        <f aca="false">IF(N(E931)=0,"",IF(E931&lt;65,"Under 65","≥65"))</f>
        <v/>
      </c>
      <c r="CA931" s="28" t="str">
        <f aca="false">IF(OR(AC931="Yes",AC931="No"),AC931,"")</f>
        <v/>
      </c>
      <c r="CB931" s="28" t="str">
        <f aca="false">IF(OR(AD931="Yes",AD931="No"),AD931,"")</f>
        <v/>
      </c>
      <c r="CC931" s="28" t="str">
        <f aca="false">IF(F931="","",F931)</f>
        <v/>
      </c>
      <c r="CD931" s="27"/>
      <c r="CE931" s="27"/>
    </row>
    <row r="932" customFormat="false" ht="15" hidden="false" customHeight="false" outlineLevel="0" collapsed="false">
      <c r="A932" s="27"/>
      <c r="B932" s="27"/>
      <c r="C932" s="27"/>
      <c r="D932" s="27"/>
      <c r="E932" s="27"/>
      <c r="F932" s="27"/>
      <c r="G932" s="27"/>
      <c r="H932" s="27"/>
      <c r="I932" s="27"/>
      <c r="J932" s="28" t="str">
        <f aca="false">IF(AND(N(H932)&gt;0,N(I932)&gt;0),ROUND(I932/(H932/100)^2,1),"")</f>
        <v/>
      </c>
      <c r="K932" s="27"/>
      <c r="L932" s="27"/>
      <c r="M932" s="27"/>
      <c r="N932" s="27"/>
      <c r="O932" s="27"/>
      <c r="P932" s="27"/>
      <c r="Q932" s="27"/>
      <c r="R932" s="29"/>
      <c r="S932" s="29"/>
      <c r="T932" s="27"/>
      <c r="U932" s="28" t="str">
        <f aca="false">IF(N(T932)=0,"",IF(T932&lt;12,"Under 12 months",IF(T932&lt;36,"12-35 months",IF(T932&lt;60,"36-59 months","≥60 months"))))</f>
        <v/>
      </c>
      <c r="V932" s="27"/>
      <c r="W932" s="30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9"/>
      <c r="AT932" s="30"/>
      <c r="AU932" s="30"/>
      <c r="AV932" s="30"/>
      <c r="AW932" s="27"/>
      <c r="AX932" s="27"/>
      <c r="AY932" s="29"/>
      <c r="AZ932" s="27"/>
      <c r="BA932" s="27"/>
      <c r="BB932" s="29"/>
      <c r="BC932" s="30"/>
      <c r="BD932" s="30"/>
      <c r="BE932" s="30"/>
      <c r="BF932" s="27"/>
      <c r="BG932" s="27"/>
      <c r="BH932" s="28" t="str">
        <f aca="false">IF(COUNT(BC932:BE932)=0,"",IF(MIN(BC932:BE932)&lt;=-2.5,"Yes","No"))</f>
        <v/>
      </c>
      <c r="BI932" s="27"/>
      <c r="BJ932" s="29"/>
      <c r="BK932" s="27"/>
      <c r="BL932" s="27"/>
      <c r="BM932" s="27"/>
      <c r="BN932" s="28" t="str">
        <f aca="false">IF(OR(AX932="Yes",BI932="Yes"),"Yes",IF(AND(AX932="No",BI932="No"),"No",IF(AND(AX932="",BI932=""),"","Unknown")))</f>
        <v/>
      </c>
      <c r="BO932" s="31" t="str">
        <f aca="false">IF(COUNT(AY932,BJ932)=0,"",MIN(AY932,BJ932))</f>
        <v/>
      </c>
      <c r="BP932" s="29"/>
      <c r="BQ932" s="29"/>
      <c r="BR932" s="29"/>
      <c r="BS932" s="28" t="str">
        <f aca="false">IF(AND(N(BP932)&gt;0,N(BR932)&gt;0),BR932-BP932,"")</f>
        <v/>
      </c>
      <c r="BT932" s="28" t="str">
        <f aca="false">IF(BS932="","",ROUND(BS932/365.25,2))</f>
        <v/>
      </c>
      <c r="BU932" s="28" t="str">
        <f aca="false">IF(BS932="","",IF(BS932&gt;=730.5,"Yes","No"))</f>
        <v/>
      </c>
      <c r="BV932" s="27"/>
      <c r="BW932" s="29"/>
      <c r="BX932" s="27"/>
      <c r="BY932" s="27"/>
      <c r="BZ932" s="28" t="str">
        <f aca="false">IF(N(E932)=0,"",IF(E932&lt;65,"Under 65","≥65"))</f>
        <v/>
      </c>
      <c r="CA932" s="28" t="str">
        <f aca="false">IF(OR(AC932="Yes",AC932="No"),AC932,"")</f>
        <v/>
      </c>
      <c r="CB932" s="28" t="str">
        <f aca="false">IF(OR(AD932="Yes",AD932="No"),AD932,"")</f>
        <v/>
      </c>
      <c r="CC932" s="28" t="str">
        <f aca="false">IF(F932="","",F932)</f>
        <v/>
      </c>
      <c r="CD932" s="27"/>
      <c r="CE932" s="27"/>
    </row>
    <row r="933" customFormat="false" ht="15" hidden="false" customHeight="false" outlineLevel="0" collapsed="false">
      <c r="A933" s="27"/>
      <c r="B933" s="27"/>
      <c r="C933" s="27"/>
      <c r="D933" s="27"/>
      <c r="E933" s="27"/>
      <c r="F933" s="27"/>
      <c r="G933" s="27"/>
      <c r="H933" s="27"/>
      <c r="I933" s="27"/>
      <c r="J933" s="28" t="str">
        <f aca="false">IF(AND(N(H933)&gt;0,N(I933)&gt;0),ROUND(I933/(H933/100)^2,1),"")</f>
        <v/>
      </c>
      <c r="K933" s="27"/>
      <c r="L933" s="27"/>
      <c r="M933" s="27"/>
      <c r="N933" s="27"/>
      <c r="O933" s="27"/>
      <c r="P933" s="27"/>
      <c r="Q933" s="27"/>
      <c r="R933" s="29"/>
      <c r="S933" s="29"/>
      <c r="T933" s="27"/>
      <c r="U933" s="28" t="str">
        <f aca="false">IF(N(T933)=0,"",IF(T933&lt;12,"Under 12 months",IF(T933&lt;36,"12-35 months",IF(T933&lt;60,"36-59 months","≥60 months"))))</f>
        <v/>
      </c>
      <c r="V933" s="27"/>
      <c r="W933" s="30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9"/>
      <c r="AT933" s="30"/>
      <c r="AU933" s="30"/>
      <c r="AV933" s="30"/>
      <c r="AW933" s="27"/>
      <c r="AX933" s="27"/>
      <c r="AY933" s="29"/>
      <c r="AZ933" s="27"/>
      <c r="BA933" s="27"/>
      <c r="BB933" s="29"/>
      <c r="BC933" s="30"/>
      <c r="BD933" s="30"/>
      <c r="BE933" s="30"/>
      <c r="BF933" s="27"/>
      <c r="BG933" s="27"/>
      <c r="BH933" s="28" t="str">
        <f aca="false">IF(COUNT(BC933:BE933)=0,"",IF(MIN(BC933:BE933)&lt;=-2.5,"Yes","No"))</f>
        <v/>
      </c>
      <c r="BI933" s="27"/>
      <c r="BJ933" s="29"/>
      <c r="BK933" s="27"/>
      <c r="BL933" s="27"/>
      <c r="BM933" s="27"/>
      <c r="BN933" s="28" t="str">
        <f aca="false">IF(OR(AX933="Yes",BI933="Yes"),"Yes",IF(AND(AX933="No",BI933="No"),"No",IF(AND(AX933="",BI933=""),"","Unknown")))</f>
        <v/>
      </c>
      <c r="BO933" s="31" t="str">
        <f aca="false">IF(COUNT(AY933,BJ933)=0,"",MIN(AY933,BJ933))</f>
        <v/>
      </c>
      <c r="BP933" s="29"/>
      <c r="BQ933" s="29"/>
      <c r="BR933" s="29"/>
      <c r="BS933" s="28" t="str">
        <f aca="false">IF(AND(N(BP933)&gt;0,N(BR933)&gt;0),BR933-BP933,"")</f>
        <v/>
      </c>
      <c r="BT933" s="28" t="str">
        <f aca="false">IF(BS933="","",ROUND(BS933/365.25,2))</f>
        <v/>
      </c>
      <c r="BU933" s="28" t="str">
        <f aca="false">IF(BS933="","",IF(BS933&gt;=730.5,"Yes","No"))</f>
        <v/>
      </c>
      <c r="BV933" s="27"/>
      <c r="BW933" s="29"/>
      <c r="BX933" s="27"/>
      <c r="BY933" s="27"/>
      <c r="BZ933" s="28" t="str">
        <f aca="false">IF(N(E933)=0,"",IF(E933&lt;65,"Under 65","≥65"))</f>
        <v/>
      </c>
      <c r="CA933" s="28" t="str">
        <f aca="false">IF(OR(AC933="Yes",AC933="No"),AC933,"")</f>
        <v/>
      </c>
      <c r="CB933" s="28" t="str">
        <f aca="false">IF(OR(AD933="Yes",AD933="No"),AD933,"")</f>
        <v/>
      </c>
      <c r="CC933" s="28" t="str">
        <f aca="false">IF(F933="","",F933)</f>
        <v/>
      </c>
      <c r="CD933" s="27"/>
      <c r="CE933" s="27"/>
    </row>
    <row r="934" customFormat="false" ht="15" hidden="false" customHeight="false" outlineLevel="0" collapsed="false">
      <c r="A934" s="27"/>
      <c r="B934" s="27"/>
      <c r="C934" s="27"/>
      <c r="D934" s="27"/>
      <c r="E934" s="27"/>
      <c r="F934" s="27"/>
      <c r="G934" s="27"/>
      <c r="H934" s="27"/>
      <c r="I934" s="27"/>
      <c r="J934" s="28" t="str">
        <f aca="false">IF(AND(N(H934)&gt;0,N(I934)&gt;0),ROUND(I934/(H934/100)^2,1),"")</f>
        <v/>
      </c>
      <c r="K934" s="27"/>
      <c r="L934" s="27"/>
      <c r="M934" s="27"/>
      <c r="N934" s="27"/>
      <c r="O934" s="27"/>
      <c r="P934" s="27"/>
      <c r="Q934" s="27"/>
      <c r="R934" s="29"/>
      <c r="S934" s="29"/>
      <c r="T934" s="27"/>
      <c r="U934" s="28" t="str">
        <f aca="false">IF(N(T934)=0,"",IF(T934&lt;12,"Under 12 months",IF(T934&lt;36,"12-35 months",IF(T934&lt;60,"36-59 months","≥60 months"))))</f>
        <v/>
      </c>
      <c r="V934" s="27"/>
      <c r="W934" s="30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9"/>
      <c r="AT934" s="30"/>
      <c r="AU934" s="30"/>
      <c r="AV934" s="30"/>
      <c r="AW934" s="27"/>
      <c r="AX934" s="27"/>
      <c r="AY934" s="29"/>
      <c r="AZ934" s="27"/>
      <c r="BA934" s="27"/>
      <c r="BB934" s="29"/>
      <c r="BC934" s="30"/>
      <c r="BD934" s="30"/>
      <c r="BE934" s="30"/>
      <c r="BF934" s="27"/>
      <c r="BG934" s="27"/>
      <c r="BH934" s="28" t="str">
        <f aca="false">IF(COUNT(BC934:BE934)=0,"",IF(MIN(BC934:BE934)&lt;=-2.5,"Yes","No"))</f>
        <v/>
      </c>
      <c r="BI934" s="27"/>
      <c r="BJ934" s="29"/>
      <c r="BK934" s="27"/>
      <c r="BL934" s="27"/>
      <c r="BM934" s="27"/>
      <c r="BN934" s="28" t="str">
        <f aca="false">IF(OR(AX934="Yes",BI934="Yes"),"Yes",IF(AND(AX934="No",BI934="No"),"No",IF(AND(AX934="",BI934=""),"","Unknown")))</f>
        <v/>
      </c>
      <c r="BO934" s="31" t="str">
        <f aca="false">IF(COUNT(AY934,BJ934)=0,"",MIN(AY934,BJ934))</f>
        <v/>
      </c>
      <c r="BP934" s="29"/>
      <c r="BQ934" s="29"/>
      <c r="BR934" s="29"/>
      <c r="BS934" s="28" t="str">
        <f aca="false">IF(AND(N(BP934)&gt;0,N(BR934)&gt;0),BR934-BP934,"")</f>
        <v/>
      </c>
      <c r="BT934" s="28" t="str">
        <f aca="false">IF(BS934="","",ROUND(BS934/365.25,2))</f>
        <v/>
      </c>
      <c r="BU934" s="28" t="str">
        <f aca="false">IF(BS934="","",IF(BS934&gt;=730.5,"Yes","No"))</f>
        <v/>
      </c>
      <c r="BV934" s="27"/>
      <c r="BW934" s="29"/>
      <c r="BX934" s="27"/>
      <c r="BY934" s="27"/>
      <c r="BZ934" s="28" t="str">
        <f aca="false">IF(N(E934)=0,"",IF(E934&lt;65,"Under 65","≥65"))</f>
        <v/>
      </c>
      <c r="CA934" s="28" t="str">
        <f aca="false">IF(OR(AC934="Yes",AC934="No"),AC934,"")</f>
        <v/>
      </c>
      <c r="CB934" s="28" t="str">
        <f aca="false">IF(OR(AD934="Yes",AD934="No"),AD934,"")</f>
        <v/>
      </c>
      <c r="CC934" s="28" t="str">
        <f aca="false">IF(F934="","",F934)</f>
        <v/>
      </c>
      <c r="CD934" s="27"/>
      <c r="CE934" s="27"/>
    </row>
    <row r="935" customFormat="false" ht="15" hidden="false" customHeight="false" outlineLevel="0" collapsed="false">
      <c r="A935" s="27"/>
      <c r="B935" s="27"/>
      <c r="C935" s="27"/>
      <c r="D935" s="27"/>
      <c r="E935" s="27"/>
      <c r="F935" s="27"/>
      <c r="G935" s="27"/>
      <c r="H935" s="27"/>
      <c r="I935" s="27"/>
      <c r="J935" s="28" t="str">
        <f aca="false">IF(AND(N(H935)&gt;0,N(I935)&gt;0),ROUND(I935/(H935/100)^2,1),"")</f>
        <v/>
      </c>
      <c r="K935" s="27"/>
      <c r="L935" s="27"/>
      <c r="M935" s="27"/>
      <c r="N935" s="27"/>
      <c r="O935" s="27"/>
      <c r="P935" s="27"/>
      <c r="Q935" s="27"/>
      <c r="R935" s="29"/>
      <c r="S935" s="29"/>
      <c r="T935" s="27"/>
      <c r="U935" s="28" t="str">
        <f aca="false">IF(N(T935)=0,"",IF(T935&lt;12,"Under 12 months",IF(T935&lt;36,"12-35 months",IF(T935&lt;60,"36-59 months","≥60 months"))))</f>
        <v/>
      </c>
      <c r="V935" s="27"/>
      <c r="W935" s="30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9"/>
      <c r="AT935" s="30"/>
      <c r="AU935" s="30"/>
      <c r="AV935" s="30"/>
      <c r="AW935" s="27"/>
      <c r="AX935" s="27"/>
      <c r="AY935" s="29"/>
      <c r="AZ935" s="27"/>
      <c r="BA935" s="27"/>
      <c r="BB935" s="29"/>
      <c r="BC935" s="30"/>
      <c r="BD935" s="30"/>
      <c r="BE935" s="30"/>
      <c r="BF935" s="27"/>
      <c r="BG935" s="27"/>
      <c r="BH935" s="28" t="str">
        <f aca="false">IF(COUNT(BC935:BE935)=0,"",IF(MIN(BC935:BE935)&lt;=-2.5,"Yes","No"))</f>
        <v/>
      </c>
      <c r="BI935" s="27"/>
      <c r="BJ935" s="29"/>
      <c r="BK935" s="27"/>
      <c r="BL935" s="27"/>
      <c r="BM935" s="27"/>
      <c r="BN935" s="28" t="str">
        <f aca="false">IF(OR(AX935="Yes",BI935="Yes"),"Yes",IF(AND(AX935="No",BI935="No"),"No",IF(AND(AX935="",BI935=""),"","Unknown")))</f>
        <v/>
      </c>
      <c r="BO935" s="31" t="str">
        <f aca="false">IF(COUNT(AY935,BJ935)=0,"",MIN(AY935,BJ935))</f>
        <v/>
      </c>
      <c r="BP935" s="29"/>
      <c r="BQ935" s="29"/>
      <c r="BR935" s="29"/>
      <c r="BS935" s="28" t="str">
        <f aca="false">IF(AND(N(BP935)&gt;0,N(BR935)&gt;0),BR935-BP935,"")</f>
        <v/>
      </c>
      <c r="BT935" s="28" t="str">
        <f aca="false">IF(BS935="","",ROUND(BS935/365.25,2))</f>
        <v/>
      </c>
      <c r="BU935" s="28" t="str">
        <f aca="false">IF(BS935="","",IF(BS935&gt;=730.5,"Yes","No"))</f>
        <v/>
      </c>
      <c r="BV935" s="27"/>
      <c r="BW935" s="29"/>
      <c r="BX935" s="27"/>
      <c r="BY935" s="27"/>
      <c r="BZ935" s="28" t="str">
        <f aca="false">IF(N(E935)=0,"",IF(E935&lt;65,"Under 65","≥65"))</f>
        <v/>
      </c>
      <c r="CA935" s="28" t="str">
        <f aca="false">IF(OR(AC935="Yes",AC935="No"),AC935,"")</f>
        <v/>
      </c>
      <c r="CB935" s="28" t="str">
        <f aca="false">IF(OR(AD935="Yes",AD935="No"),AD935,"")</f>
        <v/>
      </c>
      <c r="CC935" s="28" t="str">
        <f aca="false">IF(F935="","",F935)</f>
        <v/>
      </c>
      <c r="CD935" s="27"/>
      <c r="CE935" s="27"/>
    </row>
    <row r="936" customFormat="false" ht="15" hidden="false" customHeight="false" outlineLevel="0" collapsed="false">
      <c r="A936" s="27"/>
      <c r="B936" s="27"/>
      <c r="C936" s="27"/>
      <c r="D936" s="27"/>
      <c r="E936" s="27"/>
      <c r="F936" s="27"/>
      <c r="G936" s="27"/>
      <c r="H936" s="27"/>
      <c r="I936" s="27"/>
      <c r="J936" s="28" t="str">
        <f aca="false">IF(AND(N(H936)&gt;0,N(I936)&gt;0),ROUND(I936/(H936/100)^2,1),"")</f>
        <v/>
      </c>
      <c r="K936" s="27"/>
      <c r="L936" s="27"/>
      <c r="M936" s="27"/>
      <c r="N936" s="27"/>
      <c r="O936" s="27"/>
      <c r="P936" s="27"/>
      <c r="Q936" s="27"/>
      <c r="R936" s="29"/>
      <c r="S936" s="29"/>
      <c r="T936" s="27"/>
      <c r="U936" s="28" t="str">
        <f aca="false">IF(N(T936)=0,"",IF(T936&lt;12,"Under 12 months",IF(T936&lt;36,"12-35 months",IF(T936&lt;60,"36-59 months","≥60 months"))))</f>
        <v/>
      </c>
      <c r="V936" s="27"/>
      <c r="W936" s="30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9"/>
      <c r="AT936" s="30"/>
      <c r="AU936" s="30"/>
      <c r="AV936" s="30"/>
      <c r="AW936" s="27"/>
      <c r="AX936" s="27"/>
      <c r="AY936" s="29"/>
      <c r="AZ936" s="27"/>
      <c r="BA936" s="27"/>
      <c r="BB936" s="29"/>
      <c r="BC936" s="30"/>
      <c r="BD936" s="30"/>
      <c r="BE936" s="30"/>
      <c r="BF936" s="27"/>
      <c r="BG936" s="27"/>
      <c r="BH936" s="28" t="str">
        <f aca="false">IF(COUNT(BC936:BE936)=0,"",IF(MIN(BC936:BE936)&lt;=-2.5,"Yes","No"))</f>
        <v/>
      </c>
      <c r="BI936" s="27"/>
      <c r="BJ936" s="29"/>
      <c r="BK936" s="27"/>
      <c r="BL936" s="27"/>
      <c r="BM936" s="27"/>
      <c r="BN936" s="28" t="str">
        <f aca="false">IF(OR(AX936="Yes",BI936="Yes"),"Yes",IF(AND(AX936="No",BI936="No"),"No",IF(AND(AX936="",BI936=""),"","Unknown")))</f>
        <v/>
      </c>
      <c r="BO936" s="31" t="str">
        <f aca="false">IF(COUNT(AY936,BJ936)=0,"",MIN(AY936,BJ936))</f>
        <v/>
      </c>
      <c r="BP936" s="29"/>
      <c r="BQ936" s="29"/>
      <c r="BR936" s="29"/>
      <c r="BS936" s="28" t="str">
        <f aca="false">IF(AND(N(BP936)&gt;0,N(BR936)&gt;0),BR936-BP936,"")</f>
        <v/>
      </c>
      <c r="BT936" s="28" t="str">
        <f aca="false">IF(BS936="","",ROUND(BS936/365.25,2))</f>
        <v/>
      </c>
      <c r="BU936" s="28" t="str">
        <f aca="false">IF(BS936="","",IF(BS936&gt;=730.5,"Yes","No"))</f>
        <v/>
      </c>
      <c r="BV936" s="27"/>
      <c r="BW936" s="29"/>
      <c r="BX936" s="27"/>
      <c r="BY936" s="27"/>
      <c r="BZ936" s="28" t="str">
        <f aca="false">IF(N(E936)=0,"",IF(E936&lt;65,"Under 65","≥65"))</f>
        <v/>
      </c>
      <c r="CA936" s="28" t="str">
        <f aca="false">IF(OR(AC936="Yes",AC936="No"),AC936,"")</f>
        <v/>
      </c>
      <c r="CB936" s="28" t="str">
        <f aca="false">IF(OR(AD936="Yes",AD936="No"),AD936,"")</f>
        <v/>
      </c>
      <c r="CC936" s="28" t="str">
        <f aca="false">IF(F936="","",F936)</f>
        <v/>
      </c>
      <c r="CD936" s="27"/>
      <c r="CE936" s="27"/>
    </row>
    <row r="937" customFormat="false" ht="15" hidden="false" customHeight="false" outlineLevel="0" collapsed="false">
      <c r="A937" s="27"/>
      <c r="B937" s="27"/>
      <c r="C937" s="27"/>
      <c r="D937" s="27"/>
      <c r="E937" s="27"/>
      <c r="F937" s="27"/>
      <c r="G937" s="27"/>
      <c r="H937" s="27"/>
      <c r="I937" s="27"/>
      <c r="J937" s="28" t="str">
        <f aca="false">IF(AND(N(H937)&gt;0,N(I937)&gt;0),ROUND(I937/(H937/100)^2,1),"")</f>
        <v/>
      </c>
      <c r="K937" s="27"/>
      <c r="L937" s="27"/>
      <c r="M937" s="27"/>
      <c r="N937" s="27"/>
      <c r="O937" s="27"/>
      <c r="P937" s="27"/>
      <c r="Q937" s="27"/>
      <c r="R937" s="29"/>
      <c r="S937" s="29"/>
      <c r="T937" s="27"/>
      <c r="U937" s="28" t="str">
        <f aca="false">IF(N(T937)=0,"",IF(T937&lt;12,"Under 12 months",IF(T937&lt;36,"12-35 months",IF(T937&lt;60,"36-59 months","≥60 months"))))</f>
        <v/>
      </c>
      <c r="V937" s="27"/>
      <c r="W937" s="30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9"/>
      <c r="AT937" s="30"/>
      <c r="AU937" s="30"/>
      <c r="AV937" s="30"/>
      <c r="AW937" s="27"/>
      <c r="AX937" s="27"/>
      <c r="AY937" s="29"/>
      <c r="AZ937" s="27"/>
      <c r="BA937" s="27"/>
      <c r="BB937" s="29"/>
      <c r="BC937" s="30"/>
      <c r="BD937" s="30"/>
      <c r="BE937" s="30"/>
      <c r="BF937" s="27"/>
      <c r="BG937" s="27"/>
      <c r="BH937" s="28" t="str">
        <f aca="false">IF(COUNT(BC937:BE937)=0,"",IF(MIN(BC937:BE937)&lt;=-2.5,"Yes","No"))</f>
        <v/>
      </c>
      <c r="BI937" s="27"/>
      <c r="BJ937" s="29"/>
      <c r="BK937" s="27"/>
      <c r="BL937" s="27"/>
      <c r="BM937" s="27"/>
      <c r="BN937" s="28" t="str">
        <f aca="false">IF(OR(AX937="Yes",BI937="Yes"),"Yes",IF(AND(AX937="No",BI937="No"),"No",IF(AND(AX937="",BI937=""),"","Unknown")))</f>
        <v/>
      </c>
      <c r="BO937" s="31" t="str">
        <f aca="false">IF(COUNT(AY937,BJ937)=0,"",MIN(AY937,BJ937))</f>
        <v/>
      </c>
      <c r="BP937" s="29"/>
      <c r="BQ937" s="29"/>
      <c r="BR937" s="29"/>
      <c r="BS937" s="28" t="str">
        <f aca="false">IF(AND(N(BP937)&gt;0,N(BR937)&gt;0),BR937-BP937,"")</f>
        <v/>
      </c>
      <c r="BT937" s="28" t="str">
        <f aca="false">IF(BS937="","",ROUND(BS937/365.25,2))</f>
        <v/>
      </c>
      <c r="BU937" s="28" t="str">
        <f aca="false">IF(BS937="","",IF(BS937&gt;=730.5,"Yes","No"))</f>
        <v/>
      </c>
      <c r="BV937" s="27"/>
      <c r="BW937" s="29"/>
      <c r="BX937" s="27"/>
      <c r="BY937" s="27"/>
      <c r="BZ937" s="28" t="str">
        <f aca="false">IF(N(E937)=0,"",IF(E937&lt;65,"Under 65","≥65"))</f>
        <v/>
      </c>
      <c r="CA937" s="28" t="str">
        <f aca="false">IF(OR(AC937="Yes",AC937="No"),AC937,"")</f>
        <v/>
      </c>
      <c r="CB937" s="28" t="str">
        <f aca="false">IF(OR(AD937="Yes",AD937="No"),AD937,"")</f>
        <v/>
      </c>
      <c r="CC937" s="28" t="str">
        <f aca="false">IF(F937="","",F937)</f>
        <v/>
      </c>
      <c r="CD937" s="27"/>
      <c r="CE937" s="27"/>
    </row>
    <row r="938" customFormat="false" ht="15" hidden="false" customHeight="false" outlineLevel="0" collapsed="false">
      <c r="A938" s="27"/>
      <c r="B938" s="27"/>
      <c r="C938" s="27"/>
      <c r="D938" s="27"/>
      <c r="E938" s="27"/>
      <c r="F938" s="27"/>
      <c r="G938" s="27"/>
      <c r="H938" s="27"/>
      <c r="I938" s="27"/>
      <c r="J938" s="28" t="str">
        <f aca="false">IF(AND(N(H938)&gt;0,N(I938)&gt;0),ROUND(I938/(H938/100)^2,1),"")</f>
        <v/>
      </c>
      <c r="K938" s="27"/>
      <c r="L938" s="27"/>
      <c r="M938" s="27"/>
      <c r="N938" s="27"/>
      <c r="O938" s="27"/>
      <c r="P938" s="27"/>
      <c r="Q938" s="27"/>
      <c r="R938" s="29"/>
      <c r="S938" s="29"/>
      <c r="T938" s="27"/>
      <c r="U938" s="28" t="str">
        <f aca="false">IF(N(T938)=0,"",IF(T938&lt;12,"Under 12 months",IF(T938&lt;36,"12-35 months",IF(T938&lt;60,"36-59 months","≥60 months"))))</f>
        <v/>
      </c>
      <c r="V938" s="27"/>
      <c r="W938" s="30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9"/>
      <c r="AT938" s="30"/>
      <c r="AU938" s="30"/>
      <c r="AV938" s="30"/>
      <c r="AW938" s="27"/>
      <c r="AX938" s="27"/>
      <c r="AY938" s="29"/>
      <c r="AZ938" s="27"/>
      <c r="BA938" s="27"/>
      <c r="BB938" s="29"/>
      <c r="BC938" s="30"/>
      <c r="BD938" s="30"/>
      <c r="BE938" s="30"/>
      <c r="BF938" s="27"/>
      <c r="BG938" s="27"/>
      <c r="BH938" s="28" t="str">
        <f aca="false">IF(COUNT(BC938:BE938)=0,"",IF(MIN(BC938:BE938)&lt;=-2.5,"Yes","No"))</f>
        <v/>
      </c>
      <c r="BI938" s="27"/>
      <c r="BJ938" s="29"/>
      <c r="BK938" s="27"/>
      <c r="BL938" s="27"/>
      <c r="BM938" s="27"/>
      <c r="BN938" s="28" t="str">
        <f aca="false">IF(OR(AX938="Yes",BI938="Yes"),"Yes",IF(AND(AX938="No",BI938="No"),"No",IF(AND(AX938="",BI938=""),"","Unknown")))</f>
        <v/>
      </c>
      <c r="BO938" s="31" t="str">
        <f aca="false">IF(COUNT(AY938,BJ938)=0,"",MIN(AY938,BJ938))</f>
        <v/>
      </c>
      <c r="BP938" s="29"/>
      <c r="BQ938" s="29"/>
      <c r="BR938" s="29"/>
      <c r="BS938" s="28" t="str">
        <f aca="false">IF(AND(N(BP938)&gt;0,N(BR938)&gt;0),BR938-BP938,"")</f>
        <v/>
      </c>
      <c r="BT938" s="28" t="str">
        <f aca="false">IF(BS938="","",ROUND(BS938/365.25,2))</f>
        <v/>
      </c>
      <c r="BU938" s="28" t="str">
        <f aca="false">IF(BS938="","",IF(BS938&gt;=730.5,"Yes","No"))</f>
        <v/>
      </c>
      <c r="BV938" s="27"/>
      <c r="BW938" s="29"/>
      <c r="BX938" s="27"/>
      <c r="BY938" s="27"/>
      <c r="BZ938" s="28" t="str">
        <f aca="false">IF(N(E938)=0,"",IF(E938&lt;65,"Under 65","≥65"))</f>
        <v/>
      </c>
      <c r="CA938" s="28" t="str">
        <f aca="false">IF(OR(AC938="Yes",AC938="No"),AC938,"")</f>
        <v/>
      </c>
      <c r="CB938" s="28" t="str">
        <f aca="false">IF(OR(AD938="Yes",AD938="No"),AD938,"")</f>
        <v/>
      </c>
      <c r="CC938" s="28" t="str">
        <f aca="false">IF(F938="","",F938)</f>
        <v/>
      </c>
      <c r="CD938" s="27"/>
      <c r="CE938" s="27"/>
    </row>
    <row r="939" customFormat="false" ht="15" hidden="false" customHeight="false" outlineLevel="0" collapsed="false">
      <c r="A939" s="27"/>
      <c r="B939" s="27"/>
      <c r="C939" s="27"/>
      <c r="D939" s="27"/>
      <c r="E939" s="27"/>
      <c r="F939" s="27"/>
      <c r="G939" s="27"/>
      <c r="H939" s="27"/>
      <c r="I939" s="27"/>
      <c r="J939" s="28" t="str">
        <f aca="false">IF(AND(N(H939)&gt;0,N(I939)&gt;0),ROUND(I939/(H939/100)^2,1),"")</f>
        <v/>
      </c>
      <c r="K939" s="27"/>
      <c r="L939" s="27"/>
      <c r="M939" s="27"/>
      <c r="N939" s="27"/>
      <c r="O939" s="27"/>
      <c r="P939" s="27"/>
      <c r="Q939" s="27"/>
      <c r="R939" s="29"/>
      <c r="S939" s="29"/>
      <c r="T939" s="27"/>
      <c r="U939" s="28" t="str">
        <f aca="false">IF(N(T939)=0,"",IF(T939&lt;12,"Under 12 months",IF(T939&lt;36,"12-35 months",IF(T939&lt;60,"36-59 months","≥60 months"))))</f>
        <v/>
      </c>
      <c r="V939" s="27"/>
      <c r="W939" s="30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9"/>
      <c r="AT939" s="30"/>
      <c r="AU939" s="30"/>
      <c r="AV939" s="30"/>
      <c r="AW939" s="27"/>
      <c r="AX939" s="27"/>
      <c r="AY939" s="29"/>
      <c r="AZ939" s="27"/>
      <c r="BA939" s="27"/>
      <c r="BB939" s="29"/>
      <c r="BC939" s="30"/>
      <c r="BD939" s="30"/>
      <c r="BE939" s="30"/>
      <c r="BF939" s="27"/>
      <c r="BG939" s="27"/>
      <c r="BH939" s="28" t="str">
        <f aca="false">IF(COUNT(BC939:BE939)=0,"",IF(MIN(BC939:BE939)&lt;=-2.5,"Yes","No"))</f>
        <v/>
      </c>
      <c r="BI939" s="27"/>
      <c r="BJ939" s="29"/>
      <c r="BK939" s="27"/>
      <c r="BL939" s="27"/>
      <c r="BM939" s="27"/>
      <c r="BN939" s="28" t="str">
        <f aca="false">IF(OR(AX939="Yes",BI939="Yes"),"Yes",IF(AND(AX939="No",BI939="No"),"No",IF(AND(AX939="",BI939=""),"","Unknown")))</f>
        <v/>
      </c>
      <c r="BO939" s="31" t="str">
        <f aca="false">IF(COUNT(AY939,BJ939)=0,"",MIN(AY939,BJ939))</f>
        <v/>
      </c>
      <c r="BP939" s="29"/>
      <c r="BQ939" s="29"/>
      <c r="BR939" s="29"/>
      <c r="BS939" s="28" t="str">
        <f aca="false">IF(AND(N(BP939)&gt;0,N(BR939)&gt;0),BR939-BP939,"")</f>
        <v/>
      </c>
      <c r="BT939" s="28" t="str">
        <f aca="false">IF(BS939="","",ROUND(BS939/365.25,2))</f>
        <v/>
      </c>
      <c r="BU939" s="28" t="str">
        <f aca="false">IF(BS939="","",IF(BS939&gt;=730.5,"Yes","No"))</f>
        <v/>
      </c>
      <c r="BV939" s="27"/>
      <c r="BW939" s="29"/>
      <c r="BX939" s="27"/>
      <c r="BY939" s="27"/>
      <c r="BZ939" s="28" t="str">
        <f aca="false">IF(N(E939)=0,"",IF(E939&lt;65,"Under 65","≥65"))</f>
        <v/>
      </c>
      <c r="CA939" s="28" t="str">
        <f aca="false">IF(OR(AC939="Yes",AC939="No"),AC939,"")</f>
        <v/>
      </c>
      <c r="CB939" s="28" t="str">
        <f aca="false">IF(OR(AD939="Yes",AD939="No"),AD939,"")</f>
        <v/>
      </c>
      <c r="CC939" s="28" t="str">
        <f aca="false">IF(F939="","",F939)</f>
        <v/>
      </c>
      <c r="CD939" s="27"/>
      <c r="CE939" s="27"/>
    </row>
    <row r="940" customFormat="false" ht="15" hidden="false" customHeight="false" outlineLevel="0" collapsed="false">
      <c r="A940" s="27"/>
      <c r="B940" s="27"/>
      <c r="C940" s="27"/>
      <c r="D940" s="27"/>
      <c r="E940" s="27"/>
      <c r="F940" s="27"/>
      <c r="G940" s="27"/>
      <c r="H940" s="27"/>
      <c r="I940" s="27"/>
      <c r="J940" s="28" t="str">
        <f aca="false">IF(AND(N(H940)&gt;0,N(I940)&gt;0),ROUND(I940/(H940/100)^2,1),"")</f>
        <v/>
      </c>
      <c r="K940" s="27"/>
      <c r="L940" s="27"/>
      <c r="M940" s="27"/>
      <c r="N940" s="27"/>
      <c r="O940" s="27"/>
      <c r="P940" s="27"/>
      <c r="Q940" s="27"/>
      <c r="R940" s="29"/>
      <c r="S940" s="29"/>
      <c r="T940" s="27"/>
      <c r="U940" s="28" t="str">
        <f aca="false">IF(N(T940)=0,"",IF(T940&lt;12,"Under 12 months",IF(T940&lt;36,"12-35 months",IF(T940&lt;60,"36-59 months","≥60 months"))))</f>
        <v/>
      </c>
      <c r="V940" s="27"/>
      <c r="W940" s="30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9"/>
      <c r="AT940" s="30"/>
      <c r="AU940" s="30"/>
      <c r="AV940" s="30"/>
      <c r="AW940" s="27"/>
      <c r="AX940" s="27"/>
      <c r="AY940" s="29"/>
      <c r="AZ940" s="27"/>
      <c r="BA940" s="27"/>
      <c r="BB940" s="29"/>
      <c r="BC940" s="30"/>
      <c r="BD940" s="30"/>
      <c r="BE940" s="30"/>
      <c r="BF940" s="27"/>
      <c r="BG940" s="27"/>
      <c r="BH940" s="28" t="str">
        <f aca="false">IF(COUNT(BC940:BE940)=0,"",IF(MIN(BC940:BE940)&lt;=-2.5,"Yes","No"))</f>
        <v/>
      </c>
      <c r="BI940" s="27"/>
      <c r="BJ940" s="29"/>
      <c r="BK940" s="27"/>
      <c r="BL940" s="27"/>
      <c r="BM940" s="27"/>
      <c r="BN940" s="28" t="str">
        <f aca="false">IF(OR(AX940="Yes",BI940="Yes"),"Yes",IF(AND(AX940="No",BI940="No"),"No",IF(AND(AX940="",BI940=""),"","Unknown")))</f>
        <v/>
      </c>
      <c r="BO940" s="31" t="str">
        <f aca="false">IF(COUNT(AY940,BJ940)=0,"",MIN(AY940,BJ940))</f>
        <v/>
      </c>
      <c r="BP940" s="29"/>
      <c r="BQ940" s="29"/>
      <c r="BR940" s="29"/>
      <c r="BS940" s="28" t="str">
        <f aca="false">IF(AND(N(BP940)&gt;0,N(BR940)&gt;0),BR940-BP940,"")</f>
        <v/>
      </c>
      <c r="BT940" s="28" t="str">
        <f aca="false">IF(BS940="","",ROUND(BS940/365.25,2))</f>
        <v/>
      </c>
      <c r="BU940" s="28" t="str">
        <f aca="false">IF(BS940="","",IF(BS940&gt;=730.5,"Yes","No"))</f>
        <v/>
      </c>
      <c r="BV940" s="27"/>
      <c r="BW940" s="29"/>
      <c r="BX940" s="27"/>
      <c r="BY940" s="27"/>
      <c r="BZ940" s="28" t="str">
        <f aca="false">IF(N(E940)=0,"",IF(E940&lt;65,"Under 65","≥65"))</f>
        <v/>
      </c>
      <c r="CA940" s="28" t="str">
        <f aca="false">IF(OR(AC940="Yes",AC940="No"),AC940,"")</f>
        <v/>
      </c>
      <c r="CB940" s="28" t="str">
        <f aca="false">IF(OR(AD940="Yes",AD940="No"),AD940,"")</f>
        <v/>
      </c>
      <c r="CC940" s="28" t="str">
        <f aca="false">IF(F940="","",F940)</f>
        <v/>
      </c>
      <c r="CD940" s="27"/>
      <c r="CE940" s="27"/>
    </row>
    <row r="941" customFormat="false" ht="15" hidden="false" customHeight="false" outlineLevel="0" collapsed="false">
      <c r="A941" s="27"/>
      <c r="B941" s="27"/>
      <c r="C941" s="27"/>
      <c r="D941" s="27"/>
      <c r="E941" s="27"/>
      <c r="F941" s="27"/>
      <c r="G941" s="27"/>
      <c r="H941" s="27"/>
      <c r="I941" s="27"/>
      <c r="J941" s="28" t="str">
        <f aca="false">IF(AND(N(H941)&gt;0,N(I941)&gt;0),ROUND(I941/(H941/100)^2,1),"")</f>
        <v/>
      </c>
      <c r="K941" s="27"/>
      <c r="L941" s="27"/>
      <c r="M941" s="27"/>
      <c r="N941" s="27"/>
      <c r="O941" s="27"/>
      <c r="P941" s="27"/>
      <c r="Q941" s="27"/>
      <c r="R941" s="29"/>
      <c r="S941" s="29"/>
      <c r="T941" s="27"/>
      <c r="U941" s="28" t="str">
        <f aca="false">IF(N(T941)=0,"",IF(T941&lt;12,"Under 12 months",IF(T941&lt;36,"12-35 months",IF(T941&lt;60,"36-59 months","≥60 months"))))</f>
        <v/>
      </c>
      <c r="V941" s="27"/>
      <c r="W941" s="30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9"/>
      <c r="AT941" s="30"/>
      <c r="AU941" s="30"/>
      <c r="AV941" s="30"/>
      <c r="AW941" s="27"/>
      <c r="AX941" s="27"/>
      <c r="AY941" s="29"/>
      <c r="AZ941" s="27"/>
      <c r="BA941" s="27"/>
      <c r="BB941" s="29"/>
      <c r="BC941" s="30"/>
      <c r="BD941" s="30"/>
      <c r="BE941" s="30"/>
      <c r="BF941" s="27"/>
      <c r="BG941" s="27"/>
      <c r="BH941" s="28" t="str">
        <f aca="false">IF(COUNT(BC941:BE941)=0,"",IF(MIN(BC941:BE941)&lt;=-2.5,"Yes","No"))</f>
        <v/>
      </c>
      <c r="BI941" s="27"/>
      <c r="BJ941" s="29"/>
      <c r="BK941" s="27"/>
      <c r="BL941" s="27"/>
      <c r="BM941" s="27"/>
      <c r="BN941" s="28" t="str">
        <f aca="false">IF(OR(AX941="Yes",BI941="Yes"),"Yes",IF(AND(AX941="No",BI941="No"),"No",IF(AND(AX941="",BI941=""),"","Unknown")))</f>
        <v/>
      </c>
      <c r="BO941" s="31" t="str">
        <f aca="false">IF(COUNT(AY941,BJ941)=0,"",MIN(AY941,BJ941))</f>
        <v/>
      </c>
      <c r="BP941" s="29"/>
      <c r="BQ941" s="29"/>
      <c r="BR941" s="29"/>
      <c r="BS941" s="28" t="str">
        <f aca="false">IF(AND(N(BP941)&gt;0,N(BR941)&gt;0),BR941-BP941,"")</f>
        <v/>
      </c>
      <c r="BT941" s="28" t="str">
        <f aca="false">IF(BS941="","",ROUND(BS941/365.25,2))</f>
        <v/>
      </c>
      <c r="BU941" s="28" t="str">
        <f aca="false">IF(BS941="","",IF(BS941&gt;=730.5,"Yes","No"))</f>
        <v/>
      </c>
      <c r="BV941" s="27"/>
      <c r="BW941" s="29"/>
      <c r="BX941" s="27"/>
      <c r="BY941" s="27"/>
      <c r="BZ941" s="28" t="str">
        <f aca="false">IF(N(E941)=0,"",IF(E941&lt;65,"Under 65","≥65"))</f>
        <v/>
      </c>
      <c r="CA941" s="28" t="str">
        <f aca="false">IF(OR(AC941="Yes",AC941="No"),AC941,"")</f>
        <v/>
      </c>
      <c r="CB941" s="28" t="str">
        <f aca="false">IF(OR(AD941="Yes",AD941="No"),AD941,"")</f>
        <v/>
      </c>
      <c r="CC941" s="28" t="str">
        <f aca="false">IF(F941="","",F941)</f>
        <v/>
      </c>
      <c r="CD941" s="27"/>
      <c r="CE941" s="27"/>
    </row>
    <row r="942" customFormat="false" ht="15" hidden="false" customHeight="false" outlineLevel="0" collapsed="false">
      <c r="A942" s="27"/>
      <c r="B942" s="27"/>
      <c r="C942" s="27"/>
      <c r="D942" s="27"/>
      <c r="E942" s="27"/>
      <c r="F942" s="27"/>
      <c r="G942" s="27"/>
      <c r="H942" s="27"/>
      <c r="I942" s="27"/>
      <c r="J942" s="28" t="str">
        <f aca="false">IF(AND(N(H942)&gt;0,N(I942)&gt;0),ROUND(I942/(H942/100)^2,1),"")</f>
        <v/>
      </c>
      <c r="K942" s="27"/>
      <c r="L942" s="27"/>
      <c r="M942" s="27"/>
      <c r="N942" s="27"/>
      <c r="O942" s="27"/>
      <c r="P942" s="27"/>
      <c r="Q942" s="27"/>
      <c r="R942" s="29"/>
      <c r="S942" s="29"/>
      <c r="T942" s="27"/>
      <c r="U942" s="28" t="str">
        <f aca="false">IF(N(T942)=0,"",IF(T942&lt;12,"Under 12 months",IF(T942&lt;36,"12-35 months",IF(T942&lt;60,"36-59 months","≥60 months"))))</f>
        <v/>
      </c>
      <c r="V942" s="27"/>
      <c r="W942" s="30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9"/>
      <c r="AT942" s="30"/>
      <c r="AU942" s="30"/>
      <c r="AV942" s="30"/>
      <c r="AW942" s="27"/>
      <c r="AX942" s="27"/>
      <c r="AY942" s="29"/>
      <c r="AZ942" s="27"/>
      <c r="BA942" s="27"/>
      <c r="BB942" s="29"/>
      <c r="BC942" s="30"/>
      <c r="BD942" s="30"/>
      <c r="BE942" s="30"/>
      <c r="BF942" s="27"/>
      <c r="BG942" s="27"/>
      <c r="BH942" s="28" t="str">
        <f aca="false">IF(COUNT(BC942:BE942)=0,"",IF(MIN(BC942:BE942)&lt;=-2.5,"Yes","No"))</f>
        <v/>
      </c>
      <c r="BI942" s="27"/>
      <c r="BJ942" s="29"/>
      <c r="BK942" s="27"/>
      <c r="BL942" s="27"/>
      <c r="BM942" s="27"/>
      <c r="BN942" s="28" t="str">
        <f aca="false">IF(OR(AX942="Yes",BI942="Yes"),"Yes",IF(AND(AX942="No",BI942="No"),"No",IF(AND(AX942="",BI942=""),"","Unknown")))</f>
        <v/>
      </c>
      <c r="BO942" s="31" t="str">
        <f aca="false">IF(COUNT(AY942,BJ942)=0,"",MIN(AY942,BJ942))</f>
        <v/>
      </c>
      <c r="BP942" s="29"/>
      <c r="BQ942" s="29"/>
      <c r="BR942" s="29"/>
      <c r="BS942" s="28" t="str">
        <f aca="false">IF(AND(N(BP942)&gt;0,N(BR942)&gt;0),BR942-BP942,"")</f>
        <v/>
      </c>
      <c r="BT942" s="28" t="str">
        <f aca="false">IF(BS942="","",ROUND(BS942/365.25,2))</f>
        <v/>
      </c>
      <c r="BU942" s="28" t="str">
        <f aca="false">IF(BS942="","",IF(BS942&gt;=730.5,"Yes","No"))</f>
        <v/>
      </c>
      <c r="BV942" s="27"/>
      <c r="BW942" s="29"/>
      <c r="BX942" s="27"/>
      <c r="BY942" s="27"/>
      <c r="BZ942" s="28" t="str">
        <f aca="false">IF(N(E942)=0,"",IF(E942&lt;65,"Under 65","≥65"))</f>
        <v/>
      </c>
      <c r="CA942" s="28" t="str">
        <f aca="false">IF(OR(AC942="Yes",AC942="No"),AC942,"")</f>
        <v/>
      </c>
      <c r="CB942" s="28" t="str">
        <f aca="false">IF(OR(AD942="Yes",AD942="No"),AD942,"")</f>
        <v/>
      </c>
      <c r="CC942" s="28" t="str">
        <f aca="false">IF(F942="","",F942)</f>
        <v/>
      </c>
      <c r="CD942" s="27"/>
      <c r="CE942" s="27"/>
    </row>
    <row r="943" customFormat="false" ht="15" hidden="false" customHeight="false" outlineLevel="0" collapsed="false">
      <c r="A943" s="27"/>
      <c r="B943" s="27"/>
      <c r="C943" s="27"/>
      <c r="D943" s="27"/>
      <c r="E943" s="27"/>
      <c r="F943" s="27"/>
      <c r="G943" s="27"/>
      <c r="H943" s="27"/>
      <c r="I943" s="27"/>
      <c r="J943" s="28" t="str">
        <f aca="false">IF(AND(N(H943)&gt;0,N(I943)&gt;0),ROUND(I943/(H943/100)^2,1),"")</f>
        <v/>
      </c>
      <c r="K943" s="27"/>
      <c r="L943" s="27"/>
      <c r="M943" s="27"/>
      <c r="N943" s="27"/>
      <c r="O943" s="27"/>
      <c r="P943" s="27"/>
      <c r="Q943" s="27"/>
      <c r="R943" s="29"/>
      <c r="S943" s="29"/>
      <c r="T943" s="27"/>
      <c r="U943" s="28" t="str">
        <f aca="false">IF(N(T943)=0,"",IF(T943&lt;12,"Under 12 months",IF(T943&lt;36,"12-35 months",IF(T943&lt;60,"36-59 months","≥60 months"))))</f>
        <v/>
      </c>
      <c r="V943" s="27"/>
      <c r="W943" s="30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9"/>
      <c r="AT943" s="30"/>
      <c r="AU943" s="30"/>
      <c r="AV943" s="30"/>
      <c r="AW943" s="27"/>
      <c r="AX943" s="27"/>
      <c r="AY943" s="29"/>
      <c r="AZ943" s="27"/>
      <c r="BA943" s="27"/>
      <c r="BB943" s="29"/>
      <c r="BC943" s="30"/>
      <c r="BD943" s="30"/>
      <c r="BE943" s="30"/>
      <c r="BF943" s="27"/>
      <c r="BG943" s="27"/>
      <c r="BH943" s="28" t="str">
        <f aca="false">IF(COUNT(BC943:BE943)=0,"",IF(MIN(BC943:BE943)&lt;=-2.5,"Yes","No"))</f>
        <v/>
      </c>
      <c r="BI943" s="27"/>
      <c r="BJ943" s="29"/>
      <c r="BK943" s="27"/>
      <c r="BL943" s="27"/>
      <c r="BM943" s="27"/>
      <c r="BN943" s="28" t="str">
        <f aca="false">IF(OR(AX943="Yes",BI943="Yes"),"Yes",IF(AND(AX943="No",BI943="No"),"No",IF(AND(AX943="",BI943=""),"","Unknown")))</f>
        <v/>
      </c>
      <c r="BO943" s="31" t="str">
        <f aca="false">IF(COUNT(AY943,BJ943)=0,"",MIN(AY943,BJ943))</f>
        <v/>
      </c>
      <c r="BP943" s="29"/>
      <c r="BQ943" s="29"/>
      <c r="BR943" s="29"/>
      <c r="BS943" s="28" t="str">
        <f aca="false">IF(AND(N(BP943)&gt;0,N(BR943)&gt;0),BR943-BP943,"")</f>
        <v/>
      </c>
      <c r="BT943" s="28" t="str">
        <f aca="false">IF(BS943="","",ROUND(BS943/365.25,2))</f>
        <v/>
      </c>
      <c r="BU943" s="28" t="str">
        <f aca="false">IF(BS943="","",IF(BS943&gt;=730.5,"Yes","No"))</f>
        <v/>
      </c>
      <c r="BV943" s="27"/>
      <c r="BW943" s="29"/>
      <c r="BX943" s="27"/>
      <c r="BY943" s="27"/>
      <c r="BZ943" s="28" t="str">
        <f aca="false">IF(N(E943)=0,"",IF(E943&lt;65,"Under 65","≥65"))</f>
        <v/>
      </c>
      <c r="CA943" s="28" t="str">
        <f aca="false">IF(OR(AC943="Yes",AC943="No"),AC943,"")</f>
        <v/>
      </c>
      <c r="CB943" s="28" t="str">
        <f aca="false">IF(OR(AD943="Yes",AD943="No"),AD943,"")</f>
        <v/>
      </c>
      <c r="CC943" s="28" t="str">
        <f aca="false">IF(F943="","",F943)</f>
        <v/>
      </c>
      <c r="CD943" s="27"/>
      <c r="CE943" s="27"/>
    </row>
    <row r="944" customFormat="false" ht="15" hidden="false" customHeight="false" outlineLevel="0" collapsed="false">
      <c r="A944" s="27"/>
      <c r="B944" s="27"/>
      <c r="C944" s="27"/>
      <c r="D944" s="27"/>
      <c r="E944" s="27"/>
      <c r="F944" s="27"/>
      <c r="G944" s="27"/>
      <c r="H944" s="27"/>
      <c r="I944" s="27"/>
      <c r="J944" s="28" t="str">
        <f aca="false">IF(AND(N(H944)&gt;0,N(I944)&gt;0),ROUND(I944/(H944/100)^2,1),"")</f>
        <v/>
      </c>
      <c r="K944" s="27"/>
      <c r="L944" s="27"/>
      <c r="M944" s="27"/>
      <c r="N944" s="27"/>
      <c r="O944" s="27"/>
      <c r="P944" s="27"/>
      <c r="Q944" s="27"/>
      <c r="R944" s="29"/>
      <c r="S944" s="29"/>
      <c r="T944" s="27"/>
      <c r="U944" s="28" t="str">
        <f aca="false">IF(N(T944)=0,"",IF(T944&lt;12,"Under 12 months",IF(T944&lt;36,"12-35 months",IF(T944&lt;60,"36-59 months","≥60 months"))))</f>
        <v/>
      </c>
      <c r="V944" s="27"/>
      <c r="W944" s="30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9"/>
      <c r="AT944" s="30"/>
      <c r="AU944" s="30"/>
      <c r="AV944" s="30"/>
      <c r="AW944" s="27"/>
      <c r="AX944" s="27"/>
      <c r="AY944" s="29"/>
      <c r="AZ944" s="27"/>
      <c r="BA944" s="27"/>
      <c r="BB944" s="29"/>
      <c r="BC944" s="30"/>
      <c r="BD944" s="30"/>
      <c r="BE944" s="30"/>
      <c r="BF944" s="27"/>
      <c r="BG944" s="27"/>
      <c r="BH944" s="28" t="str">
        <f aca="false">IF(COUNT(BC944:BE944)=0,"",IF(MIN(BC944:BE944)&lt;=-2.5,"Yes","No"))</f>
        <v/>
      </c>
      <c r="BI944" s="27"/>
      <c r="BJ944" s="29"/>
      <c r="BK944" s="27"/>
      <c r="BL944" s="27"/>
      <c r="BM944" s="27"/>
      <c r="BN944" s="28" t="str">
        <f aca="false">IF(OR(AX944="Yes",BI944="Yes"),"Yes",IF(AND(AX944="No",BI944="No"),"No",IF(AND(AX944="",BI944=""),"","Unknown")))</f>
        <v/>
      </c>
      <c r="BO944" s="31" t="str">
        <f aca="false">IF(COUNT(AY944,BJ944)=0,"",MIN(AY944,BJ944))</f>
        <v/>
      </c>
      <c r="BP944" s="29"/>
      <c r="BQ944" s="29"/>
      <c r="BR944" s="29"/>
      <c r="BS944" s="28" t="str">
        <f aca="false">IF(AND(N(BP944)&gt;0,N(BR944)&gt;0),BR944-BP944,"")</f>
        <v/>
      </c>
      <c r="BT944" s="28" t="str">
        <f aca="false">IF(BS944="","",ROUND(BS944/365.25,2))</f>
        <v/>
      </c>
      <c r="BU944" s="28" t="str">
        <f aca="false">IF(BS944="","",IF(BS944&gt;=730.5,"Yes","No"))</f>
        <v/>
      </c>
      <c r="BV944" s="27"/>
      <c r="BW944" s="29"/>
      <c r="BX944" s="27"/>
      <c r="BY944" s="27"/>
      <c r="BZ944" s="28" t="str">
        <f aca="false">IF(N(E944)=0,"",IF(E944&lt;65,"Under 65","≥65"))</f>
        <v/>
      </c>
      <c r="CA944" s="28" t="str">
        <f aca="false">IF(OR(AC944="Yes",AC944="No"),AC944,"")</f>
        <v/>
      </c>
      <c r="CB944" s="28" t="str">
        <f aca="false">IF(OR(AD944="Yes",AD944="No"),AD944,"")</f>
        <v/>
      </c>
      <c r="CC944" s="28" t="str">
        <f aca="false">IF(F944="","",F944)</f>
        <v/>
      </c>
      <c r="CD944" s="27"/>
      <c r="CE944" s="27"/>
    </row>
    <row r="945" customFormat="false" ht="15" hidden="false" customHeight="false" outlineLevel="0" collapsed="false">
      <c r="A945" s="27"/>
      <c r="B945" s="27"/>
      <c r="C945" s="27"/>
      <c r="D945" s="27"/>
      <c r="E945" s="27"/>
      <c r="F945" s="27"/>
      <c r="G945" s="27"/>
      <c r="H945" s="27"/>
      <c r="I945" s="27"/>
      <c r="J945" s="28" t="str">
        <f aca="false">IF(AND(N(H945)&gt;0,N(I945)&gt;0),ROUND(I945/(H945/100)^2,1),"")</f>
        <v/>
      </c>
      <c r="K945" s="27"/>
      <c r="L945" s="27"/>
      <c r="M945" s="27"/>
      <c r="N945" s="27"/>
      <c r="O945" s="27"/>
      <c r="P945" s="27"/>
      <c r="Q945" s="27"/>
      <c r="R945" s="29"/>
      <c r="S945" s="29"/>
      <c r="T945" s="27"/>
      <c r="U945" s="28" t="str">
        <f aca="false">IF(N(T945)=0,"",IF(T945&lt;12,"Under 12 months",IF(T945&lt;36,"12-35 months",IF(T945&lt;60,"36-59 months","≥60 months"))))</f>
        <v/>
      </c>
      <c r="V945" s="27"/>
      <c r="W945" s="30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9"/>
      <c r="AT945" s="30"/>
      <c r="AU945" s="30"/>
      <c r="AV945" s="30"/>
      <c r="AW945" s="27"/>
      <c r="AX945" s="27"/>
      <c r="AY945" s="29"/>
      <c r="AZ945" s="27"/>
      <c r="BA945" s="27"/>
      <c r="BB945" s="29"/>
      <c r="BC945" s="30"/>
      <c r="BD945" s="30"/>
      <c r="BE945" s="30"/>
      <c r="BF945" s="27"/>
      <c r="BG945" s="27"/>
      <c r="BH945" s="28" t="str">
        <f aca="false">IF(COUNT(BC945:BE945)=0,"",IF(MIN(BC945:BE945)&lt;=-2.5,"Yes","No"))</f>
        <v/>
      </c>
      <c r="BI945" s="27"/>
      <c r="BJ945" s="29"/>
      <c r="BK945" s="27"/>
      <c r="BL945" s="27"/>
      <c r="BM945" s="27"/>
      <c r="BN945" s="28" t="str">
        <f aca="false">IF(OR(AX945="Yes",BI945="Yes"),"Yes",IF(AND(AX945="No",BI945="No"),"No",IF(AND(AX945="",BI945=""),"","Unknown")))</f>
        <v/>
      </c>
      <c r="BO945" s="31" t="str">
        <f aca="false">IF(COUNT(AY945,BJ945)=0,"",MIN(AY945,BJ945))</f>
        <v/>
      </c>
      <c r="BP945" s="29"/>
      <c r="BQ945" s="29"/>
      <c r="BR945" s="29"/>
      <c r="BS945" s="28" t="str">
        <f aca="false">IF(AND(N(BP945)&gt;0,N(BR945)&gt;0),BR945-BP945,"")</f>
        <v/>
      </c>
      <c r="BT945" s="28" t="str">
        <f aca="false">IF(BS945="","",ROUND(BS945/365.25,2))</f>
        <v/>
      </c>
      <c r="BU945" s="28" t="str">
        <f aca="false">IF(BS945="","",IF(BS945&gt;=730.5,"Yes","No"))</f>
        <v/>
      </c>
      <c r="BV945" s="27"/>
      <c r="BW945" s="29"/>
      <c r="BX945" s="27"/>
      <c r="BY945" s="27"/>
      <c r="BZ945" s="28" t="str">
        <f aca="false">IF(N(E945)=0,"",IF(E945&lt;65,"Under 65","≥65"))</f>
        <v/>
      </c>
      <c r="CA945" s="28" t="str">
        <f aca="false">IF(OR(AC945="Yes",AC945="No"),AC945,"")</f>
        <v/>
      </c>
      <c r="CB945" s="28" t="str">
        <f aca="false">IF(OR(AD945="Yes",AD945="No"),AD945,"")</f>
        <v/>
      </c>
      <c r="CC945" s="28" t="str">
        <f aca="false">IF(F945="","",F945)</f>
        <v/>
      </c>
      <c r="CD945" s="27"/>
      <c r="CE945" s="27"/>
    </row>
    <row r="946" customFormat="false" ht="15" hidden="false" customHeight="false" outlineLevel="0" collapsed="false">
      <c r="A946" s="27"/>
      <c r="B946" s="27"/>
      <c r="C946" s="27"/>
      <c r="D946" s="27"/>
      <c r="E946" s="27"/>
      <c r="F946" s="27"/>
      <c r="G946" s="27"/>
      <c r="H946" s="27"/>
      <c r="I946" s="27"/>
      <c r="J946" s="28" t="str">
        <f aca="false">IF(AND(N(H946)&gt;0,N(I946)&gt;0),ROUND(I946/(H946/100)^2,1),"")</f>
        <v/>
      </c>
      <c r="K946" s="27"/>
      <c r="L946" s="27"/>
      <c r="M946" s="27"/>
      <c r="N946" s="27"/>
      <c r="O946" s="27"/>
      <c r="P946" s="27"/>
      <c r="Q946" s="27"/>
      <c r="R946" s="29"/>
      <c r="S946" s="29"/>
      <c r="T946" s="27"/>
      <c r="U946" s="28" t="str">
        <f aca="false">IF(N(T946)=0,"",IF(T946&lt;12,"Under 12 months",IF(T946&lt;36,"12-35 months",IF(T946&lt;60,"36-59 months","≥60 months"))))</f>
        <v/>
      </c>
      <c r="V946" s="27"/>
      <c r="W946" s="30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9"/>
      <c r="AT946" s="30"/>
      <c r="AU946" s="30"/>
      <c r="AV946" s="30"/>
      <c r="AW946" s="27"/>
      <c r="AX946" s="27"/>
      <c r="AY946" s="29"/>
      <c r="AZ946" s="27"/>
      <c r="BA946" s="27"/>
      <c r="BB946" s="29"/>
      <c r="BC946" s="30"/>
      <c r="BD946" s="30"/>
      <c r="BE946" s="30"/>
      <c r="BF946" s="27"/>
      <c r="BG946" s="27"/>
      <c r="BH946" s="28" t="str">
        <f aca="false">IF(COUNT(BC946:BE946)=0,"",IF(MIN(BC946:BE946)&lt;=-2.5,"Yes","No"))</f>
        <v/>
      </c>
      <c r="BI946" s="27"/>
      <c r="BJ946" s="29"/>
      <c r="BK946" s="27"/>
      <c r="BL946" s="27"/>
      <c r="BM946" s="27"/>
      <c r="BN946" s="28" t="str">
        <f aca="false">IF(OR(AX946="Yes",BI946="Yes"),"Yes",IF(AND(AX946="No",BI946="No"),"No",IF(AND(AX946="",BI946=""),"","Unknown")))</f>
        <v/>
      </c>
      <c r="BO946" s="31" t="str">
        <f aca="false">IF(COUNT(AY946,BJ946)=0,"",MIN(AY946,BJ946))</f>
        <v/>
      </c>
      <c r="BP946" s="29"/>
      <c r="BQ946" s="29"/>
      <c r="BR946" s="29"/>
      <c r="BS946" s="28" t="str">
        <f aca="false">IF(AND(N(BP946)&gt;0,N(BR946)&gt;0),BR946-BP946,"")</f>
        <v/>
      </c>
      <c r="BT946" s="28" t="str">
        <f aca="false">IF(BS946="","",ROUND(BS946/365.25,2))</f>
        <v/>
      </c>
      <c r="BU946" s="28" t="str">
        <f aca="false">IF(BS946="","",IF(BS946&gt;=730.5,"Yes","No"))</f>
        <v/>
      </c>
      <c r="BV946" s="27"/>
      <c r="BW946" s="29"/>
      <c r="BX946" s="27"/>
      <c r="BY946" s="27"/>
      <c r="BZ946" s="28" t="str">
        <f aca="false">IF(N(E946)=0,"",IF(E946&lt;65,"Under 65","≥65"))</f>
        <v/>
      </c>
      <c r="CA946" s="28" t="str">
        <f aca="false">IF(OR(AC946="Yes",AC946="No"),AC946,"")</f>
        <v/>
      </c>
      <c r="CB946" s="28" t="str">
        <f aca="false">IF(OR(AD946="Yes",AD946="No"),AD946,"")</f>
        <v/>
      </c>
      <c r="CC946" s="28" t="str">
        <f aca="false">IF(F946="","",F946)</f>
        <v/>
      </c>
      <c r="CD946" s="27"/>
      <c r="CE946" s="27"/>
    </row>
    <row r="947" customFormat="false" ht="15" hidden="false" customHeight="false" outlineLevel="0" collapsed="false">
      <c r="A947" s="27"/>
      <c r="B947" s="27"/>
      <c r="C947" s="27"/>
      <c r="D947" s="27"/>
      <c r="E947" s="27"/>
      <c r="F947" s="27"/>
      <c r="G947" s="27"/>
      <c r="H947" s="27"/>
      <c r="I947" s="27"/>
      <c r="J947" s="28" t="str">
        <f aca="false">IF(AND(N(H947)&gt;0,N(I947)&gt;0),ROUND(I947/(H947/100)^2,1),"")</f>
        <v/>
      </c>
      <c r="K947" s="27"/>
      <c r="L947" s="27"/>
      <c r="M947" s="27"/>
      <c r="N947" s="27"/>
      <c r="O947" s="27"/>
      <c r="P947" s="27"/>
      <c r="Q947" s="27"/>
      <c r="R947" s="29"/>
      <c r="S947" s="29"/>
      <c r="T947" s="27"/>
      <c r="U947" s="28" t="str">
        <f aca="false">IF(N(T947)=0,"",IF(T947&lt;12,"Under 12 months",IF(T947&lt;36,"12-35 months",IF(T947&lt;60,"36-59 months","≥60 months"))))</f>
        <v/>
      </c>
      <c r="V947" s="27"/>
      <c r="W947" s="30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9"/>
      <c r="AT947" s="30"/>
      <c r="AU947" s="30"/>
      <c r="AV947" s="30"/>
      <c r="AW947" s="27"/>
      <c r="AX947" s="27"/>
      <c r="AY947" s="29"/>
      <c r="AZ947" s="27"/>
      <c r="BA947" s="27"/>
      <c r="BB947" s="29"/>
      <c r="BC947" s="30"/>
      <c r="BD947" s="30"/>
      <c r="BE947" s="30"/>
      <c r="BF947" s="27"/>
      <c r="BG947" s="27"/>
      <c r="BH947" s="28" t="str">
        <f aca="false">IF(COUNT(BC947:BE947)=0,"",IF(MIN(BC947:BE947)&lt;=-2.5,"Yes","No"))</f>
        <v/>
      </c>
      <c r="BI947" s="27"/>
      <c r="BJ947" s="29"/>
      <c r="BK947" s="27"/>
      <c r="BL947" s="27"/>
      <c r="BM947" s="27"/>
      <c r="BN947" s="28" t="str">
        <f aca="false">IF(OR(AX947="Yes",BI947="Yes"),"Yes",IF(AND(AX947="No",BI947="No"),"No",IF(AND(AX947="",BI947=""),"","Unknown")))</f>
        <v/>
      </c>
      <c r="BO947" s="31" t="str">
        <f aca="false">IF(COUNT(AY947,BJ947)=0,"",MIN(AY947,BJ947))</f>
        <v/>
      </c>
      <c r="BP947" s="29"/>
      <c r="BQ947" s="29"/>
      <c r="BR947" s="29"/>
      <c r="BS947" s="28" t="str">
        <f aca="false">IF(AND(N(BP947)&gt;0,N(BR947)&gt;0),BR947-BP947,"")</f>
        <v/>
      </c>
      <c r="BT947" s="28" t="str">
        <f aca="false">IF(BS947="","",ROUND(BS947/365.25,2))</f>
        <v/>
      </c>
      <c r="BU947" s="28" t="str">
        <f aca="false">IF(BS947="","",IF(BS947&gt;=730.5,"Yes","No"))</f>
        <v/>
      </c>
      <c r="BV947" s="27"/>
      <c r="BW947" s="29"/>
      <c r="BX947" s="27"/>
      <c r="BY947" s="27"/>
      <c r="BZ947" s="28" t="str">
        <f aca="false">IF(N(E947)=0,"",IF(E947&lt;65,"Under 65","≥65"))</f>
        <v/>
      </c>
      <c r="CA947" s="28" t="str">
        <f aca="false">IF(OR(AC947="Yes",AC947="No"),AC947,"")</f>
        <v/>
      </c>
      <c r="CB947" s="28" t="str">
        <f aca="false">IF(OR(AD947="Yes",AD947="No"),AD947,"")</f>
        <v/>
      </c>
      <c r="CC947" s="28" t="str">
        <f aca="false">IF(F947="","",F947)</f>
        <v/>
      </c>
      <c r="CD947" s="27"/>
      <c r="CE947" s="27"/>
    </row>
    <row r="948" customFormat="false" ht="15" hidden="false" customHeight="false" outlineLevel="0" collapsed="false">
      <c r="A948" s="27"/>
      <c r="B948" s="27"/>
      <c r="C948" s="27"/>
      <c r="D948" s="27"/>
      <c r="E948" s="27"/>
      <c r="F948" s="27"/>
      <c r="G948" s="27"/>
      <c r="H948" s="27"/>
      <c r="I948" s="27"/>
      <c r="J948" s="28" t="str">
        <f aca="false">IF(AND(N(H948)&gt;0,N(I948)&gt;0),ROUND(I948/(H948/100)^2,1),"")</f>
        <v/>
      </c>
      <c r="K948" s="27"/>
      <c r="L948" s="27"/>
      <c r="M948" s="27"/>
      <c r="N948" s="27"/>
      <c r="O948" s="27"/>
      <c r="P948" s="27"/>
      <c r="Q948" s="27"/>
      <c r="R948" s="29"/>
      <c r="S948" s="29"/>
      <c r="T948" s="27"/>
      <c r="U948" s="28" t="str">
        <f aca="false">IF(N(T948)=0,"",IF(T948&lt;12,"Under 12 months",IF(T948&lt;36,"12-35 months",IF(T948&lt;60,"36-59 months","≥60 months"))))</f>
        <v/>
      </c>
      <c r="V948" s="27"/>
      <c r="W948" s="30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9"/>
      <c r="AT948" s="30"/>
      <c r="AU948" s="30"/>
      <c r="AV948" s="30"/>
      <c r="AW948" s="27"/>
      <c r="AX948" s="27"/>
      <c r="AY948" s="29"/>
      <c r="AZ948" s="27"/>
      <c r="BA948" s="27"/>
      <c r="BB948" s="29"/>
      <c r="BC948" s="30"/>
      <c r="BD948" s="30"/>
      <c r="BE948" s="30"/>
      <c r="BF948" s="27"/>
      <c r="BG948" s="27"/>
      <c r="BH948" s="28" t="str">
        <f aca="false">IF(COUNT(BC948:BE948)=0,"",IF(MIN(BC948:BE948)&lt;=-2.5,"Yes","No"))</f>
        <v/>
      </c>
      <c r="BI948" s="27"/>
      <c r="BJ948" s="29"/>
      <c r="BK948" s="27"/>
      <c r="BL948" s="27"/>
      <c r="BM948" s="27"/>
      <c r="BN948" s="28" t="str">
        <f aca="false">IF(OR(AX948="Yes",BI948="Yes"),"Yes",IF(AND(AX948="No",BI948="No"),"No",IF(AND(AX948="",BI948=""),"","Unknown")))</f>
        <v/>
      </c>
      <c r="BO948" s="31" t="str">
        <f aca="false">IF(COUNT(AY948,BJ948)=0,"",MIN(AY948,BJ948))</f>
        <v/>
      </c>
      <c r="BP948" s="29"/>
      <c r="BQ948" s="29"/>
      <c r="BR948" s="29"/>
      <c r="BS948" s="28" t="str">
        <f aca="false">IF(AND(N(BP948)&gt;0,N(BR948)&gt;0),BR948-BP948,"")</f>
        <v/>
      </c>
      <c r="BT948" s="28" t="str">
        <f aca="false">IF(BS948="","",ROUND(BS948/365.25,2))</f>
        <v/>
      </c>
      <c r="BU948" s="28" t="str">
        <f aca="false">IF(BS948="","",IF(BS948&gt;=730.5,"Yes","No"))</f>
        <v/>
      </c>
      <c r="BV948" s="27"/>
      <c r="BW948" s="29"/>
      <c r="BX948" s="27"/>
      <c r="BY948" s="27"/>
      <c r="BZ948" s="28" t="str">
        <f aca="false">IF(N(E948)=0,"",IF(E948&lt;65,"Under 65","≥65"))</f>
        <v/>
      </c>
      <c r="CA948" s="28" t="str">
        <f aca="false">IF(OR(AC948="Yes",AC948="No"),AC948,"")</f>
        <v/>
      </c>
      <c r="CB948" s="28" t="str">
        <f aca="false">IF(OR(AD948="Yes",AD948="No"),AD948,"")</f>
        <v/>
      </c>
      <c r="CC948" s="28" t="str">
        <f aca="false">IF(F948="","",F948)</f>
        <v/>
      </c>
      <c r="CD948" s="27"/>
      <c r="CE948" s="27"/>
    </row>
    <row r="949" customFormat="false" ht="15" hidden="false" customHeight="false" outlineLevel="0" collapsed="false">
      <c r="A949" s="27"/>
      <c r="B949" s="27"/>
      <c r="C949" s="27"/>
      <c r="D949" s="27"/>
      <c r="E949" s="27"/>
      <c r="F949" s="27"/>
      <c r="G949" s="27"/>
      <c r="H949" s="27"/>
      <c r="I949" s="27"/>
      <c r="J949" s="28" t="str">
        <f aca="false">IF(AND(N(H949)&gt;0,N(I949)&gt;0),ROUND(I949/(H949/100)^2,1),"")</f>
        <v/>
      </c>
      <c r="K949" s="27"/>
      <c r="L949" s="27"/>
      <c r="M949" s="27"/>
      <c r="N949" s="27"/>
      <c r="O949" s="27"/>
      <c r="P949" s="27"/>
      <c r="Q949" s="27"/>
      <c r="R949" s="29"/>
      <c r="S949" s="29"/>
      <c r="T949" s="27"/>
      <c r="U949" s="28" t="str">
        <f aca="false">IF(N(T949)=0,"",IF(T949&lt;12,"Under 12 months",IF(T949&lt;36,"12-35 months",IF(T949&lt;60,"36-59 months","≥60 months"))))</f>
        <v/>
      </c>
      <c r="V949" s="27"/>
      <c r="W949" s="30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9"/>
      <c r="AT949" s="30"/>
      <c r="AU949" s="30"/>
      <c r="AV949" s="30"/>
      <c r="AW949" s="27"/>
      <c r="AX949" s="27"/>
      <c r="AY949" s="29"/>
      <c r="AZ949" s="27"/>
      <c r="BA949" s="27"/>
      <c r="BB949" s="29"/>
      <c r="BC949" s="30"/>
      <c r="BD949" s="30"/>
      <c r="BE949" s="30"/>
      <c r="BF949" s="27"/>
      <c r="BG949" s="27"/>
      <c r="BH949" s="28" t="str">
        <f aca="false">IF(COUNT(BC949:BE949)=0,"",IF(MIN(BC949:BE949)&lt;=-2.5,"Yes","No"))</f>
        <v/>
      </c>
      <c r="BI949" s="27"/>
      <c r="BJ949" s="29"/>
      <c r="BK949" s="27"/>
      <c r="BL949" s="27"/>
      <c r="BM949" s="27"/>
      <c r="BN949" s="28" t="str">
        <f aca="false">IF(OR(AX949="Yes",BI949="Yes"),"Yes",IF(AND(AX949="No",BI949="No"),"No",IF(AND(AX949="",BI949=""),"","Unknown")))</f>
        <v/>
      </c>
      <c r="BO949" s="31" t="str">
        <f aca="false">IF(COUNT(AY949,BJ949)=0,"",MIN(AY949,BJ949))</f>
        <v/>
      </c>
      <c r="BP949" s="29"/>
      <c r="BQ949" s="29"/>
      <c r="BR949" s="29"/>
      <c r="BS949" s="28" t="str">
        <f aca="false">IF(AND(N(BP949)&gt;0,N(BR949)&gt;0),BR949-BP949,"")</f>
        <v/>
      </c>
      <c r="BT949" s="28" t="str">
        <f aca="false">IF(BS949="","",ROUND(BS949/365.25,2))</f>
        <v/>
      </c>
      <c r="BU949" s="28" t="str">
        <f aca="false">IF(BS949="","",IF(BS949&gt;=730.5,"Yes","No"))</f>
        <v/>
      </c>
      <c r="BV949" s="27"/>
      <c r="BW949" s="29"/>
      <c r="BX949" s="27"/>
      <c r="BY949" s="27"/>
      <c r="BZ949" s="28" t="str">
        <f aca="false">IF(N(E949)=0,"",IF(E949&lt;65,"Under 65","≥65"))</f>
        <v/>
      </c>
      <c r="CA949" s="28" t="str">
        <f aca="false">IF(OR(AC949="Yes",AC949="No"),AC949,"")</f>
        <v/>
      </c>
      <c r="CB949" s="28" t="str">
        <f aca="false">IF(OR(AD949="Yes",AD949="No"),AD949,"")</f>
        <v/>
      </c>
      <c r="CC949" s="28" t="str">
        <f aca="false">IF(F949="","",F949)</f>
        <v/>
      </c>
      <c r="CD949" s="27"/>
      <c r="CE949" s="27"/>
    </row>
    <row r="950" customFormat="false" ht="15" hidden="false" customHeight="false" outlineLevel="0" collapsed="false">
      <c r="A950" s="27"/>
      <c r="B950" s="27"/>
      <c r="C950" s="27"/>
      <c r="D950" s="27"/>
      <c r="E950" s="27"/>
      <c r="F950" s="27"/>
      <c r="G950" s="27"/>
      <c r="H950" s="27"/>
      <c r="I950" s="27"/>
      <c r="J950" s="28" t="str">
        <f aca="false">IF(AND(N(H950)&gt;0,N(I950)&gt;0),ROUND(I950/(H950/100)^2,1),"")</f>
        <v/>
      </c>
      <c r="K950" s="27"/>
      <c r="L950" s="27"/>
      <c r="M950" s="27"/>
      <c r="N950" s="27"/>
      <c r="O950" s="27"/>
      <c r="P950" s="27"/>
      <c r="Q950" s="27"/>
      <c r="R950" s="29"/>
      <c r="S950" s="29"/>
      <c r="T950" s="27"/>
      <c r="U950" s="28" t="str">
        <f aca="false">IF(N(T950)=0,"",IF(T950&lt;12,"Under 12 months",IF(T950&lt;36,"12-35 months",IF(T950&lt;60,"36-59 months","≥60 months"))))</f>
        <v/>
      </c>
      <c r="V950" s="27"/>
      <c r="W950" s="30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9"/>
      <c r="AT950" s="30"/>
      <c r="AU950" s="30"/>
      <c r="AV950" s="30"/>
      <c r="AW950" s="27"/>
      <c r="AX950" s="27"/>
      <c r="AY950" s="29"/>
      <c r="AZ950" s="27"/>
      <c r="BA950" s="27"/>
      <c r="BB950" s="29"/>
      <c r="BC950" s="30"/>
      <c r="BD950" s="30"/>
      <c r="BE950" s="30"/>
      <c r="BF950" s="27"/>
      <c r="BG950" s="27"/>
      <c r="BH950" s="28" t="str">
        <f aca="false">IF(COUNT(BC950:BE950)=0,"",IF(MIN(BC950:BE950)&lt;=-2.5,"Yes","No"))</f>
        <v/>
      </c>
      <c r="BI950" s="27"/>
      <c r="BJ950" s="29"/>
      <c r="BK950" s="27"/>
      <c r="BL950" s="27"/>
      <c r="BM950" s="27"/>
      <c r="BN950" s="28" t="str">
        <f aca="false">IF(OR(AX950="Yes",BI950="Yes"),"Yes",IF(AND(AX950="No",BI950="No"),"No",IF(AND(AX950="",BI950=""),"","Unknown")))</f>
        <v/>
      </c>
      <c r="BO950" s="31" t="str">
        <f aca="false">IF(COUNT(AY950,BJ950)=0,"",MIN(AY950,BJ950))</f>
        <v/>
      </c>
      <c r="BP950" s="29"/>
      <c r="BQ950" s="29"/>
      <c r="BR950" s="29"/>
      <c r="BS950" s="28" t="str">
        <f aca="false">IF(AND(N(BP950)&gt;0,N(BR950)&gt;0),BR950-BP950,"")</f>
        <v/>
      </c>
      <c r="BT950" s="28" t="str">
        <f aca="false">IF(BS950="","",ROUND(BS950/365.25,2))</f>
        <v/>
      </c>
      <c r="BU950" s="28" t="str">
        <f aca="false">IF(BS950="","",IF(BS950&gt;=730.5,"Yes","No"))</f>
        <v/>
      </c>
      <c r="BV950" s="27"/>
      <c r="BW950" s="29"/>
      <c r="BX950" s="27"/>
      <c r="BY950" s="27"/>
      <c r="BZ950" s="28" t="str">
        <f aca="false">IF(N(E950)=0,"",IF(E950&lt;65,"Under 65","≥65"))</f>
        <v/>
      </c>
      <c r="CA950" s="28" t="str">
        <f aca="false">IF(OR(AC950="Yes",AC950="No"),AC950,"")</f>
        <v/>
      </c>
      <c r="CB950" s="28" t="str">
        <f aca="false">IF(OR(AD950="Yes",AD950="No"),AD950,"")</f>
        <v/>
      </c>
      <c r="CC950" s="28" t="str">
        <f aca="false">IF(F950="","",F950)</f>
        <v/>
      </c>
      <c r="CD950" s="27"/>
      <c r="CE950" s="27"/>
    </row>
    <row r="951" customFormat="false" ht="15" hidden="false" customHeight="false" outlineLevel="0" collapsed="false">
      <c r="A951" s="27"/>
      <c r="B951" s="27"/>
      <c r="C951" s="27"/>
      <c r="D951" s="27"/>
      <c r="E951" s="27"/>
      <c r="F951" s="27"/>
      <c r="G951" s="27"/>
      <c r="H951" s="27"/>
      <c r="I951" s="27"/>
      <c r="J951" s="28" t="str">
        <f aca="false">IF(AND(N(H951)&gt;0,N(I951)&gt;0),ROUND(I951/(H951/100)^2,1),"")</f>
        <v/>
      </c>
      <c r="K951" s="27"/>
      <c r="L951" s="27"/>
      <c r="M951" s="27"/>
      <c r="N951" s="27"/>
      <c r="O951" s="27"/>
      <c r="P951" s="27"/>
      <c r="Q951" s="27"/>
      <c r="R951" s="29"/>
      <c r="S951" s="29"/>
      <c r="T951" s="27"/>
      <c r="U951" s="28" t="str">
        <f aca="false">IF(N(T951)=0,"",IF(T951&lt;12,"Under 12 months",IF(T951&lt;36,"12-35 months",IF(T951&lt;60,"36-59 months","≥60 months"))))</f>
        <v/>
      </c>
      <c r="V951" s="27"/>
      <c r="W951" s="30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9"/>
      <c r="AT951" s="30"/>
      <c r="AU951" s="30"/>
      <c r="AV951" s="30"/>
      <c r="AW951" s="27"/>
      <c r="AX951" s="27"/>
      <c r="AY951" s="29"/>
      <c r="AZ951" s="27"/>
      <c r="BA951" s="27"/>
      <c r="BB951" s="29"/>
      <c r="BC951" s="30"/>
      <c r="BD951" s="30"/>
      <c r="BE951" s="30"/>
      <c r="BF951" s="27"/>
      <c r="BG951" s="27"/>
      <c r="BH951" s="28" t="str">
        <f aca="false">IF(COUNT(BC951:BE951)=0,"",IF(MIN(BC951:BE951)&lt;=-2.5,"Yes","No"))</f>
        <v/>
      </c>
      <c r="BI951" s="27"/>
      <c r="BJ951" s="29"/>
      <c r="BK951" s="27"/>
      <c r="BL951" s="27"/>
      <c r="BM951" s="27"/>
      <c r="BN951" s="28" t="str">
        <f aca="false">IF(OR(AX951="Yes",BI951="Yes"),"Yes",IF(AND(AX951="No",BI951="No"),"No",IF(AND(AX951="",BI951=""),"","Unknown")))</f>
        <v/>
      </c>
      <c r="BO951" s="31" t="str">
        <f aca="false">IF(COUNT(AY951,BJ951)=0,"",MIN(AY951,BJ951))</f>
        <v/>
      </c>
      <c r="BP951" s="29"/>
      <c r="BQ951" s="29"/>
      <c r="BR951" s="29"/>
      <c r="BS951" s="28" t="str">
        <f aca="false">IF(AND(N(BP951)&gt;0,N(BR951)&gt;0),BR951-BP951,"")</f>
        <v/>
      </c>
      <c r="BT951" s="28" t="str">
        <f aca="false">IF(BS951="","",ROUND(BS951/365.25,2))</f>
        <v/>
      </c>
      <c r="BU951" s="28" t="str">
        <f aca="false">IF(BS951="","",IF(BS951&gt;=730.5,"Yes","No"))</f>
        <v/>
      </c>
      <c r="BV951" s="27"/>
      <c r="BW951" s="29"/>
      <c r="BX951" s="27"/>
      <c r="BY951" s="27"/>
      <c r="BZ951" s="28" t="str">
        <f aca="false">IF(N(E951)=0,"",IF(E951&lt;65,"Under 65","≥65"))</f>
        <v/>
      </c>
      <c r="CA951" s="28" t="str">
        <f aca="false">IF(OR(AC951="Yes",AC951="No"),AC951,"")</f>
        <v/>
      </c>
      <c r="CB951" s="28" t="str">
        <f aca="false">IF(OR(AD951="Yes",AD951="No"),AD951,"")</f>
        <v/>
      </c>
      <c r="CC951" s="28" t="str">
        <f aca="false">IF(F951="","",F951)</f>
        <v/>
      </c>
      <c r="CD951" s="27"/>
      <c r="CE951" s="27"/>
    </row>
    <row r="952" customFormat="false" ht="15" hidden="false" customHeight="false" outlineLevel="0" collapsed="false">
      <c r="A952" s="27"/>
      <c r="B952" s="27"/>
      <c r="C952" s="27"/>
      <c r="D952" s="27"/>
      <c r="E952" s="27"/>
      <c r="F952" s="27"/>
      <c r="G952" s="27"/>
      <c r="H952" s="27"/>
      <c r="I952" s="27"/>
      <c r="J952" s="28" t="str">
        <f aca="false">IF(AND(N(H952)&gt;0,N(I952)&gt;0),ROUND(I952/(H952/100)^2,1),"")</f>
        <v/>
      </c>
      <c r="K952" s="27"/>
      <c r="L952" s="27"/>
      <c r="M952" s="27"/>
      <c r="N952" s="27"/>
      <c r="O952" s="27"/>
      <c r="P952" s="27"/>
      <c r="Q952" s="27"/>
      <c r="R952" s="29"/>
      <c r="S952" s="29"/>
      <c r="T952" s="27"/>
      <c r="U952" s="28" t="str">
        <f aca="false">IF(N(T952)=0,"",IF(T952&lt;12,"Under 12 months",IF(T952&lt;36,"12-35 months",IF(T952&lt;60,"36-59 months","≥60 months"))))</f>
        <v/>
      </c>
      <c r="V952" s="27"/>
      <c r="W952" s="30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9"/>
      <c r="AT952" s="30"/>
      <c r="AU952" s="30"/>
      <c r="AV952" s="30"/>
      <c r="AW952" s="27"/>
      <c r="AX952" s="27"/>
      <c r="AY952" s="29"/>
      <c r="AZ952" s="27"/>
      <c r="BA952" s="27"/>
      <c r="BB952" s="29"/>
      <c r="BC952" s="30"/>
      <c r="BD952" s="30"/>
      <c r="BE952" s="30"/>
      <c r="BF952" s="27"/>
      <c r="BG952" s="27"/>
      <c r="BH952" s="28" t="str">
        <f aca="false">IF(COUNT(BC952:BE952)=0,"",IF(MIN(BC952:BE952)&lt;=-2.5,"Yes","No"))</f>
        <v/>
      </c>
      <c r="BI952" s="27"/>
      <c r="BJ952" s="29"/>
      <c r="BK952" s="27"/>
      <c r="BL952" s="27"/>
      <c r="BM952" s="27"/>
      <c r="BN952" s="28" t="str">
        <f aca="false">IF(OR(AX952="Yes",BI952="Yes"),"Yes",IF(AND(AX952="No",BI952="No"),"No",IF(AND(AX952="",BI952=""),"","Unknown")))</f>
        <v/>
      </c>
      <c r="BO952" s="31" t="str">
        <f aca="false">IF(COUNT(AY952,BJ952)=0,"",MIN(AY952,BJ952))</f>
        <v/>
      </c>
      <c r="BP952" s="29"/>
      <c r="BQ952" s="29"/>
      <c r="BR952" s="29"/>
      <c r="BS952" s="28" t="str">
        <f aca="false">IF(AND(N(BP952)&gt;0,N(BR952)&gt;0),BR952-BP952,"")</f>
        <v/>
      </c>
      <c r="BT952" s="28" t="str">
        <f aca="false">IF(BS952="","",ROUND(BS952/365.25,2))</f>
        <v/>
      </c>
      <c r="BU952" s="28" t="str">
        <f aca="false">IF(BS952="","",IF(BS952&gt;=730.5,"Yes","No"))</f>
        <v/>
      </c>
      <c r="BV952" s="27"/>
      <c r="BW952" s="29"/>
      <c r="BX952" s="27"/>
      <c r="BY952" s="27"/>
      <c r="BZ952" s="28" t="str">
        <f aca="false">IF(N(E952)=0,"",IF(E952&lt;65,"Under 65","≥65"))</f>
        <v/>
      </c>
      <c r="CA952" s="28" t="str">
        <f aca="false">IF(OR(AC952="Yes",AC952="No"),AC952,"")</f>
        <v/>
      </c>
      <c r="CB952" s="28" t="str">
        <f aca="false">IF(OR(AD952="Yes",AD952="No"),AD952,"")</f>
        <v/>
      </c>
      <c r="CC952" s="28" t="str">
        <f aca="false">IF(F952="","",F952)</f>
        <v/>
      </c>
      <c r="CD952" s="27"/>
      <c r="CE952" s="27"/>
    </row>
    <row r="953" customFormat="false" ht="15" hidden="false" customHeight="false" outlineLevel="0" collapsed="false">
      <c r="A953" s="27"/>
      <c r="B953" s="27"/>
      <c r="C953" s="27"/>
      <c r="D953" s="27"/>
      <c r="E953" s="27"/>
      <c r="F953" s="27"/>
      <c r="G953" s="27"/>
      <c r="H953" s="27"/>
      <c r="I953" s="27"/>
      <c r="J953" s="28" t="str">
        <f aca="false">IF(AND(N(H953)&gt;0,N(I953)&gt;0),ROUND(I953/(H953/100)^2,1),"")</f>
        <v/>
      </c>
      <c r="K953" s="27"/>
      <c r="L953" s="27"/>
      <c r="M953" s="27"/>
      <c r="N953" s="27"/>
      <c r="O953" s="27"/>
      <c r="P953" s="27"/>
      <c r="Q953" s="27"/>
      <c r="R953" s="29"/>
      <c r="S953" s="29"/>
      <c r="T953" s="27"/>
      <c r="U953" s="28" t="str">
        <f aca="false">IF(N(T953)=0,"",IF(T953&lt;12,"Under 12 months",IF(T953&lt;36,"12-35 months",IF(T953&lt;60,"36-59 months","≥60 months"))))</f>
        <v/>
      </c>
      <c r="V953" s="27"/>
      <c r="W953" s="30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9"/>
      <c r="AT953" s="30"/>
      <c r="AU953" s="30"/>
      <c r="AV953" s="30"/>
      <c r="AW953" s="27"/>
      <c r="AX953" s="27"/>
      <c r="AY953" s="29"/>
      <c r="AZ953" s="27"/>
      <c r="BA953" s="27"/>
      <c r="BB953" s="29"/>
      <c r="BC953" s="30"/>
      <c r="BD953" s="30"/>
      <c r="BE953" s="30"/>
      <c r="BF953" s="27"/>
      <c r="BG953" s="27"/>
      <c r="BH953" s="28" t="str">
        <f aca="false">IF(COUNT(BC953:BE953)=0,"",IF(MIN(BC953:BE953)&lt;=-2.5,"Yes","No"))</f>
        <v/>
      </c>
      <c r="BI953" s="27"/>
      <c r="BJ953" s="29"/>
      <c r="BK953" s="27"/>
      <c r="BL953" s="27"/>
      <c r="BM953" s="27"/>
      <c r="BN953" s="28" t="str">
        <f aca="false">IF(OR(AX953="Yes",BI953="Yes"),"Yes",IF(AND(AX953="No",BI953="No"),"No",IF(AND(AX953="",BI953=""),"","Unknown")))</f>
        <v/>
      </c>
      <c r="BO953" s="31" t="str">
        <f aca="false">IF(COUNT(AY953,BJ953)=0,"",MIN(AY953,BJ953))</f>
        <v/>
      </c>
      <c r="BP953" s="29"/>
      <c r="BQ953" s="29"/>
      <c r="BR953" s="29"/>
      <c r="BS953" s="28" t="str">
        <f aca="false">IF(AND(N(BP953)&gt;0,N(BR953)&gt;0),BR953-BP953,"")</f>
        <v/>
      </c>
      <c r="BT953" s="28" t="str">
        <f aca="false">IF(BS953="","",ROUND(BS953/365.25,2))</f>
        <v/>
      </c>
      <c r="BU953" s="28" t="str">
        <f aca="false">IF(BS953="","",IF(BS953&gt;=730.5,"Yes","No"))</f>
        <v/>
      </c>
      <c r="BV953" s="27"/>
      <c r="BW953" s="29"/>
      <c r="BX953" s="27"/>
      <c r="BY953" s="27"/>
      <c r="BZ953" s="28" t="str">
        <f aca="false">IF(N(E953)=0,"",IF(E953&lt;65,"Under 65","≥65"))</f>
        <v/>
      </c>
      <c r="CA953" s="28" t="str">
        <f aca="false">IF(OR(AC953="Yes",AC953="No"),AC953,"")</f>
        <v/>
      </c>
      <c r="CB953" s="28" t="str">
        <f aca="false">IF(OR(AD953="Yes",AD953="No"),AD953,"")</f>
        <v/>
      </c>
      <c r="CC953" s="28" t="str">
        <f aca="false">IF(F953="","",F953)</f>
        <v/>
      </c>
      <c r="CD953" s="27"/>
      <c r="CE953" s="27"/>
    </row>
    <row r="954" customFormat="false" ht="15" hidden="false" customHeight="false" outlineLevel="0" collapsed="false">
      <c r="A954" s="27"/>
      <c r="B954" s="27"/>
      <c r="C954" s="27"/>
      <c r="D954" s="27"/>
      <c r="E954" s="27"/>
      <c r="F954" s="27"/>
      <c r="G954" s="27"/>
      <c r="H954" s="27"/>
      <c r="I954" s="27"/>
      <c r="J954" s="28" t="str">
        <f aca="false">IF(AND(N(H954)&gt;0,N(I954)&gt;0),ROUND(I954/(H954/100)^2,1),"")</f>
        <v/>
      </c>
      <c r="K954" s="27"/>
      <c r="L954" s="27"/>
      <c r="M954" s="27"/>
      <c r="N954" s="27"/>
      <c r="O954" s="27"/>
      <c r="P954" s="27"/>
      <c r="Q954" s="27"/>
      <c r="R954" s="29"/>
      <c r="S954" s="29"/>
      <c r="T954" s="27"/>
      <c r="U954" s="28" t="str">
        <f aca="false">IF(N(T954)=0,"",IF(T954&lt;12,"Under 12 months",IF(T954&lt;36,"12-35 months",IF(T954&lt;60,"36-59 months","≥60 months"))))</f>
        <v/>
      </c>
      <c r="V954" s="27"/>
      <c r="W954" s="30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9"/>
      <c r="AT954" s="30"/>
      <c r="AU954" s="30"/>
      <c r="AV954" s="30"/>
      <c r="AW954" s="27"/>
      <c r="AX954" s="27"/>
      <c r="AY954" s="29"/>
      <c r="AZ954" s="27"/>
      <c r="BA954" s="27"/>
      <c r="BB954" s="29"/>
      <c r="BC954" s="30"/>
      <c r="BD954" s="30"/>
      <c r="BE954" s="30"/>
      <c r="BF954" s="27"/>
      <c r="BG954" s="27"/>
      <c r="BH954" s="28" t="str">
        <f aca="false">IF(COUNT(BC954:BE954)=0,"",IF(MIN(BC954:BE954)&lt;=-2.5,"Yes","No"))</f>
        <v/>
      </c>
      <c r="BI954" s="27"/>
      <c r="BJ954" s="29"/>
      <c r="BK954" s="27"/>
      <c r="BL954" s="27"/>
      <c r="BM954" s="27"/>
      <c r="BN954" s="28" t="str">
        <f aca="false">IF(OR(AX954="Yes",BI954="Yes"),"Yes",IF(AND(AX954="No",BI954="No"),"No",IF(AND(AX954="",BI954=""),"","Unknown")))</f>
        <v/>
      </c>
      <c r="BO954" s="31" t="str">
        <f aca="false">IF(COUNT(AY954,BJ954)=0,"",MIN(AY954,BJ954))</f>
        <v/>
      </c>
      <c r="BP954" s="29"/>
      <c r="BQ954" s="29"/>
      <c r="BR954" s="29"/>
      <c r="BS954" s="28" t="str">
        <f aca="false">IF(AND(N(BP954)&gt;0,N(BR954)&gt;0),BR954-BP954,"")</f>
        <v/>
      </c>
      <c r="BT954" s="28" t="str">
        <f aca="false">IF(BS954="","",ROUND(BS954/365.25,2))</f>
        <v/>
      </c>
      <c r="BU954" s="28" t="str">
        <f aca="false">IF(BS954="","",IF(BS954&gt;=730.5,"Yes","No"))</f>
        <v/>
      </c>
      <c r="BV954" s="27"/>
      <c r="BW954" s="29"/>
      <c r="BX954" s="27"/>
      <c r="BY954" s="27"/>
      <c r="BZ954" s="28" t="str">
        <f aca="false">IF(N(E954)=0,"",IF(E954&lt;65,"Under 65","≥65"))</f>
        <v/>
      </c>
      <c r="CA954" s="28" t="str">
        <f aca="false">IF(OR(AC954="Yes",AC954="No"),AC954,"")</f>
        <v/>
      </c>
      <c r="CB954" s="28" t="str">
        <f aca="false">IF(OR(AD954="Yes",AD954="No"),AD954,"")</f>
        <v/>
      </c>
      <c r="CC954" s="28" t="str">
        <f aca="false">IF(F954="","",F954)</f>
        <v/>
      </c>
      <c r="CD954" s="27"/>
      <c r="CE954" s="27"/>
    </row>
    <row r="955" customFormat="false" ht="15" hidden="false" customHeight="false" outlineLevel="0" collapsed="false">
      <c r="A955" s="27"/>
      <c r="B955" s="27"/>
      <c r="C955" s="27"/>
      <c r="D955" s="27"/>
      <c r="E955" s="27"/>
      <c r="F955" s="27"/>
      <c r="G955" s="27"/>
      <c r="H955" s="27"/>
      <c r="I955" s="27"/>
      <c r="J955" s="28" t="str">
        <f aca="false">IF(AND(N(H955)&gt;0,N(I955)&gt;0),ROUND(I955/(H955/100)^2,1),"")</f>
        <v/>
      </c>
      <c r="K955" s="27"/>
      <c r="L955" s="27"/>
      <c r="M955" s="27"/>
      <c r="N955" s="27"/>
      <c r="O955" s="27"/>
      <c r="P955" s="27"/>
      <c r="Q955" s="27"/>
      <c r="R955" s="29"/>
      <c r="S955" s="29"/>
      <c r="T955" s="27"/>
      <c r="U955" s="28" t="str">
        <f aca="false">IF(N(T955)=0,"",IF(T955&lt;12,"Under 12 months",IF(T955&lt;36,"12-35 months",IF(T955&lt;60,"36-59 months","≥60 months"))))</f>
        <v/>
      </c>
      <c r="V955" s="27"/>
      <c r="W955" s="30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9"/>
      <c r="AT955" s="30"/>
      <c r="AU955" s="30"/>
      <c r="AV955" s="30"/>
      <c r="AW955" s="27"/>
      <c r="AX955" s="27"/>
      <c r="AY955" s="29"/>
      <c r="AZ955" s="27"/>
      <c r="BA955" s="27"/>
      <c r="BB955" s="29"/>
      <c r="BC955" s="30"/>
      <c r="BD955" s="30"/>
      <c r="BE955" s="30"/>
      <c r="BF955" s="27"/>
      <c r="BG955" s="27"/>
      <c r="BH955" s="28" t="str">
        <f aca="false">IF(COUNT(BC955:BE955)=0,"",IF(MIN(BC955:BE955)&lt;=-2.5,"Yes","No"))</f>
        <v/>
      </c>
      <c r="BI955" s="27"/>
      <c r="BJ955" s="29"/>
      <c r="BK955" s="27"/>
      <c r="BL955" s="27"/>
      <c r="BM955" s="27"/>
      <c r="BN955" s="28" t="str">
        <f aca="false">IF(OR(AX955="Yes",BI955="Yes"),"Yes",IF(AND(AX955="No",BI955="No"),"No",IF(AND(AX955="",BI955=""),"","Unknown")))</f>
        <v/>
      </c>
      <c r="BO955" s="31" t="str">
        <f aca="false">IF(COUNT(AY955,BJ955)=0,"",MIN(AY955,BJ955))</f>
        <v/>
      </c>
      <c r="BP955" s="29"/>
      <c r="BQ955" s="29"/>
      <c r="BR955" s="29"/>
      <c r="BS955" s="28" t="str">
        <f aca="false">IF(AND(N(BP955)&gt;0,N(BR955)&gt;0),BR955-BP955,"")</f>
        <v/>
      </c>
      <c r="BT955" s="28" t="str">
        <f aca="false">IF(BS955="","",ROUND(BS955/365.25,2))</f>
        <v/>
      </c>
      <c r="BU955" s="28" t="str">
        <f aca="false">IF(BS955="","",IF(BS955&gt;=730.5,"Yes","No"))</f>
        <v/>
      </c>
      <c r="BV955" s="27"/>
      <c r="BW955" s="29"/>
      <c r="BX955" s="27"/>
      <c r="BY955" s="27"/>
      <c r="BZ955" s="28" t="str">
        <f aca="false">IF(N(E955)=0,"",IF(E955&lt;65,"Under 65","≥65"))</f>
        <v/>
      </c>
      <c r="CA955" s="28" t="str">
        <f aca="false">IF(OR(AC955="Yes",AC955="No"),AC955,"")</f>
        <v/>
      </c>
      <c r="CB955" s="28" t="str">
        <f aca="false">IF(OR(AD955="Yes",AD955="No"),AD955,"")</f>
        <v/>
      </c>
      <c r="CC955" s="28" t="str">
        <f aca="false">IF(F955="","",F955)</f>
        <v/>
      </c>
      <c r="CD955" s="27"/>
      <c r="CE955" s="27"/>
    </row>
    <row r="956" customFormat="false" ht="15" hidden="false" customHeight="false" outlineLevel="0" collapsed="false">
      <c r="A956" s="27"/>
      <c r="B956" s="27"/>
      <c r="C956" s="27"/>
      <c r="D956" s="27"/>
      <c r="E956" s="27"/>
      <c r="F956" s="27"/>
      <c r="G956" s="27"/>
      <c r="H956" s="27"/>
      <c r="I956" s="27"/>
      <c r="J956" s="28" t="str">
        <f aca="false">IF(AND(N(H956)&gt;0,N(I956)&gt;0),ROUND(I956/(H956/100)^2,1),"")</f>
        <v/>
      </c>
      <c r="K956" s="27"/>
      <c r="L956" s="27"/>
      <c r="M956" s="27"/>
      <c r="N956" s="27"/>
      <c r="O956" s="27"/>
      <c r="P956" s="27"/>
      <c r="Q956" s="27"/>
      <c r="R956" s="29"/>
      <c r="S956" s="29"/>
      <c r="T956" s="27"/>
      <c r="U956" s="28" t="str">
        <f aca="false">IF(N(T956)=0,"",IF(T956&lt;12,"Under 12 months",IF(T956&lt;36,"12-35 months",IF(T956&lt;60,"36-59 months","≥60 months"))))</f>
        <v/>
      </c>
      <c r="V956" s="27"/>
      <c r="W956" s="30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9"/>
      <c r="AT956" s="30"/>
      <c r="AU956" s="30"/>
      <c r="AV956" s="30"/>
      <c r="AW956" s="27"/>
      <c r="AX956" s="27"/>
      <c r="AY956" s="29"/>
      <c r="AZ956" s="27"/>
      <c r="BA956" s="27"/>
      <c r="BB956" s="29"/>
      <c r="BC956" s="30"/>
      <c r="BD956" s="30"/>
      <c r="BE956" s="30"/>
      <c r="BF956" s="27"/>
      <c r="BG956" s="27"/>
      <c r="BH956" s="28" t="str">
        <f aca="false">IF(COUNT(BC956:BE956)=0,"",IF(MIN(BC956:BE956)&lt;=-2.5,"Yes","No"))</f>
        <v/>
      </c>
      <c r="BI956" s="27"/>
      <c r="BJ956" s="29"/>
      <c r="BK956" s="27"/>
      <c r="BL956" s="27"/>
      <c r="BM956" s="27"/>
      <c r="BN956" s="28" t="str">
        <f aca="false">IF(OR(AX956="Yes",BI956="Yes"),"Yes",IF(AND(AX956="No",BI956="No"),"No",IF(AND(AX956="",BI956=""),"","Unknown")))</f>
        <v/>
      </c>
      <c r="BO956" s="31" t="str">
        <f aca="false">IF(COUNT(AY956,BJ956)=0,"",MIN(AY956,BJ956))</f>
        <v/>
      </c>
      <c r="BP956" s="29"/>
      <c r="BQ956" s="29"/>
      <c r="BR956" s="29"/>
      <c r="BS956" s="28" t="str">
        <f aca="false">IF(AND(N(BP956)&gt;0,N(BR956)&gt;0),BR956-BP956,"")</f>
        <v/>
      </c>
      <c r="BT956" s="28" t="str">
        <f aca="false">IF(BS956="","",ROUND(BS956/365.25,2))</f>
        <v/>
      </c>
      <c r="BU956" s="28" t="str">
        <f aca="false">IF(BS956="","",IF(BS956&gt;=730.5,"Yes","No"))</f>
        <v/>
      </c>
      <c r="BV956" s="27"/>
      <c r="BW956" s="29"/>
      <c r="BX956" s="27"/>
      <c r="BY956" s="27"/>
      <c r="BZ956" s="28" t="str">
        <f aca="false">IF(N(E956)=0,"",IF(E956&lt;65,"Under 65","≥65"))</f>
        <v/>
      </c>
      <c r="CA956" s="28" t="str">
        <f aca="false">IF(OR(AC956="Yes",AC956="No"),AC956,"")</f>
        <v/>
      </c>
      <c r="CB956" s="28" t="str">
        <f aca="false">IF(OR(AD956="Yes",AD956="No"),AD956,"")</f>
        <v/>
      </c>
      <c r="CC956" s="28" t="str">
        <f aca="false">IF(F956="","",F956)</f>
        <v/>
      </c>
      <c r="CD956" s="27"/>
      <c r="CE956" s="27"/>
    </row>
    <row r="957" customFormat="false" ht="15" hidden="false" customHeight="false" outlineLevel="0" collapsed="false">
      <c r="A957" s="27"/>
      <c r="B957" s="27"/>
      <c r="C957" s="27"/>
      <c r="D957" s="27"/>
      <c r="E957" s="27"/>
      <c r="F957" s="27"/>
      <c r="G957" s="27"/>
      <c r="H957" s="27"/>
      <c r="I957" s="27"/>
      <c r="J957" s="28" t="str">
        <f aca="false">IF(AND(N(H957)&gt;0,N(I957)&gt;0),ROUND(I957/(H957/100)^2,1),"")</f>
        <v/>
      </c>
      <c r="K957" s="27"/>
      <c r="L957" s="27"/>
      <c r="M957" s="27"/>
      <c r="N957" s="27"/>
      <c r="O957" s="27"/>
      <c r="P957" s="27"/>
      <c r="Q957" s="27"/>
      <c r="R957" s="29"/>
      <c r="S957" s="29"/>
      <c r="T957" s="27"/>
      <c r="U957" s="28" t="str">
        <f aca="false">IF(N(T957)=0,"",IF(T957&lt;12,"Under 12 months",IF(T957&lt;36,"12-35 months",IF(T957&lt;60,"36-59 months","≥60 months"))))</f>
        <v/>
      </c>
      <c r="V957" s="27"/>
      <c r="W957" s="30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9"/>
      <c r="AT957" s="30"/>
      <c r="AU957" s="30"/>
      <c r="AV957" s="30"/>
      <c r="AW957" s="27"/>
      <c r="AX957" s="27"/>
      <c r="AY957" s="29"/>
      <c r="AZ957" s="27"/>
      <c r="BA957" s="27"/>
      <c r="BB957" s="29"/>
      <c r="BC957" s="30"/>
      <c r="BD957" s="30"/>
      <c r="BE957" s="30"/>
      <c r="BF957" s="27"/>
      <c r="BG957" s="27"/>
      <c r="BH957" s="28" t="str">
        <f aca="false">IF(COUNT(BC957:BE957)=0,"",IF(MIN(BC957:BE957)&lt;=-2.5,"Yes","No"))</f>
        <v/>
      </c>
      <c r="BI957" s="27"/>
      <c r="BJ957" s="29"/>
      <c r="BK957" s="27"/>
      <c r="BL957" s="27"/>
      <c r="BM957" s="27"/>
      <c r="BN957" s="28" t="str">
        <f aca="false">IF(OR(AX957="Yes",BI957="Yes"),"Yes",IF(AND(AX957="No",BI957="No"),"No",IF(AND(AX957="",BI957=""),"","Unknown")))</f>
        <v/>
      </c>
      <c r="BO957" s="31" t="str">
        <f aca="false">IF(COUNT(AY957,BJ957)=0,"",MIN(AY957,BJ957))</f>
        <v/>
      </c>
      <c r="BP957" s="29"/>
      <c r="BQ957" s="29"/>
      <c r="BR957" s="29"/>
      <c r="BS957" s="28" t="str">
        <f aca="false">IF(AND(N(BP957)&gt;0,N(BR957)&gt;0),BR957-BP957,"")</f>
        <v/>
      </c>
      <c r="BT957" s="28" t="str">
        <f aca="false">IF(BS957="","",ROUND(BS957/365.25,2))</f>
        <v/>
      </c>
      <c r="BU957" s="28" t="str">
        <f aca="false">IF(BS957="","",IF(BS957&gt;=730.5,"Yes","No"))</f>
        <v/>
      </c>
      <c r="BV957" s="27"/>
      <c r="BW957" s="29"/>
      <c r="BX957" s="27"/>
      <c r="BY957" s="27"/>
      <c r="BZ957" s="28" t="str">
        <f aca="false">IF(N(E957)=0,"",IF(E957&lt;65,"Under 65","≥65"))</f>
        <v/>
      </c>
      <c r="CA957" s="28" t="str">
        <f aca="false">IF(OR(AC957="Yes",AC957="No"),AC957,"")</f>
        <v/>
      </c>
      <c r="CB957" s="28" t="str">
        <f aca="false">IF(OR(AD957="Yes",AD957="No"),AD957,"")</f>
        <v/>
      </c>
      <c r="CC957" s="28" t="str">
        <f aca="false">IF(F957="","",F957)</f>
        <v/>
      </c>
      <c r="CD957" s="27"/>
      <c r="CE957" s="27"/>
    </row>
    <row r="958" customFormat="false" ht="15" hidden="false" customHeight="false" outlineLevel="0" collapsed="false">
      <c r="A958" s="27"/>
      <c r="B958" s="27"/>
      <c r="C958" s="27"/>
      <c r="D958" s="27"/>
      <c r="E958" s="27"/>
      <c r="F958" s="27"/>
      <c r="G958" s="27"/>
      <c r="H958" s="27"/>
      <c r="I958" s="27"/>
      <c r="J958" s="28" t="str">
        <f aca="false">IF(AND(N(H958)&gt;0,N(I958)&gt;0),ROUND(I958/(H958/100)^2,1),"")</f>
        <v/>
      </c>
      <c r="K958" s="27"/>
      <c r="L958" s="27"/>
      <c r="M958" s="27"/>
      <c r="N958" s="27"/>
      <c r="O958" s="27"/>
      <c r="P958" s="27"/>
      <c r="Q958" s="27"/>
      <c r="R958" s="29"/>
      <c r="S958" s="29"/>
      <c r="T958" s="27"/>
      <c r="U958" s="28" t="str">
        <f aca="false">IF(N(T958)=0,"",IF(T958&lt;12,"Under 12 months",IF(T958&lt;36,"12-35 months",IF(T958&lt;60,"36-59 months","≥60 months"))))</f>
        <v/>
      </c>
      <c r="V958" s="27"/>
      <c r="W958" s="30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9"/>
      <c r="AT958" s="30"/>
      <c r="AU958" s="30"/>
      <c r="AV958" s="30"/>
      <c r="AW958" s="27"/>
      <c r="AX958" s="27"/>
      <c r="AY958" s="29"/>
      <c r="AZ958" s="27"/>
      <c r="BA958" s="27"/>
      <c r="BB958" s="29"/>
      <c r="BC958" s="30"/>
      <c r="BD958" s="30"/>
      <c r="BE958" s="30"/>
      <c r="BF958" s="27"/>
      <c r="BG958" s="27"/>
      <c r="BH958" s="28" t="str">
        <f aca="false">IF(COUNT(BC958:BE958)=0,"",IF(MIN(BC958:BE958)&lt;=-2.5,"Yes","No"))</f>
        <v/>
      </c>
      <c r="BI958" s="27"/>
      <c r="BJ958" s="29"/>
      <c r="BK958" s="27"/>
      <c r="BL958" s="27"/>
      <c r="BM958" s="27"/>
      <c r="BN958" s="28" t="str">
        <f aca="false">IF(OR(AX958="Yes",BI958="Yes"),"Yes",IF(AND(AX958="No",BI958="No"),"No",IF(AND(AX958="",BI958=""),"","Unknown")))</f>
        <v/>
      </c>
      <c r="BO958" s="31" t="str">
        <f aca="false">IF(COUNT(AY958,BJ958)=0,"",MIN(AY958,BJ958))</f>
        <v/>
      </c>
      <c r="BP958" s="29"/>
      <c r="BQ958" s="29"/>
      <c r="BR958" s="29"/>
      <c r="BS958" s="28" t="str">
        <f aca="false">IF(AND(N(BP958)&gt;0,N(BR958)&gt;0),BR958-BP958,"")</f>
        <v/>
      </c>
      <c r="BT958" s="28" t="str">
        <f aca="false">IF(BS958="","",ROUND(BS958/365.25,2))</f>
        <v/>
      </c>
      <c r="BU958" s="28" t="str">
        <f aca="false">IF(BS958="","",IF(BS958&gt;=730.5,"Yes","No"))</f>
        <v/>
      </c>
      <c r="BV958" s="27"/>
      <c r="BW958" s="29"/>
      <c r="BX958" s="27"/>
      <c r="BY958" s="27"/>
      <c r="BZ958" s="28" t="str">
        <f aca="false">IF(N(E958)=0,"",IF(E958&lt;65,"Under 65","≥65"))</f>
        <v/>
      </c>
      <c r="CA958" s="28" t="str">
        <f aca="false">IF(OR(AC958="Yes",AC958="No"),AC958,"")</f>
        <v/>
      </c>
      <c r="CB958" s="28" t="str">
        <f aca="false">IF(OR(AD958="Yes",AD958="No"),AD958,"")</f>
        <v/>
      </c>
      <c r="CC958" s="28" t="str">
        <f aca="false">IF(F958="","",F958)</f>
        <v/>
      </c>
      <c r="CD958" s="27"/>
      <c r="CE958" s="27"/>
    </row>
    <row r="959" customFormat="false" ht="15" hidden="false" customHeight="false" outlineLevel="0" collapsed="false">
      <c r="A959" s="27"/>
      <c r="B959" s="27"/>
      <c r="C959" s="27"/>
      <c r="D959" s="27"/>
      <c r="E959" s="27"/>
      <c r="F959" s="27"/>
      <c r="G959" s="27"/>
      <c r="H959" s="27"/>
      <c r="I959" s="27"/>
      <c r="J959" s="28" t="str">
        <f aca="false">IF(AND(N(H959)&gt;0,N(I959)&gt;0),ROUND(I959/(H959/100)^2,1),"")</f>
        <v/>
      </c>
      <c r="K959" s="27"/>
      <c r="L959" s="27"/>
      <c r="M959" s="27"/>
      <c r="N959" s="27"/>
      <c r="O959" s="27"/>
      <c r="P959" s="27"/>
      <c r="Q959" s="27"/>
      <c r="R959" s="29"/>
      <c r="S959" s="29"/>
      <c r="T959" s="27"/>
      <c r="U959" s="28" t="str">
        <f aca="false">IF(N(T959)=0,"",IF(T959&lt;12,"Under 12 months",IF(T959&lt;36,"12-35 months",IF(T959&lt;60,"36-59 months","≥60 months"))))</f>
        <v/>
      </c>
      <c r="V959" s="27"/>
      <c r="W959" s="30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9"/>
      <c r="AT959" s="30"/>
      <c r="AU959" s="30"/>
      <c r="AV959" s="30"/>
      <c r="AW959" s="27"/>
      <c r="AX959" s="27"/>
      <c r="AY959" s="29"/>
      <c r="AZ959" s="27"/>
      <c r="BA959" s="27"/>
      <c r="BB959" s="29"/>
      <c r="BC959" s="30"/>
      <c r="BD959" s="30"/>
      <c r="BE959" s="30"/>
      <c r="BF959" s="27"/>
      <c r="BG959" s="27"/>
      <c r="BH959" s="28" t="str">
        <f aca="false">IF(COUNT(BC959:BE959)=0,"",IF(MIN(BC959:BE959)&lt;=-2.5,"Yes","No"))</f>
        <v/>
      </c>
      <c r="BI959" s="27"/>
      <c r="BJ959" s="29"/>
      <c r="BK959" s="27"/>
      <c r="BL959" s="27"/>
      <c r="BM959" s="27"/>
      <c r="BN959" s="28" t="str">
        <f aca="false">IF(OR(AX959="Yes",BI959="Yes"),"Yes",IF(AND(AX959="No",BI959="No"),"No",IF(AND(AX959="",BI959=""),"","Unknown")))</f>
        <v/>
      </c>
      <c r="BO959" s="31" t="str">
        <f aca="false">IF(COUNT(AY959,BJ959)=0,"",MIN(AY959,BJ959))</f>
        <v/>
      </c>
      <c r="BP959" s="29"/>
      <c r="BQ959" s="29"/>
      <c r="BR959" s="29"/>
      <c r="BS959" s="28" t="str">
        <f aca="false">IF(AND(N(BP959)&gt;0,N(BR959)&gt;0),BR959-BP959,"")</f>
        <v/>
      </c>
      <c r="BT959" s="28" t="str">
        <f aca="false">IF(BS959="","",ROUND(BS959/365.25,2))</f>
        <v/>
      </c>
      <c r="BU959" s="28" t="str">
        <f aca="false">IF(BS959="","",IF(BS959&gt;=730.5,"Yes","No"))</f>
        <v/>
      </c>
      <c r="BV959" s="27"/>
      <c r="BW959" s="29"/>
      <c r="BX959" s="27"/>
      <c r="BY959" s="27"/>
      <c r="BZ959" s="28" t="str">
        <f aca="false">IF(N(E959)=0,"",IF(E959&lt;65,"Under 65","≥65"))</f>
        <v/>
      </c>
      <c r="CA959" s="28" t="str">
        <f aca="false">IF(OR(AC959="Yes",AC959="No"),AC959,"")</f>
        <v/>
      </c>
      <c r="CB959" s="28" t="str">
        <f aca="false">IF(OR(AD959="Yes",AD959="No"),AD959,"")</f>
        <v/>
      </c>
      <c r="CC959" s="28" t="str">
        <f aca="false">IF(F959="","",F959)</f>
        <v/>
      </c>
      <c r="CD959" s="27"/>
      <c r="CE959" s="27"/>
    </row>
    <row r="960" customFormat="false" ht="15" hidden="false" customHeight="false" outlineLevel="0" collapsed="false">
      <c r="A960" s="27"/>
      <c r="B960" s="27"/>
      <c r="C960" s="27"/>
      <c r="D960" s="27"/>
      <c r="E960" s="27"/>
      <c r="F960" s="27"/>
      <c r="G960" s="27"/>
      <c r="H960" s="27"/>
      <c r="I960" s="27"/>
      <c r="J960" s="28" t="str">
        <f aca="false">IF(AND(N(H960)&gt;0,N(I960)&gt;0),ROUND(I960/(H960/100)^2,1),"")</f>
        <v/>
      </c>
      <c r="K960" s="27"/>
      <c r="L960" s="27"/>
      <c r="M960" s="27"/>
      <c r="N960" s="27"/>
      <c r="O960" s="27"/>
      <c r="P960" s="27"/>
      <c r="Q960" s="27"/>
      <c r="R960" s="29"/>
      <c r="S960" s="29"/>
      <c r="T960" s="27"/>
      <c r="U960" s="28" t="str">
        <f aca="false">IF(N(T960)=0,"",IF(T960&lt;12,"Under 12 months",IF(T960&lt;36,"12-35 months",IF(T960&lt;60,"36-59 months","≥60 months"))))</f>
        <v/>
      </c>
      <c r="V960" s="27"/>
      <c r="W960" s="30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9"/>
      <c r="AT960" s="30"/>
      <c r="AU960" s="30"/>
      <c r="AV960" s="30"/>
      <c r="AW960" s="27"/>
      <c r="AX960" s="27"/>
      <c r="AY960" s="29"/>
      <c r="AZ960" s="27"/>
      <c r="BA960" s="27"/>
      <c r="BB960" s="29"/>
      <c r="BC960" s="30"/>
      <c r="BD960" s="30"/>
      <c r="BE960" s="30"/>
      <c r="BF960" s="27"/>
      <c r="BG960" s="27"/>
      <c r="BH960" s="28" t="str">
        <f aca="false">IF(COUNT(BC960:BE960)=0,"",IF(MIN(BC960:BE960)&lt;=-2.5,"Yes","No"))</f>
        <v/>
      </c>
      <c r="BI960" s="27"/>
      <c r="BJ960" s="29"/>
      <c r="BK960" s="27"/>
      <c r="BL960" s="27"/>
      <c r="BM960" s="27"/>
      <c r="BN960" s="28" t="str">
        <f aca="false">IF(OR(AX960="Yes",BI960="Yes"),"Yes",IF(AND(AX960="No",BI960="No"),"No",IF(AND(AX960="",BI960=""),"","Unknown")))</f>
        <v/>
      </c>
      <c r="BO960" s="31" t="str">
        <f aca="false">IF(COUNT(AY960,BJ960)=0,"",MIN(AY960,BJ960))</f>
        <v/>
      </c>
      <c r="BP960" s="29"/>
      <c r="BQ960" s="29"/>
      <c r="BR960" s="29"/>
      <c r="BS960" s="28" t="str">
        <f aca="false">IF(AND(N(BP960)&gt;0,N(BR960)&gt;0),BR960-BP960,"")</f>
        <v/>
      </c>
      <c r="BT960" s="28" t="str">
        <f aca="false">IF(BS960="","",ROUND(BS960/365.25,2))</f>
        <v/>
      </c>
      <c r="BU960" s="28" t="str">
        <f aca="false">IF(BS960="","",IF(BS960&gt;=730.5,"Yes","No"))</f>
        <v/>
      </c>
      <c r="BV960" s="27"/>
      <c r="BW960" s="29"/>
      <c r="BX960" s="27"/>
      <c r="BY960" s="27"/>
      <c r="BZ960" s="28" t="str">
        <f aca="false">IF(N(E960)=0,"",IF(E960&lt;65,"Under 65","≥65"))</f>
        <v/>
      </c>
      <c r="CA960" s="28" t="str">
        <f aca="false">IF(OR(AC960="Yes",AC960="No"),AC960,"")</f>
        <v/>
      </c>
      <c r="CB960" s="28" t="str">
        <f aca="false">IF(OR(AD960="Yes",AD960="No"),AD960,"")</f>
        <v/>
      </c>
      <c r="CC960" s="28" t="str">
        <f aca="false">IF(F960="","",F960)</f>
        <v/>
      </c>
      <c r="CD960" s="27"/>
      <c r="CE960" s="27"/>
    </row>
    <row r="961" customFormat="false" ht="15" hidden="false" customHeight="false" outlineLevel="0" collapsed="false">
      <c r="A961" s="27"/>
      <c r="B961" s="27"/>
      <c r="C961" s="27"/>
      <c r="D961" s="27"/>
      <c r="E961" s="27"/>
      <c r="F961" s="27"/>
      <c r="G961" s="27"/>
      <c r="H961" s="27"/>
      <c r="I961" s="27"/>
      <c r="J961" s="28" t="str">
        <f aca="false">IF(AND(N(H961)&gt;0,N(I961)&gt;0),ROUND(I961/(H961/100)^2,1),"")</f>
        <v/>
      </c>
      <c r="K961" s="27"/>
      <c r="L961" s="27"/>
      <c r="M961" s="27"/>
      <c r="N961" s="27"/>
      <c r="O961" s="27"/>
      <c r="P961" s="27"/>
      <c r="Q961" s="27"/>
      <c r="R961" s="29"/>
      <c r="S961" s="29"/>
      <c r="T961" s="27"/>
      <c r="U961" s="28" t="str">
        <f aca="false">IF(N(T961)=0,"",IF(T961&lt;12,"Under 12 months",IF(T961&lt;36,"12-35 months",IF(T961&lt;60,"36-59 months","≥60 months"))))</f>
        <v/>
      </c>
      <c r="V961" s="27"/>
      <c r="W961" s="30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9"/>
      <c r="AT961" s="30"/>
      <c r="AU961" s="30"/>
      <c r="AV961" s="30"/>
      <c r="AW961" s="27"/>
      <c r="AX961" s="27"/>
      <c r="AY961" s="29"/>
      <c r="AZ961" s="27"/>
      <c r="BA961" s="27"/>
      <c r="BB961" s="29"/>
      <c r="BC961" s="30"/>
      <c r="BD961" s="30"/>
      <c r="BE961" s="30"/>
      <c r="BF961" s="27"/>
      <c r="BG961" s="27"/>
      <c r="BH961" s="28" t="str">
        <f aca="false">IF(COUNT(BC961:BE961)=0,"",IF(MIN(BC961:BE961)&lt;=-2.5,"Yes","No"))</f>
        <v/>
      </c>
      <c r="BI961" s="27"/>
      <c r="BJ961" s="29"/>
      <c r="BK961" s="27"/>
      <c r="BL961" s="27"/>
      <c r="BM961" s="27"/>
      <c r="BN961" s="28" t="str">
        <f aca="false">IF(OR(AX961="Yes",BI961="Yes"),"Yes",IF(AND(AX961="No",BI961="No"),"No",IF(AND(AX961="",BI961=""),"","Unknown")))</f>
        <v/>
      </c>
      <c r="BO961" s="31" t="str">
        <f aca="false">IF(COUNT(AY961,BJ961)=0,"",MIN(AY961,BJ961))</f>
        <v/>
      </c>
      <c r="BP961" s="29"/>
      <c r="BQ961" s="29"/>
      <c r="BR961" s="29"/>
      <c r="BS961" s="28" t="str">
        <f aca="false">IF(AND(N(BP961)&gt;0,N(BR961)&gt;0),BR961-BP961,"")</f>
        <v/>
      </c>
      <c r="BT961" s="28" t="str">
        <f aca="false">IF(BS961="","",ROUND(BS961/365.25,2))</f>
        <v/>
      </c>
      <c r="BU961" s="28" t="str">
        <f aca="false">IF(BS961="","",IF(BS961&gt;=730.5,"Yes","No"))</f>
        <v/>
      </c>
      <c r="BV961" s="27"/>
      <c r="BW961" s="29"/>
      <c r="BX961" s="27"/>
      <c r="BY961" s="27"/>
      <c r="BZ961" s="28" t="str">
        <f aca="false">IF(N(E961)=0,"",IF(E961&lt;65,"Under 65","≥65"))</f>
        <v/>
      </c>
      <c r="CA961" s="28" t="str">
        <f aca="false">IF(OR(AC961="Yes",AC961="No"),AC961,"")</f>
        <v/>
      </c>
      <c r="CB961" s="28" t="str">
        <f aca="false">IF(OR(AD961="Yes",AD961="No"),AD961,"")</f>
        <v/>
      </c>
      <c r="CC961" s="28" t="str">
        <f aca="false">IF(F961="","",F961)</f>
        <v/>
      </c>
      <c r="CD961" s="27"/>
      <c r="CE961" s="27"/>
    </row>
    <row r="962" customFormat="false" ht="15" hidden="false" customHeight="false" outlineLevel="0" collapsed="false">
      <c r="A962" s="27"/>
      <c r="B962" s="27"/>
      <c r="C962" s="27"/>
      <c r="D962" s="27"/>
      <c r="E962" s="27"/>
      <c r="F962" s="27"/>
      <c r="G962" s="27"/>
      <c r="H962" s="27"/>
      <c r="I962" s="27"/>
      <c r="J962" s="28" t="str">
        <f aca="false">IF(AND(N(H962)&gt;0,N(I962)&gt;0),ROUND(I962/(H962/100)^2,1),"")</f>
        <v/>
      </c>
      <c r="K962" s="27"/>
      <c r="L962" s="27"/>
      <c r="M962" s="27"/>
      <c r="N962" s="27"/>
      <c r="O962" s="27"/>
      <c r="P962" s="27"/>
      <c r="Q962" s="27"/>
      <c r="R962" s="29"/>
      <c r="S962" s="29"/>
      <c r="T962" s="27"/>
      <c r="U962" s="28" t="str">
        <f aca="false">IF(N(T962)=0,"",IF(T962&lt;12,"Under 12 months",IF(T962&lt;36,"12-35 months",IF(T962&lt;60,"36-59 months","≥60 months"))))</f>
        <v/>
      </c>
      <c r="V962" s="27"/>
      <c r="W962" s="30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9"/>
      <c r="AT962" s="30"/>
      <c r="AU962" s="30"/>
      <c r="AV962" s="30"/>
      <c r="AW962" s="27"/>
      <c r="AX962" s="27"/>
      <c r="AY962" s="29"/>
      <c r="AZ962" s="27"/>
      <c r="BA962" s="27"/>
      <c r="BB962" s="29"/>
      <c r="BC962" s="30"/>
      <c r="BD962" s="30"/>
      <c r="BE962" s="30"/>
      <c r="BF962" s="27"/>
      <c r="BG962" s="27"/>
      <c r="BH962" s="28" t="str">
        <f aca="false">IF(COUNT(BC962:BE962)=0,"",IF(MIN(BC962:BE962)&lt;=-2.5,"Yes","No"))</f>
        <v/>
      </c>
      <c r="BI962" s="27"/>
      <c r="BJ962" s="29"/>
      <c r="BK962" s="27"/>
      <c r="BL962" s="27"/>
      <c r="BM962" s="27"/>
      <c r="BN962" s="28" t="str">
        <f aca="false">IF(OR(AX962="Yes",BI962="Yes"),"Yes",IF(AND(AX962="No",BI962="No"),"No",IF(AND(AX962="",BI962=""),"","Unknown")))</f>
        <v/>
      </c>
      <c r="BO962" s="31" t="str">
        <f aca="false">IF(COUNT(AY962,BJ962)=0,"",MIN(AY962,BJ962))</f>
        <v/>
      </c>
      <c r="BP962" s="29"/>
      <c r="BQ962" s="29"/>
      <c r="BR962" s="29"/>
      <c r="BS962" s="28" t="str">
        <f aca="false">IF(AND(N(BP962)&gt;0,N(BR962)&gt;0),BR962-BP962,"")</f>
        <v/>
      </c>
      <c r="BT962" s="28" t="str">
        <f aca="false">IF(BS962="","",ROUND(BS962/365.25,2))</f>
        <v/>
      </c>
      <c r="BU962" s="28" t="str">
        <f aca="false">IF(BS962="","",IF(BS962&gt;=730.5,"Yes","No"))</f>
        <v/>
      </c>
      <c r="BV962" s="27"/>
      <c r="BW962" s="29"/>
      <c r="BX962" s="27"/>
      <c r="BY962" s="27"/>
      <c r="BZ962" s="28" t="str">
        <f aca="false">IF(N(E962)=0,"",IF(E962&lt;65,"Under 65","≥65"))</f>
        <v/>
      </c>
      <c r="CA962" s="28" t="str">
        <f aca="false">IF(OR(AC962="Yes",AC962="No"),AC962,"")</f>
        <v/>
      </c>
      <c r="CB962" s="28" t="str">
        <f aca="false">IF(OR(AD962="Yes",AD962="No"),AD962,"")</f>
        <v/>
      </c>
      <c r="CC962" s="28" t="str">
        <f aca="false">IF(F962="","",F962)</f>
        <v/>
      </c>
      <c r="CD962" s="27"/>
      <c r="CE962" s="27"/>
    </row>
    <row r="963" customFormat="false" ht="15" hidden="false" customHeight="false" outlineLevel="0" collapsed="false">
      <c r="A963" s="27"/>
      <c r="B963" s="27"/>
      <c r="C963" s="27"/>
      <c r="D963" s="27"/>
      <c r="E963" s="27"/>
      <c r="F963" s="27"/>
      <c r="G963" s="27"/>
      <c r="H963" s="27"/>
      <c r="I963" s="27"/>
      <c r="J963" s="28" t="str">
        <f aca="false">IF(AND(N(H963)&gt;0,N(I963)&gt;0),ROUND(I963/(H963/100)^2,1),"")</f>
        <v/>
      </c>
      <c r="K963" s="27"/>
      <c r="L963" s="27"/>
      <c r="M963" s="27"/>
      <c r="N963" s="27"/>
      <c r="O963" s="27"/>
      <c r="P963" s="27"/>
      <c r="Q963" s="27"/>
      <c r="R963" s="29"/>
      <c r="S963" s="29"/>
      <c r="T963" s="27"/>
      <c r="U963" s="28" t="str">
        <f aca="false">IF(N(T963)=0,"",IF(T963&lt;12,"Under 12 months",IF(T963&lt;36,"12-35 months",IF(T963&lt;60,"36-59 months","≥60 months"))))</f>
        <v/>
      </c>
      <c r="V963" s="27"/>
      <c r="W963" s="30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9"/>
      <c r="AT963" s="30"/>
      <c r="AU963" s="30"/>
      <c r="AV963" s="30"/>
      <c r="AW963" s="27"/>
      <c r="AX963" s="27"/>
      <c r="AY963" s="29"/>
      <c r="AZ963" s="27"/>
      <c r="BA963" s="27"/>
      <c r="BB963" s="29"/>
      <c r="BC963" s="30"/>
      <c r="BD963" s="30"/>
      <c r="BE963" s="30"/>
      <c r="BF963" s="27"/>
      <c r="BG963" s="27"/>
      <c r="BH963" s="28" t="str">
        <f aca="false">IF(COUNT(BC963:BE963)=0,"",IF(MIN(BC963:BE963)&lt;=-2.5,"Yes","No"))</f>
        <v/>
      </c>
      <c r="BI963" s="27"/>
      <c r="BJ963" s="29"/>
      <c r="BK963" s="27"/>
      <c r="BL963" s="27"/>
      <c r="BM963" s="27"/>
      <c r="BN963" s="28" t="str">
        <f aca="false">IF(OR(AX963="Yes",BI963="Yes"),"Yes",IF(AND(AX963="No",BI963="No"),"No",IF(AND(AX963="",BI963=""),"","Unknown")))</f>
        <v/>
      </c>
      <c r="BO963" s="31" t="str">
        <f aca="false">IF(COUNT(AY963,BJ963)=0,"",MIN(AY963,BJ963))</f>
        <v/>
      </c>
      <c r="BP963" s="29"/>
      <c r="BQ963" s="29"/>
      <c r="BR963" s="29"/>
      <c r="BS963" s="28" t="str">
        <f aca="false">IF(AND(N(BP963)&gt;0,N(BR963)&gt;0),BR963-BP963,"")</f>
        <v/>
      </c>
      <c r="BT963" s="28" t="str">
        <f aca="false">IF(BS963="","",ROUND(BS963/365.25,2))</f>
        <v/>
      </c>
      <c r="BU963" s="28" t="str">
        <f aca="false">IF(BS963="","",IF(BS963&gt;=730.5,"Yes","No"))</f>
        <v/>
      </c>
      <c r="BV963" s="27"/>
      <c r="BW963" s="29"/>
      <c r="BX963" s="27"/>
      <c r="BY963" s="27"/>
      <c r="BZ963" s="28" t="str">
        <f aca="false">IF(N(E963)=0,"",IF(E963&lt;65,"Under 65","≥65"))</f>
        <v/>
      </c>
      <c r="CA963" s="28" t="str">
        <f aca="false">IF(OR(AC963="Yes",AC963="No"),AC963,"")</f>
        <v/>
      </c>
      <c r="CB963" s="28" t="str">
        <f aca="false">IF(OR(AD963="Yes",AD963="No"),AD963,"")</f>
        <v/>
      </c>
      <c r="CC963" s="28" t="str">
        <f aca="false">IF(F963="","",F963)</f>
        <v/>
      </c>
      <c r="CD963" s="27"/>
      <c r="CE963" s="27"/>
    </row>
    <row r="964" customFormat="false" ht="15" hidden="false" customHeight="false" outlineLevel="0" collapsed="false">
      <c r="A964" s="27"/>
      <c r="B964" s="27"/>
      <c r="C964" s="27"/>
      <c r="D964" s="27"/>
      <c r="E964" s="27"/>
      <c r="F964" s="27"/>
      <c r="G964" s="27"/>
      <c r="H964" s="27"/>
      <c r="I964" s="27"/>
      <c r="J964" s="28" t="str">
        <f aca="false">IF(AND(N(H964)&gt;0,N(I964)&gt;0),ROUND(I964/(H964/100)^2,1),"")</f>
        <v/>
      </c>
      <c r="K964" s="27"/>
      <c r="L964" s="27"/>
      <c r="M964" s="27"/>
      <c r="N964" s="27"/>
      <c r="O964" s="27"/>
      <c r="P964" s="27"/>
      <c r="Q964" s="27"/>
      <c r="R964" s="29"/>
      <c r="S964" s="29"/>
      <c r="T964" s="27"/>
      <c r="U964" s="28" t="str">
        <f aca="false">IF(N(T964)=0,"",IF(T964&lt;12,"Under 12 months",IF(T964&lt;36,"12-35 months",IF(T964&lt;60,"36-59 months","≥60 months"))))</f>
        <v/>
      </c>
      <c r="V964" s="27"/>
      <c r="W964" s="30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9"/>
      <c r="AT964" s="30"/>
      <c r="AU964" s="30"/>
      <c r="AV964" s="30"/>
      <c r="AW964" s="27"/>
      <c r="AX964" s="27"/>
      <c r="AY964" s="29"/>
      <c r="AZ964" s="27"/>
      <c r="BA964" s="27"/>
      <c r="BB964" s="29"/>
      <c r="BC964" s="30"/>
      <c r="BD964" s="30"/>
      <c r="BE964" s="30"/>
      <c r="BF964" s="27"/>
      <c r="BG964" s="27"/>
      <c r="BH964" s="28" t="str">
        <f aca="false">IF(COUNT(BC964:BE964)=0,"",IF(MIN(BC964:BE964)&lt;=-2.5,"Yes","No"))</f>
        <v/>
      </c>
      <c r="BI964" s="27"/>
      <c r="BJ964" s="29"/>
      <c r="BK964" s="27"/>
      <c r="BL964" s="27"/>
      <c r="BM964" s="27"/>
      <c r="BN964" s="28" t="str">
        <f aca="false">IF(OR(AX964="Yes",BI964="Yes"),"Yes",IF(AND(AX964="No",BI964="No"),"No",IF(AND(AX964="",BI964=""),"","Unknown")))</f>
        <v/>
      </c>
      <c r="BO964" s="31" t="str">
        <f aca="false">IF(COUNT(AY964,BJ964)=0,"",MIN(AY964,BJ964))</f>
        <v/>
      </c>
      <c r="BP964" s="29"/>
      <c r="BQ964" s="29"/>
      <c r="BR964" s="29"/>
      <c r="BS964" s="28" t="str">
        <f aca="false">IF(AND(N(BP964)&gt;0,N(BR964)&gt;0),BR964-BP964,"")</f>
        <v/>
      </c>
      <c r="BT964" s="28" t="str">
        <f aca="false">IF(BS964="","",ROUND(BS964/365.25,2))</f>
        <v/>
      </c>
      <c r="BU964" s="28" t="str">
        <f aca="false">IF(BS964="","",IF(BS964&gt;=730.5,"Yes","No"))</f>
        <v/>
      </c>
      <c r="BV964" s="27"/>
      <c r="BW964" s="29"/>
      <c r="BX964" s="27"/>
      <c r="BY964" s="27"/>
      <c r="BZ964" s="28" t="str">
        <f aca="false">IF(N(E964)=0,"",IF(E964&lt;65,"Under 65","≥65"))</f>
        <v/>
      </c>
      <c r="CA964" s="28" t="str">
        <f aca="false">IF(OR(AC964="Yes",AC964="No"),AC964,"")</f>
        <v/>
      </c>
      <c r="CB964" s="28" t="str">
        <f aca="false">IF(OR(AD964="Yes",AD964="No"),AD964,"")</f>
        <v/>
      </c>
      <c r="CC964" s="28" t="str">
        <f aca="false">IF(F964="","",F964)</f>
        <v/>
      </c>
      <c r="CD964" s="27"/>
      <c r="CE964" s="27"/>
    </row>
    <row r="965" customFormat="false" ht="15" hidden="false" customHeight="false" outlineLevel="0" collapsed="false">
      <c r="A965" s="27"/>
      <c r="B965" s="27"/>
      <c r="C965" s="27"/>
      <c r="D965" s="27"/>
      <c r="E965" s="27"/>
      <c r="F965" s="27"/>
      <c r="G965" s="27"/>
      <c r="H965" s="27"/>
      <c r="I965" s="27"/>
      <c r="J965" s="28" t="str">
        <f aca="false">IF(AND(N(H965)&gt;0,N(I965)&gt;0),ROUND(I965/(H965/100)^2,1),"")</f>
        <v/>
      </c>
      <c r="K965" s="27"/>
      <c r="L965" s="27"/>
      <c r="M965" s="27"/>
      <c r="N965" s="27"/>
      <c r="O965" s="27"/>
      <c r="P965" s="27"/>
      <c r="Q965" s="27"/>
      <c r="R965" s="29"/>
      <c r="S965" s="29"/>
      <c r="T965" s="27"/>
      <c r="U965" s="28" t="str">
        <f aca="false">IF(N(T965)=0,"",IF(T965&lt;12,"Under 12 months",IF(T965&lt;36,"12-35 months",IF(T965&lt;60,"36-59 months","≥60 months"))))</f>
        <v/>
      </c>
      <c r="V965" s="27"/>
      <c r="W965" s="30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9"/>
      <c r="AT965" s="30"/>
      <c r="AU965" s="30"/>
      <c r="AV965" s="30"/>
      <c r="AW965" s="27"/>
      <c r="AX965" s="27"/>
      <c r="AY965" s="29"/>
      <c r="AZ965" s="27"/>
      <c r="BA965" s="27"/>
      <c r="BB965" s="29"/>
      <c r="BC965" s="30"/>
      <c r="BD965" s="30"/>
      <c r="BE965" s="30"/>
      <c r="BF965" s="27"/>
      <c r="BG965" s="27"/>
      <c r="BH965" s="28" t="str">
        <f aca="false">IF(COUNT(BC965:BE965)=0,"",IF(MIN(BC965:BE965)&lt;=-2.5,"Yes","No"))</f>
        <v/>
      </c>
      <c r="BI965" s="27"/>
      <c r="BJ965" s="29"/>
      <c r="BK965" s="27"/>
      <c r="BL965" s="27"/>
      <c r="BM965" s="27"/>
      <c r="BN965" s="28" t="str">
        <f aca="false">IF(OR(AX965="Yes",BI965="Yes"),"Yes",IF(AND(AX965="No",BI965="No"),"No",IF(AND(AX965="",BI965=""),"","Unknown")))</f>
        <v/>
      </c>
      <c r="BO965" s="31" t="str">
        <f aca="false">IF(COUNT(AY965,BJ965)=0,"",MIN(AY965,BJ965))</f>
        <v/>
      </c>
      <c r="BP965" s="29"/>
      <c r="BQ965" s="29"/>
      <c r="BR965" s="29"/>
      <c r="BS965" s="28" t="str">
        <f aca="false">IF(AND(N(BP965)&gt;0,N(BR965)&gt;0),BR965-BP965,"")</f>
        <v/>
      </c>
      <c r="BT965" s="28" t="str">
        <f aca="false">IF(BS965="","",ROUND(BS965/365.25,2))</f>
        <v/>
      </c>
      <c r="BU965" s="28" t="str">
        <f aca="false">IF(BS965="","",IF(BS965&gt;=730.5,"Yes","No"))</f>
        <v/>
      </c>
      <c r="BV965" s="27"/>
      <c r="BW965" s="29"/>
      <c r="BX965" s="27"/>
      <c r="BY965" s="27"/>
      <c r="BZ965" s="28" t="str">
        <f aca="false">IF(N(E965)=0,"",IF(E965&lt;65,"Under 65","≥65"))</f>
        <v/>
      </c>
      <c r="CA965" s="28" t="str">
        <f aca="false">IF(OR(AC965="Yes",AC965="No"),AC965,"")</f>
        <v/>
      </c>
      <c r="CB965" s="28" t="str">
        <f aca="false">IF(OR(AD965="Yes",AD965="No"),AD965,"")</f>
        <v/>
      </c>
      <c r="CC965" s="28" t="str">
        <f aca="false">IF(F965="","",F965)</f>
        <v/>
      </c>
      <c r="CD965" s="27"/>
      <c r="CE965" s="27"/>
    </row>
    <row r="966" customFormat="false" ht="15" hidden="false" customHeight="false" outlineLevel="0" collapsed="false">
      <c r="A966" s="27"/>
      <c r="B966" s="27"/>
      <c r="C966" s="27"/>
      <c r="D966" s="27"/>
      <c r="E966" s="27"/>
      <c r="F966" s="27"/>
      <c r="G966" s="27"/>
      <c r="H966" s="27"/>
      <c r="I966" s="27"/>
      <c r="J966" s="28" t="str">
        <f aca="false">IF(AND(N(H966)&gt;0,N(I966)&gt;0),ROUND(I966/(H966/100)^2,1),"")</f>
        <v/>
      </c>
      <c r="K966" s="27"/>
      <c r="L966" s="27"/>
      <c r="M966" s="27"/>
      <c r="N966" s="27"/>
      <c r="O966" s="27"/>
      <c r="P966" s="27"/>
      <c r="Q966" s="27"/>
      <c r="R966" s="29"/>
      <c r="S966" s="29"/>
      <c r="T966" s="27"/>
      <c r="U966" s="28" t="str">
        <f aca="false">IF(N(T966)=0,"",IF(T966&lt;12,"Under 12 months",IF(T966&lt;36,"12-35 months",IF(T966&lt;60,"36-59 months","≥60 months"))))</f>
        <v/>
      </c>
      <c r="V966" s="27"/>
      <c r="W966" s="30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9"/>
      <c r="AT966" s="30"/>
      <c r="AU966" s="30"/>
      <c r="AV966" s="30"/>
      <c r="AW966" s="27"/>
      <c r="AX966" s="27"/>
      <c r="AY966" s="29"/>
      <c r="AZ966" s="27"/>
      <c r="BA966" s="27"/>
      <c r="BB966" s="29"/>
      <c r="BC966" s="30"/>
      <c r="BD966" s="30"/>
      <c r="BE966" s="30"/>
      <c r="BF966" s="27"/>
      <c r="BG966" s="27"/>
      <c r="BH966" s="28" t="str">
        <f aca="false">IF(COUNT(BC966:BE966)=0,"",IF(MIN(BC966:BE966)&lt;=-2.5,"Yes","No"))</f>
        <v/>
      </c>
      <c r="BI966" s="27"/>
      <c r="BJ966" s="29"/>
      <c r="BK966" s="27"/>
      <c r="BL966" s="27"/>
      <c r="BM966" s="27"/>
      <c r="BN966" s="28" t="str">
        <f aca="false">IF(OR(AX966="Yes",BI966="Yes"),"Yes",IF(AND(AX966="No",BI966="No"),"No",IF(AND(AX966="",BI966=""),"","Unknown")))</f>
        <v/>
      </c>
      <c r="BO966" s="31" t="str">
        <f aca="false">IF(COUNT(AY966,BJ966)=0,"",MIN(AY966,BJ966))</f>
        <v/>
      </c>
      <c r="BP966" s="29"/>
      <c r="BQ966" s="29"/>
      <c r="BR966" s="29"/>
      <c r="BS966" s="28" t="str">
        <f aca="false">IF(AND(N(BP966)&gt;0,N(BR966)&gt;0),BR966-BP966,"")</f>
        <v/>
      </c>
      <c r="BT966" s="28" t="str">
        <f aca="false">IF(BS966="","",ROUND(BS966/365.25,2))</f>
        <v/>
      </c>
      <c r="BU966" s="28" t="str">
        <f aca="false">IF(BS966="","",IF(BS966&gt;=730.5,"Yes","No"))</f>
        <v/>
      </c>
      <c r="BV966" s="27"/>
      <c r="BW966" s="29"/>
      <c r="BX966" s="27"/>
      <c r="BY966" s="27"/>
      <c r="BZ966" s="28" t="str">
        <f aca="false">IF(N(E966)=0,"",IF(E966&lt;65,"Under 65","≥65"))</f>
        <v/>
      </c>
      <c r="CA966" s="28" t="str">
        <f aca="false">IF(OR(AC966="Yes",AC966="No"),AC966,"")</f>
        <v/>
      </c>
      <c r="CB966" s="28" t="str">
        <f aca="false">IF(OR(AD966="Yes",AD966="No"),AD966,"")</f>
        <v/>
      </c>
      <c r="CC966" s="28" t="str">
        <f aca="false">IF(F966="","",F966)</f>
        <v/>
      </c>
      <c r="CD966" s="27"/>
      <c r="CE966" s="27"/>
    </row>
    <row r="967" customFormat="false" ht="15" hidden="false" customHeight="false" outlineLevel="0" collapsed="false">
      <c r="A967" s="27"/>
      <c r="B967" s="27"/>
      <c r="C967" s="27"/>
      <c r="D967" s="27"/>
      <c r="E967" s="27"/>
      <c r="F967" s="27"/>
      <c r="G967" s="27"/>
      <c r="H967" s="27"/>
      <c r="I967" s="27"/>
      <c r="J967" s="28" t="str">
        <f aca="false">IF(AND(N(H967)&gt;0,N(I967)&gt;0),ROUND(I967/(H967/100)^2,1),"")</f>
        <v/>
      </c>
      <c r="K967" s="27"/>
      <c r="L967" s="27"/>
      <c r="M967" s="27"/>
      <c r="N967" s="27"/>
      <c r="O967" s="27"/>
      <c r="P967" s="27"/>
      <c r="Q967" s="27"/>
      <c r="R967" s="29"/>
      <c r="S967" s="29"/>
      <c r="T967" s="27"/>
      <c r="U967" s="28" t="str">
        <f aca="false">IF(N(T967)=0,"",IF(T967&lt;12,"Under 12 months",IF(T967&lt;36,"12-35 months",IF(T967&lt;60,"36-59 months","≥60 months"))))</f>
        <v/>
      </c>
      <c r="V967" s="27"/>
      <c r="W967" s="30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9"/>
      <c r="AT967" s="30"/>
      <c r="AU967" s="30"/>
      <c r="AV967" s="30"/>
      <c r="AW967" s="27"/>
      <c r="AX967" s="27"/>
      <c r="AY967" s="29"/>
      <c r="AZ967" s="27"/>
      <c r="BA967" s="27"/>
      <c r="BB967" s="29"/>
      <c r="BC967" s="30"/>
      <c r="BD967" s="30"/>
      <c r="BE967" s="30"/>
      <c r="BF967" s="27"/>
      <c r="BG967" s="27"/>
      <c r="BH967" s="28" t="str">
        <f aca="false">IF(COUNT(BC967:BE967)=0,"",IF(MIN(BC967:BE967)&lt;=-2.5,"Yes","No"))</f>
        <v/>
      </c>
      <c r="BI967" s="27"/>
      <c r="BJ967" s="29"/>
      <c r="BK967" s="27"/>
      <c r="BL967" s="27"/>
      <c r="BM967" s="27"/>
      <c r="BN967" s="28" t="str">
        <f aca="false">IF(OR(AX967="Yes",BI967="Yes"),"Yes",IF(AND(AX967="No",BI967="No"),"No",IF(AND(AX967="",BI967=""),"","Unknown")))</f>
        <v/>
      </c>
      <c r="BO967" s="31" t="str">
        <f aca="false">IF(COUNT(AY967,BJ967)=0,"",MIN(AY967,BJ967))</f>
        <v/>
      </c>
      <c r="BP967" s="29"/>
      <c r="BQ967" s="29"/>
      <c r="BR967" s="29"/>
      <c r="BS967" s="28" t="str">
        <f aca="false">IF(AND(N(BP967)&gt;0,N(BR967)&gt;0),BR967-BP967,"")</f>
        <v/>
      </c>
      <c r="BT967" s="28" t="str">
        <f aca="false">IF(BS967="","",ROUND(BS967/365.25,2))</f>
        <v/>
      </c>
      <c r="BU967" s="28" t="str">
        <f aca="false">IF(BS967="","",IF(BS967&gt;=730.5,"Yes","No"))</f>
        <v/>
      </c>
      <c r="BV967" s="27"/>
      <c r="BW967" s="29"/>
      <c r="BX967" s="27"/>
      <c r="BY967" s="27"/>
      <c r="BZ967" s="28" t="str">
        <f aca="false">IF(N(E967)=0,"",IF(E967&lt;65,"Under 65","≥65"))</f>
        <v/>
      </c>
      <c r="CA967" s="28" t="str">
        <f aca="false">IF(OR(AC967="Yes",AC967="No"),AC967,"")</f>
        <v/>
      </c>
      <c r="CB967" s="28" t="str">
        <f aca="false">IF(OR(AD967="Yes",AD967="No"),AD967,"")</f>
        <v/>
      </c>
      <c r="CC967" s="28" t="str">
        <f aca="false">IF(F967="","",F967)</f>
        <v/>
      </c>
      <c r="CD967" s="27"/>
      <c r="CE967" s="27"/>
    </row>
    <row r="968" customFormat="false" ht="15" hidden="false" customHeight="false" outlineLevel="0" collapsed="false">
      <c r="A968" s="27"/>
      <c r="B968" s="27"/>
      <c r="C968" s="27"/>
      <c r="D968" s="27"/>
      <c r="E968" s="27"/>
      <c r="F968" s="27"/>
      <c r="G968" s="27"/>
      <c r="H968" s="27"/>
      <c r="I968" s="27"/>
      <c r="J968" s="28" t="str">
        <f aca="false">IF(AND(N(H968)&gt;0,N(I968)&gt;0),ROUND(I968/(H968/100)^2,1),"")</f>
        <v/>
      </c>
      <c r="K968" s="27"/>
      <c r="L968" s="27"/>
      <c r="M968" s="27"/>
      <c r="N968" s="27"/>
      <c r="O968" s="27"/>
      <c r="P968" s="27"/>
      <c r="Q968" s="27"/>
      <c r="R968" s="29"/>
      <c r="S968" s="29"/>
      <c r="T968" s="27"/>
      <c r="U968" s="28" t="str">
        <f aca="false">IF(N(T968)=0,"",IF(T968&lt;12,"Under 12 months",IF(T968&lt;36,"12-35 months",IF(T968&lt;60,"36-59 months","≥60 months"))))</f>
        <v/>
      </c>
      <c r="V968" s="27"/>
      <c r="W968" s="30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9"/>
      <c r="AT968" s="30"/>
      <c r="AU968" s="30"/>
      <c r="AV968" s="30"/>
      <c r="AW968" s="27"/>
      <c r="AX968" s="27"/>
      <c r="AY968" s="29"/>
      <c r="AZ968" s="27"/>
      <c r="BA968" s="27"/>
      <c r="BB968" s="29"/>
      <c r="BC968" s="30"/>
      <c r="BD968" s="30"/>
      <c r="BE968" s="30"/>
      <c r="BF968" s="27"/>
      <c r="BG968" s="27"/>
      <c r="BH968" s="28" t="str">
        <f aca="false">IF(COUNT(BC968:BE968)=0,"",IF(MIN(BC968:BE968)&lt;=-2.5,"Yes","No"))</f>
        <v/>
      </c>
      <c r="BI968" s="27"/>
      <c r="BJ968" s="29"/>
      <c r="BK968" s="27"/>
      <c r="BL968" s="27"/>
      <c r="BM968" s="27"/>
      <c r="BN968" s="28" t="str">
        <f aca="false">IF(OR(AX968="Yes",BI968="Yes"),"Yes",IF(AND(AX968="No",BI968="No"),"No",IF(AND(AX968="",BI968=""),"","Unknown")))</f>
        <v/>
      </c>
      <c r="BO968" s="31" t="str">
        <f aca="false">IF(COUNT(AY968,BJ968)=0,"",MIN(AY968,BJ968))</f>
        <v/>
      </c>
      <c r="BP968" s="29"/>
      <c r="BQ968" s="29"/>
      <c r="BR968" s="29"/>
      <c r="BS968" s="28" t="str">
        <f aca="false">IF(AND(N(BP968)&gt;0,N(BR968)&gt;0),BR968-BP968,"")</f>
        <v/>
      </c>
      <c r="BT968" s="28" t="str">
        <f aca="false">IF(BS968="","",ROUND(BS968/365.25,2))</f>
        <v/>
      </c>
      <c r="BU968" s="28" t="str">
        <f aca="false">IF(BS968="","",IF(BS968&gt;=730.5,"Yes","No"))</f>
        <v/>
      </c>
      <c r="BV968" s="27"/>
      <c r="BW968" s="29"/>
      <c r="BX968" s="27"/>
      <c r="BY968" s="27"/>
      <c r="BZ968" s="28" t="str">
        <f aca="false">IF(N(E968)=0,"",IF(E968&lt;65,"Under 65","≥65"))</f>
        <v/>
      </c>
      <c r="CA968" s="28" t="str">
        <f aca="false">IF(OR(AC968="Yes",AC968="No"),AC968,"")</f>
        <v/>
      </c>
      <c r="CB968" s="28" t="str">
        <f aca="false">IF(OR(AD968="Yes",AD968="No"),AD968,"")</f>
        <v/>
      </c>
      <c r="CC968" s="28" t="str">
        <f aca="false">IF(F968="","",F968)</f>
        <v/>
      </c>
      <c r="CD968" s="27"/>
      <c r="CE968" s="27"/>
    </row>
    <row r="969" customFormat="false" ht="15" hidden="false" customHeight="false" outlineLevel="0" collapsed="false">
      <c r="A969" s="27"/>
      <c r="B969" s="27"/>
      <c r="C969" s="27"/>
      <c r="D969" s="27"/>
      <c r="E969" s="27"/>
      <c r="F969" s="27"/>
      <c r="G969" s="27"/>
      <c r="H969" s="27"/>
      <c r="I969" s="27"/>
      <c r="J969" s="28" t="str">
        <f aca="false">IF(AND(N(H969)&gt;0,N(I969)&gt;0),ROUND(I969/(H969/100)^2,1),"")</f>
        <v/>
      </c>
      <c r="K969" s="27"/>
      <c r="L969" s="27"/>
      <c r="M969" s="27"/>
      <c r="N969" s="27"/>
      <c r="O969" s="27"/>
      <c r="P969" s="27"/>
      <c r="Q969" s="27"/>
      <c r="R969" s="29"/>
      <c r="S969" s="29"/>
      <c r="T969" s="27"/>
      <c r="U969" s="28" t="str">
        <f aca="false">IF(N(T969)=0,"",IF(T969&lt;12,"Under 12 months",IF(T969&lt;36,"12-35 months",IF(T969&lt;60,"36-59 months","≥60 months"))))</f>
        <v/>
      </c>
      <c r="V969" s="27"/>
      <c r="W969" s="30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9"/>
      <c r="AT969" s="30"/>
      <c r="AU969" s="30"/>
      <c r="AV969" s="30"/>
      <c r="AW969" s="27"/>
      <c r="AX969" s="27"/>
      <c r="AY969" s="29"/>
      <c r="AZ969" s="27"/>
      <c r="BA969" s="27"/>
      <c r="BB969" s="29"/>
      <c r="BC969" s="30"/>
      <c r="BD969" s="30"/>
      <c r="BE969" s="30"/>
      <c r="BF969" s="27"/>
      <c r="BG969" s="27"/>
      <c r="BH969" s="28" t="str">
        <f aca="false">IF(COUNT(BC969:BE969)=0,"",IF(MIN(BC969:BE969)&lt;=-2.5,"Yes","No"))</f>
        <v/>
      </c>
      <c r="BI969" s="27"/>
      <c r="BJ969" s="29"/>
      <c r="BK969" s="27"/>
      <c r="BL969" s="27"/>
      <c r="BM969" s="27"/>
      <c r="BN969" s="28" t="str">
        <f aca="false">IF(OR(AX969="Yes",BI969="Yes"),"Yes",IF(AND(AX969="No",BI969="No"),"No",IF(AND(AX969="",BI969=""),"","Unknown")))</f>
        <v/>
      </c>
      <c r="BO969" s="31" t="str">
        <f aca="false">IF(COUNT(AY969,BJ969)=0,"",MIN(AY969,BJ969))</f>
        <v/>
      </c>
      <c r="BP969" s="29"/>
      <c r="BQ969" s="29"/>
      <c r="BR969" s="29"/>
      <c r="BS969" s="28" t="str">
        <f aca="false">IF(AND(N(BP969)&gt;0,N(BR969)&gt;0),BR969-BP969,"")</f>
        <v/>
      </c>
      <c r="BT969" s="28" t="str">
        <f aca="false">IF(BS969="","",ROUND(BS969/365.25,2))</f>
        <v/>
      </c>
      <c r="BU969" s="28" t="str">
        <f aca="false">IF(BS969="","",IF(BS969&gt;=730.5,"Yes","No"))</f>
        <v/>
      </c>
      <c r="BV969" s="27"/>
      <c r="BW969" s="29"/>
      <c r="BX969" s="27"/>
      <c r="BY969" s="27"/>
      <c r="BZ969" s="28" t="str">
        <f aca="false">IF(N(E969)=0,"",IF(E969&lt;65,"Under 65","≥65"))</f>
        <v/>
      </c>
      <c r="CA969" s="28" t="str">
        <f aca="false">IF(OR(AC969="Yes",AC969="No"),AC969,"")</f>
        <v/>
      </c>
      <c r="CB969" s="28" t="str">
        <f aca="false">IF(OR(AD969="Yes",AD969="No"),AD969,"")</f>
        <v/>
      </c>
      <c r="CC969" s="28" t="str">
        <f aca="false">IF(F969="","",F969)</f>
        <v/>
      </c>
      <c r="CD969" s="27"/>
      <c r="CE969" s="27"/>
    </row>
    <row r="970" customFormat="false" ht="15" hidden="false" customHeight="false" outlineLevel="0" collapsed="false">
      <c r="A970" s="27"/>
      <c r="B970" s="27"/>
      <c r="C970" s="27"/>
      <c r="D970" s="27"/>
      <c r="E970" s="27"/>
      <c r="F970" s="27"/>
      <c r="G970" s="27"/>
      <c r="H970" s="27"/>
      <c r="I970" s="27"/>
      <c r="J970" s="28" t="str">
        <f aca="false">IF(AND(N(H970)&gt;0,N(I970)&gt;0),ROUND(I970/(H970/100)^2,1),"")</f>
        <v/>
      </c>
      <c r="K970" s="27"/>
      <c r="L970" s="27"/>
      <c r="M970" s="27"/>
      <c r="N970" s="27"/>
      <c r="O970" s="27"/>
      <c r="P970" s="27"/>
      <c r="Q970" s="27"/>
      <c r="R970" s="29"/>
      <c r="S970" s="29"/>
      <c r="T970" s="27"/>
      <c r="U970" s="28" t="str">
        <f aca="false">IF(N(T970)=0,"",IF(T970&lt;12,"Under 12 months",IF(T970&lt;36,"12-35 months",IF(T970&lt;60,"36-59 months","≥60 months"))))</f>
        <v/>
      </c>
      <c r="V970" s="27"/>
      <c r="W970" s="30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9"/>
      <c r="AT970" s="30"/>
      <c r="AU970" s="30"/>
      <c r="AV970" s="30"/>
      <c r="AW970" s="27"/>
      <c r="AX970" s="27"/>
      <c r="AY970" s="29"/>
      <c r="AZ970" s="27"/>
      <c r="BA970" s="27"/>
      <c r="BB970" s="29"/>
      <c r="BC970" s="30"/>
      <c r="BD970" s="30"/>
      <c r="BE970" s="30"/>
      <c r="BF970" s="27"/>
      <c r="BG970" s="27"/>
      <c r="BH970" s="28" t="str">
        <f aca="false">IF(COUNT(BC970:BE970)=0,"",IF(MIN(BC970:BE970)&lt;=-2.5,"Yes","No"))</f>
        <v/>
      </c>
      <c r="BI970" s="27"/>
      <c r="BJ970" s="29"/>
      <c r="BK970" s="27"/>
      <c r="BL970" s="27"/>
      <c r="BM970" s="27"/>
      <c r="BN970" s="28" t="str">
        <f aca="false">IF(OR(AX970="Yes",BI970="Yes"),"Yes",IF(AND(AX970="No",BI970="No"),"No",IF(AND(AX970="",BI970=""),"","Unknown")))</f>
        <v/>
      </c>
      <c r="BO970" s="31" t="str">
        <f aca="false">IF(COUNT(AY970,BJ970)=0,"",MIN(AY970,BJ970))</f>
        <v/>
      </c>
      <c r="BP970" s="29"/>
      <c r="BQ970" s="29"/>
      <c r="BR970" s="29"/>
      <c r="BS970" s="28" t="str">
        <f aca="false">IF(AND(N(BP970)&gt;0,N(BR970)&gt;0),BR970-BP970,"")</f>
        <v/>
      </c>
      <c r="BT970" s="28" t="str">
        <f aca="false">IF(BS970="","",ROUND(BS970/365.25,2))</f>
        <v/>
      </c>
      <c r="BU970" s="28" t="str">
        <f aca="false">IF(BS970="","",IF(BS970&gt;=730.5,"Yes","No"))</f>
        <v/>
      </c>
      <c r="BV970" s="27"/>
      <c r="BW970" s="29"/>
      <c r="BX970" s="27"/>
      <c r="BY970" s="27"/>
      <c r="BZ970" s="28" t="str">
        <f aca="false">IF(N(E970)=0,"",IF(E970&lt;65,"Under 65","≥65"))</f>
        <v/>
      </c>
      <c r="CA970" s="28" t="str">
        <f aca="false">IF(OR(AC970="Yes",AC970="No"),AC970,"")</f>
        <v/>
      </c>
      <c r="CB970" s="28" t="str">
        <f aca="false">IF(OR(AD970="Yes",AD970="No"),AD970,"")</f>
        <v/>
      </c>
      <c r="CC970" s="28" t="str">
        <f aca="false">IF(F970="","",F970)</f>
        <v/>
      </c>
      <c r="CD970" s="27"/>
      <c r="CE970" s="27"/>
    </row>
    <row r="971" customFormat="false" ht="15" hidden="false" customHeight="false" outlineLevel="0" collapsed="false">
      <c r="A971" s="27"/>
      <c r="B971" s="27"/>
      <c r="C971" s="27"/>
      <c r="D971" s="27"/>
      <c r="E971" s="27"/>
      <c r="F971" s="27"/>
      <c r="G971" s="27"/>
      <c r="H971" s="27"/>
      <c r="I971" s="27"/>
      <c r="J971" s="28" t="str">
        <f aca="false">IF(AND(N(H971)&gt;0,N(I971)&gt;0),ROUND(I971/(H971/100)^2,1),"")</f>
        <v/>
      </c>
      <c r="K971" s="27"/>
      <c r="L971" s="27"/>
      <c r="M971" s="27"/>
      <c r="N971" s="27"/>
      <c r="O971" s="27"/>
      <c r="P971" s="27"/>
      <c r="Q971" s="27"/>
      <c r="R971" s="29"/>
      <c r="S971" s="29"/>
      <c r="T971" s="27"/>
      <c r="U971" s="28" t="str">
        <f aca="false">IF(N(T971)=0,"",IF(T971&lt;12,"Under 12 months",IF(T971&lt;36,"12-35 months",IF(T971&lt;60,"36-59 months","≥60 months"))))</f>
        <v/>
      </c>
      <c r="V971" s="27"/>
      <c r="W971" s="30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9"/>
      <c r="AT971" s="30"/>
      <c r="AU971" s="30"/>
      <c r="AV971" s="30"/>
      <c r="AW971" s="27"/>
      <c r="AX971" s="27"/>
      <c r="AY971" s="29"/>
      <c r="AZ971" s="27"/>
      <c r="BA971" s="27"/>
      <c r="BB971" s="29"/>
      <c r="BC971" s="30"/>
      <c r="BD971" s="30"/>
      <c r="BE971" s="30"/>
      <c r="BF971" s="27"/>
      <c r="BG971" s="27"/>
      <c r="BH971" s="28" t="str">
        <f aca="false">IF(COUNT(BC971:BE971)=0,"",IF(MIN(BC971:BE971)&lt;=-2.5,"Yes","No"))</f>
        <v/>
      </c>
      <c r="BI971" s="27"/>
      <c r="BJ971" s="29"/>
      <c r="BK971" s="27"/>
      <c r="BL971" s="27"/>
      <c r="BM971" s="27"/>
      <c r="BN971" s="28" t="str">
        <f aca="false">IF(OR(AX971="Yes",BI971="Yes"),"Yes",IF(AND(AX971="No",BI971="No"),"No",IF(AND(AX971="",BI971=""),"","Unknown")))</f>
        <v/>
      </c>
      <c r="BO971" s="31" t="str">
        <f aca="false">IF(COUNT(AY971,BJ971)=0,"",MIN(AY971,BJ971))</f>
        <v/>
      </c>
      <c r="BP971" s="29"/>
      <c r="BQ971" s="29"/>
      <c r="BR971" s="29"/>
      <c r="BS971" s="28" t="str">
        <f aca="false">IF(AND(N(BP971)&gt;0,N(BR971)&gt;0),BR971-BP971,"")</f>
        <v/>
      </c>
      <c r="BT971" s="28" t="str">
        <f aca="false">IF(BS971="","",ROUND(BS971/365.25,2))</f>
        <v/>
      </c>
      <c r="BU971" s="28" t="str">
        <f aca="false">IF(BS971="","",IF(BS971&gt;=730.5,"Yes","No"))</f>
        <v/>
      </c>
      <c r="BV971" s="27"/>
      <c r="BW971" s="29"/>
      <c r="BX971" s="27"/>
      <c r="BY971" s="27"/>
      <c r="BZ971" s="28" t="str">
        <f aca="false">IF(N(E971)=0,"",IF(E971&lt;65,"Under 65","≥65"))</f>
        <v/>
      </c>
      <c r="CA971" s="28" t="str">
        <f aca="false">IF(OR(AC971="Yes",AC971="No"),AC971,"")</f>
        <v/>
      </c>
      <c r="CB971" s="28" t="str">
        <f aca="false">IF(OR(AD971="Yes",AD971="No"),AD971,"")</f>
        <v/>
      </c>
      <c r="CC971" s="28" t="str">
        <f aca="false">IF(F971="","",F971)</f>
        <v/>
      </c>
      <c r="CD971" s="27"/>
      <c r="CE971" s="27"/>
    </row>
    <row r="972" customFormat="false" ht="15" hidden="false" customHeight="false" outlineLevel="0" collapsed="false">
      <c r="A972" s="27"/>
      <c r="B972" s="27"/>
      <c r="C972" s="27"/>
      <c r="D972" s="27"/>
      <c r="E972" s="27"/>
      <c r="F972" s="27"/>
      <c r="G972" s="27"/>
      <c r="H972" s="27"/>
      <c r="I972" s="27"/>
      <c r="J972" s="28" t="str">
        <f aca="false">IF(AND(N(H972)&gt;0,N(I972)&gt;0),ROUND(I972/(H972/100)^2,1),"")</f>
        <v/>
      </c>
      <c r="K972" s="27"/>
      <c r="L972" s="27"/>
      <c r="M972" s="27"/>
      <c r="N972" s="27"/>
      <c r="O972" s="27"/>
      <c r="P972" s="27"/>
      <c r="Q972" s="27"/>
      <c r="R972" s="29"/>
      <c r="S972" s="29"/>
      <c r="T972" s="27"/>
      <c r="U972" s="28" t="str">
        <f aca="false">IF(N(T972)=0,"",IF(T972&lt;12,"Under 12 months",IF(T972&lt;36,"12-35 months",IF(T972&lt;60,"36-59 months","≥60 months"))))</f>
        <v/>
      </c>
      <c r="V972" s="27"/>
      <c r="W972" s="30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9"/>
      <c r="AT972" s="30"/>
      <c r="AU972" s="30"/>
      <c r="AV972" s="30"/>
      <c r="AW972" s="27"/>
      <c r="AX972" s="27"/>
      <c r="AY972" s="29"/>
      <c r="AZ972" s="27"/>
      <c r="BA972" s="27"/>
      <c r="BB972" s="29"/>
      <c r="BC972" s="30"/>
      <c r="BD972" s="30"/>
      <c r="BE972" s="30"/>
      <c r="BF972" s="27"/>
      <c r="BG972" s="27"/>
      <c r="BH972" s="28" t="str">
        <f aca="false">IF(COUNT(BC972:BE972)=0,"",IF(MIN(BC972:BE972)&lt;=-2.5,"Yes","No"))</f>
        <v/>
      </c>
      <c r="BI972" s="27"/>
      <c r="BJ972" s="29"/>
      <c r="BK972" s="27"/>
      <c r="BL972" s="27"/>
      <c r="BM972" s="27"/>
      <c r="BN972" s="28" t="str">
        <f aca="false">IF(OR(AX972="Yes",BI972="Yes"),"Yes",IF(AND(AX972="No",BI972="No"),"No",IF(AND(AX972="",BI972=""),"","Unknown")))</f>
        <v/>
      </c>
      <c r="BO972" s="31" t="str">
        <f aca="false">IF(COUNT(AY972,BJ972)=0,"",MIN(AY972,BJ972))</f>
        <v/>
      </c>
      <c r="BP972" s="29"/>
      <c r="BQ972" s="29"/>
      <c r="BR972" s="29"/>
      <c r="BS972" s="28" t="str">
        <f aca="false">IF(AND(N(BP972)&gt;0,N(BR972)&gt;0),BR972-BP972,"")</f>
        <v/>
      </c>
      <c r="BT972" s="28" t="str">
        <f aca="false">IF(BS972="","",ROUND(BS972/365.25,2))</f>
        <v/>
      </c>
      <c r="BU972" s="28" t="str">
        <f aca="false">IF(BS972="","",IF(BS972&gt;=730.5,"Yes","No"))</f>
        <v/>
      </c>
      <c r="BV972" s="27"/>
      <c r="BW972" s="29"/>
      <c r="BX972" s="27"/>
      <c r="BY972" s="27"/>
      <c r="BZ972" s="28" t="str">
        <f aca="false">IF(N(E972)=0,"",IF(E972&lt;65,"Under 65","≥65"))</f>
        <v/>
      </c>
      <c r="CA972" s="28" t="str">
        <f aca="false">IF(OR(AC972="Yes",AC972="No"),AC972,"")</f>
        <v/>
      </c>
      <c r="CB972" s="28" t="str">
        <f aca="false">IF(OR(AD972="Yes",AD972="No"),AD972,"")</f>
        <v/>
      </c>
      <c r="CC972" s="28" t="str">
        <f aca="false">IF(F972="","",F972)</f>
        <v/>
      </c>
      <c r="CD972" s="27"/>
      <c r="CE972" s="27"/>
    </row>
    <row r="973" customFormat="false" ht="15" hidden="false" customHeight="false" outlineLevel="0" collapsed="false">
      <c r="A973" s="27"/>
      <c r="B973" s="27"/>
      <c r="C973" s="27"/>
      <c r="D973" s="27"/>
      <c r="E973" s="27"/>
      <c r="F973" s="27"/>
      <c r="G973" s="27"/>
      <c r="H973" s="27"/>
      <c r="I973" s="27"/>
      <c r="J973" s="28" t="str">
        <f aca="false">IF(AND(N(H973)&gt;0,N(I973)&gt;0),ROUND(I973/(H973/100)^2,1),"")</f>
        <v/>
      </c>
      <c r="K973" s="27"/>
      <c r="L973" s="27"/>
      <c r="M973" s="27"/>
      <c r="N973" s="27"/>
      <c r="O973" s="27"/>
      <c r="P973" s="27"/>
      <c r="Q973" s="27"/>
      <c r="R973" s="29"/>
      <c r="S973" s="29"/>
      <c r="T973" s="27"/>
      <c r="U973" s="28" t="str">
        <f aca="false">IF(N(T973)=0,"",IF(T973&lt;12,"Under 12 months",IF(T973&lt;36,"12-35 months",IF(T973&lt;60,"36-59 months","≥60 months"))))</f>
        <v/>
      </c>
      <c r="V973" s="27"/>
      <c r="W973" s="30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9"/>
      <c r="AT973" s="30"/>
      <c r="AU973" s="30"/>
      <c r="AV973" s="30"/>
      <c r="AW973" s="27"/>
      <c r="AX973" s="27"/>
      <c r="AY973" s="29"/>
      <c r="AZ973" s="27"/>
      <c r="BA973" s="27"/>
      <c r="BB973" s="29"/>
      <c r="BC973" s="30"/>
      <c r="BD973" s="30"/>
      <c r="BE973" s="30"/>
      <c r="BF973" s="27"/>
      <c r="BG973" s="27"/>
      <c r="BH973" s="28" t="str">
        <f aca="false">IF(COUNT(BC973:BE973)=0,"",IF(MIN(BC973:BE973)&lt;=-2.5,"Yes","No"))</f>
        <v/>
      </c>
      <c r="BI973" s="27"/>
      <c r="BJ973" s="29"/>
      <c r="BK973" s="27"/>
      <c r="BL973" s="27"/>
      <c r="BM973" s="27"/>
      <c r="BN973" s="28" t="str">
        <f aca="false">IF(OR(AX973="Yes",BI973="Yes"),"Yes",IF(AND(AX973="No",BI973="No"),"No",IF(AND(AX973="",BI973=""),"","Unknown")))</f>
        <v/>
      </c>
      <c r="BO973" s="31" t="str">
        <f aca="false">IF(COUNT(AY973,BJ973)=0,"",MIN(AY973,BJ973))</f>
        <v/>
      </c>
      <c r="BP973" s="29"/>
      <c r="BQ973" s="29"/>
      <c r="BR973" s="29"/>
      <c r="BS973" s="28" t="str">
        <f aca="false">IF(AND(N(BP973)&gt;0,N(BR973)&gt;0),BR973-BP973,"")</f>
        <v/>
      </c>
      <c r="BT973" s="28" t="str">
        <f aca="false">IF(BS973="","",ROUND(BS973/365.25,2))</f>
        <v/>
      </c>
      <c r="BU973" s="28" t="str">
        <f aca="false">IF(BS973="","",IF(BS973&gt;=730.5,"Yes","No"))</f>
        <v/>
      </c>
      <c r="BV973" s="27"/>
      <c r="BW973" s="29"/>
      <c r="BX973" s="27"/>
      <c r="BY973" s="27"/>
      <c r="BZ973" s="28" t="str">
        <f aca="false">IF(N(E973)=0,"",IF(E973&lt;65,"Under 65","≥65"))</f>
        <v/>
      </c>
      <c r="CA973" s="28" t="str">
        <f aca="false">IF(OR(AC973="Yes",AC973="No"),AC973,"")</f>
        <v/>
      </c>
      <c r="CB973" s="28" t="str">
        <f aca="false">IF(OR(AD973="Yes",AD973="No"),AD973,"")</f>
        <v/>
      </c>
      <c r="CC973" s="28" t="str">
        <f aca="false">IF(F973="","",F973)</f>
        <v/>
      </c>
      <c r="CD973" s="27"/>
      <c r="CE973" s="27"/>
    </row>
    <row r="974" customFormat="false" ht="15" hidden="false" customHeight="false" outlineLevel="0" collapsed="false">
      <c r="A974" s="27"/>
      <c r="B974" s="27"/>
      <c r="C974" s="27"/>
      <c r="D974" s="27"/>
      <c r="E974" s="27"/>
      <c r="F974" s="27"/>
      <c r="G974" s="27"/>
      <c r="H974" s="27"/>
      <c r="I974" s="27"/>
      <c r="J974" s="28" t="str">
        <f aca="false">IF(AND(N(H974)&gt;0,N(I974)&gt;0),ROUND(I974/(H974/100)^2,1),"")</f>
        <v/>
      </c>
      <c r="K974" s="27"/>
      <c r="L974" s="27"/>
      <c r="M974" s="27"/>
      <c r="N974" s="27"/>
      <c r="O974" s="27"/>
      <c r="P974" s="27"/>
      <c r="Q974" s="27"/>
      <c r="R974" s="29"/>
      <c r="S974" s="29"/>
      <c r="T974" s="27"/>
      <c r="U974" s="28" t="str">
        <f aca="false">IF(N(T974)=0,"",IF(T974&lt;12,"Under 12 months",IF(T974&lt;36,"12-35 months",IF(T974&lt;60,"36-59 months","≥60 months"))))</f>
        <v/>
      </c>
      <c r="V974" s="27"/>
      <c r="W974" s="30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9"/>
      <c r="AT974" s="30"/>
      <c r="AU974" s="30"/>
      <c r="AV974" s="30"/>
      <c r="AW974" s="27"/>
      <c r="AX974" s="27"/>
      <c r="AY974" s="29"/>
      <c r="AZ974" s="27"/>
      <c r="BA974" s="27"/>
      <c r="BB974" s="29"/>
      <c r="BC974" s="30"/>
      <c r="BD974" s="30"/>
      <c r="BE974" s="30"/>
      <c r="BF974" s="27"/>
      <c r="BG974" s="27"/>
      <c r="BH974" s="28" t="str">
        <f aca="false">IF(COUNT(BC974:BE974)=0,"",IF(MIN(BC974:BE974)&lt;=-2.5,"Yes","No"))</f>
        <v/>
      </c>
      <c r="BI974" s="27"/>
      <c r="BJ974" s="29"/>
      <c r="BK974" s="27"/>
      <c r="BL974" s="27"/>
      <c r="BM974" s="27"/>
      <c r="BN974" s="28" t="str">
        <f aca="false">IF(OR(AX974="Yes",BI974="Yes"),"Yes",IF(AND(AX974="No",BI974="No"),"No",IF(AND(AX974="",BI974=""),"","Unknown")))</f>
        <v/>
      </c>
      <c r="BO974" s="31" t="str">
        <f aca="false">IF(COUNT(AY974,BJ974)=0,"",MIN(AY974,BJ974))</f>
        <v/>
      </c>
      <c r="BP974" s="29"/>
      <c r="BQ974" s="29"/>
      <c r="BR974" s="29"/>
      <c r="BS974" s="28" t="str">
        <f aca="false">IF(AND(N(BP974)&gt;0,N(BR974)&gt;0),BR974-BP974,"")</f>
        <v/>
      </c>
      <c r="BT974" s="28" t="str">
        <f aca="false">IF(BS974="","",ROUND(BS974/365.25,2))</f>
        <v/>
      </c>
      <c r="BU974" s="28" t="str">
        <f aca="false">IF(BS974="","",IF(BS974&gt;=730.5,"Yes","No"))</f>
        <v/>
      </c>
      <c r="BV974" s="27"/>
      <c r="BW974" s="29"/>
      <c r="BX974" s="27"/>
      <c r="BY974" s="27"/>
      <c r="BZ974" s="28" t="str">
        <f aca="false">IF(N(E974)=0,"",IF(E974&lt;65,"Under 65","≥65"))</f>
        <v/>
      </c>
      <c r="CA974" s="28" t="str">
        <f aca="false">IF(OR(AC974="Yes",AC974="No"),AC974,"")</f>
        <v/>
      </c>
      <c r="CB974" s="28" t="str">
        <f aca="false">IF(OR(AD974="Yes",AD974="No"),AD974,"")</f>
        <v/>
      </c>
      <c r="CC974" s="28" t="str">
        <f aca="false">IF(F974="","",F974)</f>
        <v/>
      </c>
      <c r="CD974" s="27"/>
      <c r="CE974" s="27"/>
    </row>
    <row r="975" customFormat="false" ht="15" hidden="false" customHeight="false" outlineLevel="0" collapsed="false">
      <c r="A975" s="27"/>
      <c r="B975" s="27"/>
      <c r="C975" s="27"/>
      <c r="D975" s="27"/>
      <c r="E975" s="27"/>
      <c r="F975" s="27"/>
      <c r="G975" s="27"/>
      <c r="H975" s="27"/>
      <c r="I975" s="27"/>
      <c r="J975" s="28" t="str">
        <f aca="false">IF(AND(N(H975)&gt;0,N(I975)&gt;0),ROUND(I975/(H975/100)^2,1),"")</f>
        <v/>
      </c>
      <c r="K975" s="27"/>
      <c r="L975" s="27"/>
      <c r="M975" s="27"/>
      <c r="N975" s="27"/>
      <c r="O975" s="27"/>
      <c r="P975" s="27"/>
      <c r="Q975" s="27"/>
      <c r="R975" s="29"/>
      <c r="S975" s="29"/>
      <c r="T975" s="27"/>
      <c r="U975" s="28" t="str">
        <f aca="false">IF(N(T975)=0,"",IF(T975&lt;12,"Under 12 months",IF(T975&lt;36,"12-35 months",IF(T975&lt;60,"36-59 months","≥60 months"))))</f>
        <v/>
      </c>
      <c r="V975" s="27"/>
      <c r="W975" s="30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9"/>
      <c r="AT975" s="30"/>
      <c r="AU975" s="30"/>
      <c r="AV975" s="30"/>
      <c r="AW975" s="27"/>
      <c r="AX975" s="27"/>
      <c r="AY975" s="29"/>
      <c r="AZ975" s="27"/>
      <c r="BA975" s="27"/>
      <c r="BB975" s="29"/>
      <c r="BC975" s="30"/>
      <c r="BD975" s="30"/>
      <c r="BE975" s="30"/>
      <c r="BF975" s="27"/>
      <c r="BG975" s="27"/>
      <c r="BH975" s="28" t="str">
        <f aca="false">IF(COUNT(BC975:BE975)=0,"",IF(MIN(BC975:BE975)&lt;=-2.5,"Yes","No"))</f>
        <v/>
      </c>
      <c r="BI975" s="27"/>
      <c r="BJ975" s="29"/>
      <c r="BK975" s="27"/>
      <c r="BL975" s="27"/>
      <c r="BM975" s="27"/>
      <c r="BN975" s="28" t="str">
        <f aca="false">IF(OR(AX975="Yes",BI975="Yes"),"Yes",IF(AND(AX975="No",BI975="No"),"No",IF(AND(AX975="",BI975=""),"","Unknown")))</f>
        <v/>
      </c>
      <c r="BO975" s="31" t="str">
        <f aca="false">IF(COUNT(AY975,BJ975)=0,"",MIN(AY975,BJ975))</f>
        <v/>
      </c>
      <c r="BP975" s="29"/>
      <c r="BQ975" s="29"/>
      <c r="BR975" s="29"/>
      <c r="BS975" s="28" t="str">
        <f aca="false">IF(AND(N(BP975)&gt;0,N(BR975)&gt;0),BR975-BP975,"")</f>
        <v/>
      </c>
      <c r="BT975" s="28" t="str">
        <f aca="false">IF(BS975="","",ROUND(BS975/365.25,2))</f>
        <v/>
      </c>
      <c r="BU975" s="28" t="str">
        <f aca="false">IF(BS975="","",IF(BS975&gt;=730.5,"Yes","No"))</f>
        <v/>
      </c>
      <c r="BV975" s="27"/>
      <c r="BW975" s="29"/>
      <c r="BX975" s="27"/>
      <c r="BY975" s="27"/>
      <c r="BZ975" s="28" t="str">
        <f aca="false">IF(N(E975)=0,"",IF(E975&lt;65,"Under 65","≥65"))</f>
        <v/>
      </c>
      <c r="CA975" s="28" t="str">
        <f aca="false">IF(OR(AC975="Yes",AC975="No"),AC975,"")</f>
        <v/>
      </c>
      <c r="CB975" s="28" t="str">
        <f aca="false">IF(OR(AD975="Yes",AD975="No"),AD975,"")</f>
        <v/>
      </c>
      <c r="CC975" s="28" t="str">
        <f aca="false">IF(F975="","",F975)</f>
        <v/>
      </c>
      <c r="CD975" s="27"/>
      <c r="CE975" s="27"/>
    </row>
    <row r="976" customFormat="false" ht="15" hidden="false" customHeight="false" outlineLevel="0" collapsed="false">
      <c r="A976" s="27"/>
      <c r="B976" s="27"/>
      <c r="C976" s="27"/>
      <c r="D976" s="27"/>
      <c r="E976" s="27"/>
      <c r="F976" s="27"/>
      <c r="G976" s="27"/>
      <c r="H976" s="27"/>
      <c r="I976" s="27"/>
      <c r="J976" s="28" t="str">
        <f aca="false">IF(AND(N(H976)&gt;0,N(I976)&gt;0),ROUND(I976/(H976/100)^2,1),"")</f>
        <v/>
      </c>
      <c r="K976" s="27"/>
      <c r="L976" s="27"/>
      <c r="M976" s="27"/>
      <c r="N976" s="27"/>
      <c r="O976" s="27"/>
      <c r="P976" s="27"/>
      <c r="Q976" s="27"/>
      <c r="R976" s="29"/>
      <c r="S976" s="29"/>
      <c r="T976" s="27"/>
      <c r="U976" s="28" t="str">
        <f aca="false">IF(N(T976)=0,"",IF(T976&lt;12,"Under 12 months",IF(T976&lt;36,"12-35 months",IF(T976&lt;60,"36-59 months","≥60 months"))))</f>
        <v/>
      </c>
      <c r="V976" s="27"/>
      <c r="W976" s="30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9"/>
      <c r="AT976" s="30"/>
      <c r="AU976" s="30"/>
      <c r="AV976" s="30"/>
      <c r="AW976" s="27"/>
      <c r="AX976" s="27"/>
      <c r="AY976" s="29"/>
      <c r="AZ976" s="27"/>
      <c r="BA976" s="27"/>
      <c r="BB976" s="29"/>
      <c r="BC976" s="30"/>
      <c r="BD976" s="30"/>
      <c r="BE976" s="30"/>
      <c r="BF976" s="27"/>
      <c r="BG976" s="27"/>
      <c r="BH976" s="28" t="str">
        <f aca="false">IF(COUNT(BC976:BE976)=0,"",IF(MIN(BC976:BE976)&lt;=-2.5,"Yes","No"))</f>
        <v/>
      </c>
      <c r="BI976" s="27"/>
      <c r="BJ976" s="29"/>
      <c r="BK976" s="27"/>
      <c r="BL976" s="27"/>
      <c r="BM976" s="27"/>
      <c r="BN976" s="28" t="str">
        <f aca="false">IF(OR(AX976="Yes",BI976="Yes"),"Yes",IF(AND(AX976="No",BI976="No"),"No",IF(AND(AX976="",BI976=""),"","Unknown")))</f>
        <v/>
      </c>
      <c r="BO976" s="31" t="str">
        <f aca="false">IF(COUNT(AY976,BJ976)=0,"",MIN(AY976,BJ976))</f>
        <v/>
      </c>
      <c r="BP976" s="29"/>
      <c r="BQ976" s="29"/>
      <c r="BR976" s="29"/>
      <c r="BS976" s="28" t="str">
        <f aca="false">IF(AND(N(BP976)&gt;0,N(BR976)&gt;0),BR976-BP976,"")</f>
        <v/>
      </c>
      <c r="BT976" s="28" t="str">
        <f aca="false">IF(BS976="","",ROUND(BS976/365.25,2))</f>
        <v/>
      </c>
      <c r="BU976" s="28" t="str">
        <f aca="false">IF(BS976="","",IF(BS976&gt;=730.5,"Yes","No"))</f>
        <v/>
      </c>
      <c r="BV976" s="27"/>
      <c r="BW976" s="29"/>
      <c r="BX976" s="27"/>
      <c r="BY976" s="27"/>
      <c r="BZ976" s="28" t="str">
        <f aca="false">IF(N(E976)=0,"",IF(E976&lt;65,"Under 65","≥65"))</f>
        <v/>
      </c>
      <c r="CA976" s="28" t="str">
        <f aca="false">IF(OR(AC976="Yes",AC976="No"),AC976,"")</f>
        <v/>
      </c>
      <c r="CB976" s="28" t="str">
        <f aca="false">IF(OR(AD976="Yes",AD976="No"),AD976,"")</f>
        <v/>
      </c>
      <c r="CC976" s="28" t="str">
        <f aca="false">IF(F976="","",F976)</f>
        <v/>
      </c>
      <c r="CD976" s="27"/>
      <c r="CE976" s="27"/>
    </row>
    <row r="977" customFormat="false" ht="15" hidden="false" customHeight="false" outlineLevel="0" collapsed="false">
      <c r="A977" s="27"/>
      <c r="B977" s="27"/>
      <c r="C977" s="27"/>
      <c r="D977" s="27"/>
      <c r="E977" s="27"/>
      <c r="F977" s="27"/>
      <c r="G977" s="27"/>
      <c r="H977" s="27"/>
      <c r="I977" s="27"/>
      <c r="J977" s="28" t="str">
        <f aca="false">IF(AND(N(H977)&gt;0,N(I977)&gt;0),ROUND(I977/(H977/100)^2,1),"")</f>
        <v/>
      </c>
      <c r="K977" s="27"/>
      <c r="L977" s="27"/>
      <c r="M977" s="27"/>
      <c r="N977" s="27"/>
      <c r="O977" s="27"/>
      <c r="P977" s="27"/>
      <c r="Q977" s="27"/>
      <c r="R977" s="29"/>
      <c r="S977" s="29"/>
      <c r="T977" s="27"/>
      <c r="U977" s="28" t="str">
        <f aca="false">IF(N(T977)=0,"",IF(T977&lt;12,"Under 12 months",IF(T977&lt;36,"12-35 months",IF(T977&lt;60,"36-59 months","≥60 months"))))</f>
        <v/>
      </c>
      <c r="V977" s="27"/>
      <c r="W977" s="30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9"/>
      <c r="AT977" s="30"/>
      <c r="AU977" s="30"/>
      <c r="AV977" s="30"/>
      <c r="AW977" s="27"/>
      <c r="AX977" s="27"/>
      <c r="AY977" s="29"/>
      <c r="AZ977" s="27"/>
      <c r="BA977" s="27"/>
      <c r="BB977" s="29"/>
      <c r="BC977" s="30"/>
      <c r="BD977" s="30"/>
      <c r="BE977" s="30"/>
      <c r="BF977" s="27"/>
      <c r="BG977" s="27"/>
      <c r="BH977" s="28" t="str">
        <f aca="false">IF(COUNT(BC977:BE977)=0,"",IF(MIN(BC977:BE977)&lt;=-2.5,"Yes","No"))</f>
        <v/>
      </c>
      <c r="BI977" s="27"/>
      <c r="BJ977" s="29"/>
      <c r="BK977" s="27"/>
      <c r="BL977" s="27"/>
      <c r="BM977" s="27"/>
      <c r="BN977" s="28" t="str">
        <f aca="false">IF(OR(AX977="Yes",BI977="Yes"),"Yes",IF(AND(AX977="No",BI977="No"),"No",IF(AND(AX977="",BI977=""),"","Unknown")))</f>
        <v/>
      </c>
      <c r="BO977" s="31" t="str">
        <f aca="false">IF(COUNT(AY977,BJ977)=0,"",MIN(AY977,BJ977))</f>
        <v/>
      </c>
      <c r="BP977" s="29"/>
      <c r="BQ977" s="29"/>
      <c r="BR977" s="29"/>
      <c r="BS977" s="28" t="str">
        <f aca="false">IF(AND(N(BP977)&gt;0,N(BR977)&gt;0),BR977-BP977,"")</f>
        <v/>
      </c>
      <c r="BT977" s="28" t="str">
        <f aca="false">IF(BS977="","",ROUND(BS977/365.25,2))</f>
        <v/>
      </c>
      <c r="BU977" s="28" t="str">
        <f aca="false">IF(BS977="","",IF(BS977&gt;=730.5,"Yes","No"))</f>
        <v/>
      </c>
      <c r="BV977" s="27"/>
      <c r="BW977" s="29"/>
      <c r="BX977" s="27"/>
      <c r="BY977" s="27"/>
      <c r="BZ977" s="28" t="str">
        <f aca="false">IF(N(E977)=0,"",IF(E977&lt;65,"Under 65","≥65"))</f>
        <v/>
      </c>
      <c r="CA977" s="28" t="str">
        <f aca="false">IF(OR(AC977="Yes",AC977="No"),AC977,"")</f>
        <v/>
      </c>
      <c r="CB977" s="28" t="str">
        <f aca="false">IF(OR(AD977="Yes",AD977="No"),AD977,"")</f>
        <v/>
      </c>
      <c r="CC977" s="28" t="str">
        <f aca="false">IF(F977="","",F977)</f>
        <v/>
      </c>
      <c r="CD977" s="27"/>
      <c r="CE977" s="27"/>
    </row>
    <row r="978" customFormat="false" ht="15" hidden="false" customHeight="false" outlineLevel="0" collapsed="false">
      <c r="A978" s="27"/>
      <c r="B978" s="27"/>
      <c r="C978" s="27"/>
      <c r="D978" s="27"/>
      <c r="E978" s="27"/>
      <c r="F978" s="27"/>
      <c r="G978" s="27"/>
      <c r="H978" s="27"/>
      <c r="I978" s="27"/>
      <c r="J978" s="28" t="str">
        <f aca="false">IF(AND(N(H978)&gt;0,N(I978)&gt;0),ROUND(I978/(H978/100)^2,1),"")</f>
        <v/>
      </c>
      <c r="K978" s="27"/>
      <c r="L978" s="27"/>
      <c r="M978" s="27"/>
      <c r="N978" s="27"/>
      <c r="O978" s="27"/>
      <c r="P978" s="27"/>
      <c r="Q978" s="27"/>
      <c r="R978" s="29"/>
      <c r="S978" s="29"/>
      <c r="T978" s="27"/>
      <c r="U978" s="28" t="str">
        <f aca="false">IF(N(T978)=0,"",IF(T978&lt;12,"Under 12 months",IF(T978&lt;36,"12-35 months",IF(T978&lt;60,"36-59 months","≥60 months"))))</f>
        <v/>
      </c>
      <c r="V978" s="27"/>
      <c r="W978" s="30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9"/>
      <c r="AT978" s="30"/>
      <c r="AU978" s="30"/>
      <c r="AV978" s="30"/>
      <c r="AW978" s="27"/>
      <c r="AX978" s="27"/>
      <c r="AY978" s="29"/>
      <c r="AZ978" s="27"/>
      <c r="BA978" s="27"/>
      <c r="BB978" s="29"/>
      <c r="BC978" s="30"/>
      <c r="BD978" s="30"/>
      <c r="BE978" s="30"/>
      <c r="BF978" s="27"/>
      <c r="BG978" s="27"/>
      <c r="BH978" s="28" t="str">
        <f aca="false">IF(COUNT(BC978:BE978)=0,"",IF(MIN(BC978:BE978)&lt;=-2.5,"Yes","No"))</f>
        <v/>
      </c>
      <c r="BI978" s="27"/>
      <c r="BJ978" s="29"/>
      <c r="BK978" s="27"/>
      <c r="BL978" s="27"/>
      <c r="BM978" s="27"/>
      <c r="BN978" s="28" t="str">
        <f aca="false">IF(OR(AX978="Yes",BI978="Yes"),"Yes",IF(AND(AX978="No",BI978="No"),"No",IF(AND(AX978="",BI978=""),"","Unknown")))</f>
        <v/>
      </c>
      <c r="BO978" s="31" t="str">
        <f aca="false">IF(COUNT(AY978,BJ978)=0,"",MIN(AY978,BJ978))</f>
        <v/>
      </c>
      <c r="BP978" s="29"/>
      <c r="BQ978" s="29"/>
      <c r="BR978" s="29"/>
      <c r="BS978" s="28" t="str">
        <f aca="false">IF(AND(N(BP978)&gt;0,N(BR978)&gt;0),BR978-BP978,"")</f>
        <v/>
      </c>
      <c r="BT978" s="28" t="str">
        <f aca="false">IF(BS978="","",ROUND(BS978/365.25,2))</f>
        <v/>
      </c>
      <c r="BU978" s="28" t="str">
        <f aca="false">IF(BS978="","",IF(BS978&gt;=730.5,"Yes","No"))</f>
        <v/>
      </c>
      <c r="BV978" s="27"/>
      <c r="BW978" s="29"/>
      <c r="BX978" s="27"/>
      <c r="BY978" s="27"/>
      <c r="BZ978" s="28" t="str">
        <f aca="false">IF(N(E978)=0,"",IF(E978&lt;65,"Under 65","≥65"))</f>
        <v/>
      </c>
      <c r="CA978" s="28" t="str">
        <f aca="false">IF(OR(AC978="Yes",AC978="No"),AC978,"")</f>
        <v/>
      </c>
      <c r="CB978" s="28" t="str">
        <f aca="false">IF(OR(AD978="Yes",AD978="No"),AD978,"")</f>
        <v/>
      </c>
      <c r="CC978" s="28" t="str">
        <f aca="false">IF(F978="","",F978)</f>
        <v/>
      </c>
      <c r="CD978" s="27"/>
      <c r="CE978" s="27"/>
    </row>
    <row r="979" customFormat="false" ht="15" hidden="false" customHeight="false" outlineLevel="0" collapsed="false">
      <c r="A979" s="27"/>
      <c r="B979" s="27"/>
      <c r="C979" s="27"/>
      <c r="D979" s="27"/>
      <c r="E979" s="27"/>
      <c r="F979" s="27"/>
      <c r="G979" s="27"/>
      <c r="H979" s="27"/>
      <c r="I979" s="27"/>
      <c r="J979" s="28" t="str">
        <f aca="false">IF(AND(N(H979)&gt;0,N(I979)&gt;0),ROUND(I979/(H979/100)^2,1),"")</f>
        <v/>
      </c>
      <c r="K979" s="27"/>
      <c r="L979" s="27"/>
      <c r="M979" s="27"/>
      <c r="N979" s="27"/>
      <c r="O979" s="27"/>
      <c r="P979" s="27"/>
      <c r="Q979" s="27"/>
      <c r="R979" s="29"/>
      <c r="S979" s="29"/>
      <c r="T979" s="27"/>
      <c r="U979" s="28" t="str">
        <f aca="false">IF(N(T979)=0,"",IF(T979&lt;12,"Under 12 months",IF(T979&lt;36,"12-35 months",IF(T979&lt;60,"36-59 months","≥60 months"))))</f>
        <v/>
      </c>
      <c r="V979" s="27"/>
      <c r="W979" s="30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9"/>
      <c r="AT979" s="30"/>
      <c r="AU979" s="30"/>
      <c r="AV979" s="30"/>
      <c r="AW979" s="27"/>
      <c r="AX979" s="27"/>
      <c r="AY979" s="29"/>
      <c r="AZ979" s="27"/>
      <c r="BA979" s="27"/>
      <c r="BB979" s="29"/>
      <c r="BC979" s="30"/>
      <c r="BD979" s="30"/>
      <c r="BE979" s="30"/>
      <c r="BF979" s="27"/>
      <c r="BG979" s="27"/>
      <c r="BH979" s="28" t="str">
        <f aca="false">IF(COUNT(BC979:BE979)=0,"",IF(MIN(BC979:BE979)&lt;=-2.5,"Yes","No"))</f>
        <v/>
      </c>
      <c r="BI979" s="27"/>
      <c r="BJ979" s="29"/>
      <c r="BK979" s="27"/>
      <c r="BL979" s="27"/>
      <c r="BM979" s="27"/>
      <c r="BN979" s="28" t="str">
        <f aca="false">IF(OR(AX979="Yes",BI979="Yes"),"Yes",IF(AND(AX979="No",BI979="No"),"No",IF(AND(AX979="",BI979=""),"","Unknown")))</f>
        <v/>
      </c>
      <c r="BO979" s="31" t="str">
        <f aca="false">IF(COUNT(AY979,BJ979)=0,"",MIN(AY979,BJ979))</f>
        <v/>
      </c>
      <c r="BP979" s="29"/>
      <c r="BQ979" s="29"/>
      <c r="BR979" s="29"/>
      <c r="BS979" s="28" t="str">
        <f aca="false">IF(AND(N(BP979)&gt;0,N(BR979)&gt;0),BR979-BP979,"")</f>
        <v/>
      </c>
      <c r="BT979" s="28" t="str">
        <f aca="false">IF(BS979="","",ROUND(BS979/365.25,2))</f>
        <v/>
      </c>
      <c r="BU979" s="28" t="str">
        <f aca="false">IF(BS979="","",IF(BS979&gt;=730.5,"Yes","No"))</f>
        <v/>
      </c>
      <c r="BV979" s="27"/>
      <c r="BW979" s="29"/>
      <c r="BX979" s="27"/>
      <c r="BY979" s="27"/>
      <c r="BZ979" s="28" t="str">
        <f aca="false">IF(N(E979)=0,"",IF(E979&lt;65,"Under 65","≥65"))</f>
        <v/>
      </c>
      <c r="CA979" s="28" t="str">
        <f aca="false">IF(OR(AC979="Yes",AC979="No"),AC979,"")</f>
        <v/>
      </c>
      <c r="CB979" s="28" t="str">
        <f aca="false">IF(OR(AD979="Yes",AD979="No"),AD979,"")</f>
        <v/>
      </c>
      <c r="CC979" s="28" t="str">
        <f aca="false">IF(F979="","",F979)</f>
        <v/>
      </c>
      <c r="CD979" s="27"/>
      <c r="CE979" s="27"/>
    </row>
    <row r="980" customFormat="false" ht="15" hidden="false" customHeight="false" outlineLevel="0" collapsed="false">
      <c r="A980" s="27"/>
      <c r="B980" s="27"/>
      <c r="C980" s="27"/>
      <c r="D980" s="27"/>
      <c r="E980" s="27"/>
      <c r="F980" s="27"/>
      <c r="G980" s="27"/>
      <c r="H980" s="27"/>
      <c r="I980" s="27"/>
      <c r="J980" s="28" t="str">
        <f aca="false">IF(AND(N(H980)&gt;0,N(I980)&gt;0),ROUND(I980/(H980/100)^2,1),"")</f>
        <v/>
      </c>
      <c r="K980" s="27"/>
      <c r="L980" s="27"/>
      <c r="M980" s="27"/>
      <c r="N980" s="27"/>
      <c r="O980" s="27"/>
      <c r="P980" s="27"/>
      <c r="Q980" s="27"/>
      <c r="R980" s="29"/>
      <c r="S980" s="29"/>
      <c r="T980" s="27"/>
      <c r="U980" s="28" t="str">
        <f aca="false">IF(N(T980)=0,"",IF(T980&lt;12,"Under 12 months",IF(T980&lt;36,"12-35 months",IF(T980&lt;60,"36-59 months","≥60 months"))))</f>
        <v/>
      </c>
      <c r="V980" s="27"/>
      <c r="W980" s="30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9"/>
      <c r="AT980" s="30"/>
      <c r="AU980" s="30"/>
      <c r="AV980" s="30"/>
      <c r="AW980" s="27"/>
      <c r="AX980" s="27"/>
      <c r="AY980" s="29"/>
      <c r="AZ980" s="27"/>
      <c r="BA980" s="27"/>
      <c r="BB980" s="29"/>
      <c r="BC980" s="30"/>
      <c r="BD980" s="30"/>
      <c r="BE980" s="30"/>
      <c r="BF980" s="27"/>
      <c r="BG980" s="27"/>
      <c r="BH980" s="28" t="str">
        <f aca="false">IF(COUNT(BC980:BE980)=0,"",IF(MIN(BC980:BE980)&lt;=-2.5,"Yes","No"))</f>
        <v/>
      </c>
      <c r="BI980" s="27"/>
      <c r="BJ980" s="29"/>
      <c r="BK980" s="27"/>
      <c r="BL980" s="27"/>
      <c r="BM980" s="27"/>
      <c r="BN980" s="28" t="str">
        <f aca="false">IF(OR(AX980="Yes",BI980="Yes"),"Yes",IF(AND(AX980="No",BI980="No"),"No",IF(AND(AX980="",BI980=""),"","Unknown")))</f>
        <v/>
      </c>
      <c r="BO980" s="31" t="str">
        <f aca="false">IF(COUNT(AY980,BJ980)=0,"",MIN(AY980,BJ980))</f>
        <v/>
      </c>
      <c r="BP980" s="29"/>
      <c r="BQ980" s="29"/>
      <c r="BR980" s="29"/>
      <c r="BS980" s="28" t="str">
        <f aca="false">IF(AND(N(BP980)&gt;0,N(BR980)&gt;0),BR980-BP980,"")</f>
        <v/>
      </c>
      <c r="BT980" s="28" t="str">
        <f aca="false">IF(BS980="","",ROUND(BS980/365.25,2))</f>
        <v/>
      </c>
      <c r="BU980" s="28" t="str">
        <f aca="false">IF(BS980="","",IF(BS980&gt;=730.5,"Yes","No"))</f>
        <v/>
      </c>
      <c r="BV980" s="27"/>
      <c r="BW980" s="29"/>
      <c r="BX980" s="27"/>
      <c r="BY980" s="27"/>
      <c r="BZ980" s="28" t="str">
        <f aca="false">IF(N(E980)=0,"",IF(E980&lt;65,"Under 65","≥65"))</f>
        <v/>
      </c>
      <c r="CA980" s="28" t="str">
        <f aca="false">IF(OR(AC980="Yes",AC980="No"),AC980,"")</f>
        <v/>
      </c>
      <c r="CB980" s="28" t="str">
        <f aca="false">IF(OR(AD980="Yes",AD980="No"),AD980,"")</f>
        <v/>
      </c>
      <c r="CC980" s="28" t="str">
        <f aca="false">IF(F980="","",F980)</f>
        <v/>
      </c>
      <c r="CD980" s="27"/>
      <c r="CE980" s="27"/>
    </row>
    <row r="981" customFormat="false" ht="15" hidden="false" customHeight="false" outlineLevel="0" collapsed="false">
      <c r="A981" s="27"/>
      <c r="B981" s="27"/>
      <c r="C981" s="27"/>
      <c r="D981" s="27"/>
      <c r="E981" s="27"/>
      <c r="F981" s="27"/>
      <c r="G981" s="27"/>
      <c r="H981" s="27"/>
      <c r="I981" s="27"/>
      <c r="J981" s="28" t="str">
        <f aca="false">IF(AND(N(H981)&gt;0,N(I981)&gt;0),ROUND(I981/(H981/100)^2,1),"")</f>
        <v/>
      </c>
      <c r="K981" s="27"/>
      <c r="L981" s="27"/>
      <c r="M981" s="27"/>
      <c r="N981" s="27"/>
      <c r="O981" s="27"/>
      <c r="P981" s="27"/>
      <c r="Q981" s="27"/>
      <c r="R981" s="29"/>
      <c r="S981" s="29"/>
      <c r="T981" s="27"/>
      <c r="U981" s="28" t="str">
        <f aca="false">IF(N(T981)=0,"",IF(T981&lt;12,"Under 12 months",IF(T981&lt;36,"12-35 months",IF(T981&lt;60,"36-59 months","≥60 months"))))</f>
        <v/>
      </c>
      <c r="V981" s="27"/>
      <c r="W981" s="30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9"/>
      <c r="AT981" s="30"/>
      <c r="AU981" s="30"/>
      <c r="AV981" s="30"/>
      <c r="AW981" s="27"/>
      <c r="AX981" s="27"/>
      <c r="AY981" s="29"/>
      <c r="AZ981" s="27"/>
      <c r="BA981" s="27"/>
      <c r="BB981" s="29"/>
      <c r="BC981" s="30"/>
      <c r="BD981" s="30"/>
      <c r="BE981" s="30"/>
      <c r="BF981" s="27"/>
      <c r="BG981" s="27"/>
      <c r="BH981" s="28" t="str">
        <f aca="false">IF(COUNT(BC981:BE981)=0,"",IF(MIN(BC981:BE981)&lt;=-2.5,"Yes","No"))</f>
        <v/>
      </c>
      <c r="BI981" s="27"/>
      <c r="BJ981" s="29"/>
      <c r="BK981" s="27"/>
      <c r="BL981" s="27"/>
      <c r="BM981" s="27"/>
      <c r="BN981" s="28" t="str">
        <f aca="false">IF(OR(AX981="Yes",BI981="Yes"),"Yes",IF(AND(AX981="No",BI981="No"),"No",IF(AND(AX981="",BI981=""),"","Unknown")))</f>
        <v/>
      </c>
      <c r="BO981" s="31" t="str">
        <f aca="false">IF(COUNT(AY981,BJ981)=0,"",MIN(AY981,BJ981))</f>
        <v/>
      </c>
      <c r="BP981" s="29"/>
      <c r="BQ981" s="29"/>
      <c r="BR981" s="29"/>
      <c r="BS981" s="28" t="str">
        <f aca="false">IF(AND(N(BP981)&gt;0,N(BR981)&gt;0),BR981-BP981,"")</f>
        <v/>
      </c>
      <c r="BT981" s="28" t="str">
        <f aca="false">IF(BS981="","",ROUND(BS981/365.25,2))</f>
        <v/>
      </c>
      <c r="BU981" s="28" t="str">
        <f aca="false">IF(BS981="","",IF(BS981&gt;=730.5,"Yes","No"))</f>
        <v/>
      </c>
      <c r="BV981" s="27"/>
      <c r="BW981" s="29"/>
      <c r="BX981" s="27"/>
      <c r="BY981" s="27"/>
      <c r="BZ981" s="28" t="str">
        <f aca="false">IF(N(E981)=0,"",IF(E981&lt;65,"Under 65","≥65"))</f>
        <v/>
      </c>
      <c r="CA981" s="28" t="str">
        <f aca="false">IF(OR(AC981="Yes",AC981="No"),AC981,"")</f>
        <v/>
      </c>
      <c r="CB981" s="28" t="str">
        <f aca="false">IF(OR(AD981="Yes",AD981="No"),AD981,"")</f>
        <v/>
      </c>
      <c r="CC981" s="28" t="str">
        <f aca="false">IF(F981="","",F981)</f>
        <v/>
      </c>
      <c r="CD981" s="27"/>
      <c r="CE981" s="27"/>
    </row>
    <row r="982" customFormat="false" ht="15" hidden="false" customHeight="false" outlineLevel="0" collapsed="false">
      <c r="A982" s="27"/>
      <c r="B982" s="27"/>
      <c r="C982" s="27"/>
      <c r="D982" s="27"/>
      <c r="E982" s="27"/>
      <c r="F982" s="27"/>
      <c r="G982" s="27"/>
      <c r="H982" s="27"/>
      <c r="I982" s="27"/>
      <c r="J982" s="28" t="str">
        <f aca="false">IF(AND(N(H982)&gt;0,N(I982)&gt;0),ROUND(I982/(H982/100)^2,1),"")</f>
        <v/>
      </c>
      <c r="K982" s="27"/>
      <c r="L982" s="27"/>
      <c r="M982" s="27"/>
      <c r="N982" s="27"/>
      <c r="O982" s="27"/>
      <c r="P982" s="27"/>
      <c r="Q982" s="27"/>
      <c r="R982" s="29"/>
      <c r="S982" s="29"/>
      <c r="T982" s="27"/>
      <c r="U982" s="28" t="str">
        <f aca="false">IF(N(T982)=0,"",IF(T982&lt;12,"Under 12 months",IF(T982&lt;36,"12-35 months",IF(T982&lt;60,"36-59 months","≥60 months"))))</f>
        <v/>
      </c>
      <c r="V982" s="27"/>
      <c r="W982" s="30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9"/>
      <c r="AT982" s="30"/>
      <c r="AU982" s="30"/>
      <c r="AV982" s="30"/>
      <c r="AW982" s="27"/>
      <c r="AX982" s="27"/>
      <c r="AY982" s="29"/>
      <c r="AZ982" s="27"/>
      <c r="BA982" s="27"/>
      <c r="BB982" s="29"/>
      <c r="BC982" s="30"/>
      <c r="BD982" s="30"/>
      <c r="BE982" s="30"/>
      <c r="BF982" s="27"/>
      <c r="BG982" s="27"/>
      <c r="BH982" s="28" t="str">
        <f aca="false">IF(COUNT(BC982:BE982)=0,"",IF(MIN(BC982:BE982)&lt;=-2.5,"Yes","No"))</f>
        <v/>
      </c>
      <c r="BI982" s="27"/>
      <c r="BJ982" s="29"/>
      <c r="BK982" s="27"/>
      <c r="BL982" s="27"/>
      <c r="BM982" s="27"/>
      <c r="BN982" s="28" t="str">
        <f aca="false">IF(OR(AX982="Yes",BI982="Yes"),"Yes",IF(AND(AX982="No",BI982="No"),"No",IF(AND(AX982="",BI982=""),"","Unknown")))</f>
        <v/>
      </c>
      <c r="BO982" s="31" t="str">
        <f aca="false">IF(COUNT(AY982,BJ982)=0,"",MIN(AY982,BJ982))</f>
        <v/>
      </c>
      <c r="BP982" s="29"/>
      <c r="BQ982" s="29"/>
      <c r="BR982" s="29"/>
      <c r="BS982" s="28" t="str">
        <f aca="false">IF(AND(N(BP982)&gt;0,N(BR982)&gt;0),BR982-BP982,"")</f>
        <v/>
      </c>
      <c r="BT982" s="28" t="str">
        <f aca="false">IF(BS982="","",ROUND(BS982/365.25,2))</f>
        <v/>
      </c>
      <c r="BU982" s="28" t="str">
        <f aca="false">IF(BS982="","",IF(BS982&gt;=730.5,"Yes","No"))</f>
        <v/>
      </c>
      <c r="BV982" s="27"/>
      <c r="BW982" s="29"/>
      <c r="BX982" s="27"/>
      <c r="BY982" s="27"/>
      <c r="BZ982" s="28" t="str">
        <f aca="false">IF(N(E982)=0,"",IF(E982&lt;65,"Under 65","≥65"))</f>
        <v/>
      </c>
      <c r="CA982" s="28" t="str">
        <f aca="false">IF(OR(AC982="Yes",AC982="No"),AC982,"")</f>
        <v/>
      </c>
      <c r="CB982" s="28" t="str">
        <f aca="false">IF(OR(AD982="Yes",AD982="No"),AD982,"")</f>
        <v/>
      </c>
      <c r="CC982" s="28" t="str">
        <f aca="false">IF(F982="","",F982)</f>
        <v/>
      </c>
      <c r="CD982" s="27"/>
      <c r="CE982" s="27"/>
    </row>
    <row r="983" customFormat="false" ht="15" hidden="false" customHeight="false" outlineLevel="0" collapsed="false">
      <c r="A983" s="27"/>
      <c r="B983" s="27"/>
      <c r="C983" s="27"/>
      <c r="D983" s="27"/>
      <c r="E983" s="27"/>
      <c r="F983" s="27"/>
      <c r="G983" s="27"/>
      <c r="H983" s="27"/>
      <c r="I983" s="27"/>
      <c r="J983" s="28" t="str">
        <f aca="false">IF(AND(N(H983)&gt;0,N(I983)&gt;0),ROUND(I983/(H983/100)^2,1),"")</f>
        <v/>
      </c>
      <c r="K983" s="27"/>
      <c r="L983" s="27"/>
      <c r="M983" s="27"/>
      <c r="N983" s="27"/>
      <c r="O983" s="27"/>
      <c r="P983" s="27"/>
      <c r="Q983" s="27"/>
      <c r="R983" s="29"/>
      <c r="S983" s="29"/>
      <c r="T983" s="27"/>
      <c r="U983" s="28" t="str">
        <f aca="false">IF(N(T983)=0,"",IF(T983&lt;12,"Under 12 months",IF(T983&lt;36,"12-35 months",IF(T983&lt;60,"36-59 months","≥60 months"))))</f>
        <v/>
      </c>
      <c r="V983" s="27"/>
      <c r="W983" s="30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9"/>
      <c r="AT983" s="30"/>
      <c r="AU983" s="30"/>
      <c r="AV983" s="30"/>
      <c r="AW983" s="27"/>
      <c r="AX983" s="27"/>
      <c r="AY983" s="29"/>
      <c r="AZ983" s="27"/>
      <c r="BA983" s="27"/>
      <c r="BB983" s="29"/>
      <c r="BC983" s="30"/>
      <c r="BD983" s="30"/>
      <c r="BE983" s="30"/>
      <c r="BF983" s="27"/>
      <c r="BG983" s="27"/>
      <c r="BH983" s="28" t="str">
        <f aca="false">IF(COUNT(BC983:BE983)=0,"",IF(MIN(BC983:BE983)&lt;=-2.5,"Yes","No"))</f>
        <v/>
      </c>
      <c r="BI983" s="27"/>
      <c r="BJ983" s="29"/>
      <c r="BK983" s="27"/>
      <c r="BL983" s="27"/>
      <c r="BM983" s="27"/>
      <c r="BN983" s="28" t="str">
        <f aca="false">IF(OR(AX983="Yes",BI983="Yes"),"Yes",IF(AND(AX983="No",BI983="No"),"No",IF(AND(AX983="",BI983=""),"","Unknown")))</f>
        <v/>
      </c>
      <c r="BO983" s="31" t="str">
        <f aca="false">IF(COUNT(AY983,BJ983)=0,"",MIN(AY983,BJ983))</f>
        <v/>
      </c>
      <c r="BP983" s="29"/>
      <c r="BQ983" s="29"/>
      <c r="BR983" s="29"/>
      <c r="BS983" s="28" t="str">
        <f aca="false">IF(AND(N(BP983)&gt;0,N(BR983)&gt;0),BR983-BP983,"")</f>
        <v/>
      </c>
      <c r="BT983" s="28" t="str">
        <f aca="false">IF(BS983="","",ROUND(BS983/365.25,2))</f>
        <v/>
      </c>
      <c r="BU983" s="28" t="str">
        <f aca="false">IF(BS983="","",IF(BS983&gt;=730.5,"Yes","No"))</f>
        <v/>
      </c>
      <c r="BV983" s="27"/>
      <c r="BW983" s="29"/>
      <c r="BX983" s="27"/>
      <c r="BY983" s="27"/>
      <c r="BZ983" s="28" t="str">
        <f aca="false">IF(N(E983)=0,"",IF(E983&lt;65,"Under 65","≥65"))</f>
        <v/>
      </c>
      <c r="CA983" s="28" t="str">
        <f aca="false">IF(OR(AC983="Yes",AC983="No"),AC983,"")</f>
        <v/>
      </c>
      <c r="CB983" s="28" t="str">
        <f aca="false">IF(OR(AD983="Yes",AD983="No"),AD983,"")</f>
        <v/>
      </c>
      <c r="CC983" s="28" t="str">
        <f aca="false">IF(F983="","",F983)</f>
        <v/>
      </c>
      <c r="CD983" s="27"/>
      <c r="CE983" s="27"/>
    </row>
    <row r="984" customFormat="false" ht="15" hidden="false" customHeight="false" outlineLevel="0" collapsed="false">
      <c r="A984" s="27"/>
      <c r="B984" s="27"/>
      <c r="C984" s="27"/>
      <c r="D984" s="27"/>
      <c r="E984" s="27"/>
      <c r="F984" s="27"/>
      <c r="G984" s="27"/>
      <c r="H984" s="27"/>
      <c r="I984" s="27"/>
      <c r="J984" s="28" t="str">
        <f aca="false">IF(AND(N(H984)&gt;0,N(I984)&gt;0),ROUND(I984/(H984/100)^2,1),"")</f>
        <v/>
      </c>
      <c r="K984" s="27"/>
      <c r="L984" s="27"/>
      <c r="M984" s="27"/>
      <c r="N984" s="27"/>
      <c r="O984" s="27"/>
      <c r="P984" s="27"/>
      <c r="Q984" s="27"/>
      <c r="R984" s="29"/>
      <c r="S984" s="29"/>
      <c r="T984" s="27"/>
      <c r="U984" s="28" t="str">
        <f aca="false">IF(N(T984)=0,"",IF(T984&lt;12,"Under 12 months",IF(T984&lt;36,"12-35 months",IF(T984&lt;60,"36-59 months","≥60 months"))))</f>
        <v/>
      </c>
      <c r="V984" s="27"/>
      <c r="W984" s="30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9"/>
      <c r="AT984" s="30"/>
      <c r="AU984" s="30"/>
      <c r="AV984" s="30"/>
      <c r="AW984" s="27"/>
      <c r="AX984" s="27"/>
      <c r="AY984" s="29"/>
      <c r="AZ984" s="27"/>
      <c r="BA984" s="27"/>
      <c r="BB984" s="29"/>
      <c r="BC984" s="30"/>
      <c r="BD984" s="30"/>
      <c r="BE984" s="30"/>
      <c r="BF984" s="27"/>
      <c r="BG984" s="27"/>
      <c r="BH984" s="28" t="str">
        <f aca="false">IF(COUNT(BC984:BE984)=0,"",IF(MIN(BC984:BE984)&lt;=-2.5,"Yes","No"))</f>
        <v/>
      </c>
      <c r="BI984" s="27"/>
      <c r="BJ984" s="29"/>
      <c r="BK984" s="27"/>
      <c r="BL984" s="27"/>
      <c r="BM984" s="27"/>
      <c r="BN984" s="28" t="str">
        <f aca="false">IF(OR(AX984="Yes",BI984="Yes"),"Yes",IF(AND(AX984="No",BI984="No"),"No",IF(AND(AX984="",BI984=""),"","Unknown")))</f>
        <v/>
      </c>
      <c r="BO984" s="31" t="str">
        <f aca="false">IF(COUNT(AY984,BJ984)=0,"",MIN(AY984,BJ984))</f>
        <v/>
      </c>
      <c r="BP984" s="29"/>
      <c r="BQ984" s="29"/>
      <c r="BR984" s="29"/>
      <c r="BS984" s="28" t="str">
        <f aca="false">IF(AND(N(BP984)&gt;0,N(BR984)&gt;0),BR984-BP984,"")</f>
        <v/>
      </c>
      <c r="BT984" s="28" t="str">
        <f aca="false">IF(BS984="","",ROUND(BS984/365.25,2))</f>
        <v/>
      </c>
      <c r="BU984" s="28" t="str">
        <f aca="false">IF(BS984="","",IF(BS984&gt;=730.5,"Yes","No"))</f>
        <v/>
      </c>
      <c r="BV984" s="27"/>
      <c r="BW984" s="29"/>
      <c r="BX984" s="27"/>
      <c r="BY984" s="27"/>
      <c r="BZ984" s="28" t="str">
        <f aca="false">IF(N(E984)=0,"",IF(E984&lt;65,"Under 65","≥65"))</f>
        <v/>
      </c>
      <c r="CA984" s="28" t="str">
        <f aca="false">IF(OR(AC984="Yes",AC984="No"),AC984,"")</f>
        <v/>
      </c>
      <c r="CB984" s="28" t="str">
        <f aca="false">IF(OR(AD984="Yes",AD984="No"),AD984,"")</f>
        <v/>
      </c>
      <c r="CC984" s="28" t="str">
        <f aca="false">IF(F984="","",F984)</f>
        <v/>
      </c>
      <c r="CD984" s="27"/>
      <c r="CE984" s="27"/>
    </row>
    <row r="985" customFormat="false" ht="15" hidden="false" customHeight="false" outlineLevel="0" collapsed="false">
      <c r="A985" s="27"/>
      <c r="B985" s="27"/>
      <c r="C985" s="27"/>
      <c r="D985" s="27"/>
      <c r="E985" s="27"/>
      <c r="F985" s="27"/>
      <c r="G985" s="27"/>
      <c r="H985" s="27"/>
      <c r="I985" s="27"/>
      <c r="J985" s="28" t="str">
        <f aca="false">IF(AND(N(H985)&gt;0,N(I985)&gt;0),ROUND(I985/(H985/100)^2,1),"")</f>
        <v/>
      </c>
      <c r="K985" s="27"/>
      <c r="L985" s="27"/>
      <c r="M985" s="27"/>
      <c r="N985" s="27"/>
      <c r="O985" s="27"/>
      <c r="P985" s="27"/>
      <c r="Q985" s="27"/>
      <c r="R985" s="29"/>
      <c r="S985" s="29"/>
      <c r="T985" s="27"/>
      <c r="U985" s="28" t="str">
        <f aca="false">IF(N(T985)=0,"",IF(T985&lt;12,"Under 12 months",IF(T985&lt;36,"12-35 months",IF(T985&lt;60,"36-59 months","≥60 months"))))</f>
        <v/>
      </c>
      <c r="V985" s="27"/>
      <c r="W985" s="30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9"/>
      <c r="AT985" s="30"/>
      <c r="AU985" s="30"/>
      <c r="AV985" s="30"/>
      <c r="AW985" s="27"/>
      <c r="AX985" s="27"/>
      <c r="AY985" s="29"/>
      <c r="AZ985" s="27"/>
      <c r="BA985" s="27"/>
      <c r="BB985" s="29"/>
      <c r="BC985" s="30"/>
      <c r="BD985" s="30"/>
      <c r="BE985" s="30"/>
      <c r="BF985" s="27"/>
      <c r="BG985" s="27"/>
      <c r="BH985" s="28" t="str">
        <f aca="false">IF(COUNT(BC985:BE985)=0,"",IF(MIN(BC985:BE985)&lt;=-2.5,"Yes","No"))</f>
        <v/>
      </c>
      <c r="BI985" s="27"/>
      <c r="BJ985" s="29"/>
      <c r="BK985" s="27"/>
      <c r="BL985" s="27"/>
      <c r="BM985" s="27"/>
      <c r="BN985" s="28" t="str">
        <f aca="false">IF(OR(AX985="Yes",BI985="Yes"),"Yes",IF(AND(AX985="No",BI985="No"),"No",IF(AND(AX985="",BI985=""),"","Unknown")))</f>
        <v/>
      </c>
      <c r="BO985" s="31" t="str">
        <f aca="false">IF(COUNT(AY985,BJ985)=0,"",MIN(AY985,BJ985))</f>
        <v/>
      </c>
      <c r="BP985" s="29"/>
      <c r="BQ985" s="29"/>
      <c r="BR985" s="29"/>
      <c r="BS985" s="28" t="str">
        <f aca="false">IF(AND(N(BP985)&gt;0,N(BR985)&gt;0),BR985-BP985,"")</f>
        <v/>
      </c>
      <c r="BT985" s="28" t="str">
        <f aca="false">IF(BS985="","",ROUND(BS985/365.25,2))</f>
        <v/>
      </c>
      <c r="BU985" s="28" t="str">
        <f aca="false">IF(BS985="","",IF(BS985&gt;=730.5,"Yes","No"))</f>
        <v/>
      </c>
      <c r="BV985" s="27"/>
      <c r="BW985" s="29"/>
      <c r="BX985" s="27"/>
      <c r="BY985" s="27"/>
      <c r="BZ985" s="28" t="str">
        <f aca="false">IF(N(E985)=0,"",IF(E985&lt;65,"Under 65","≥65"))</f>
        <v/>
      </c>
      <c r="CA985" s="28" t="str">
        <f aca="false">IF(OR(AC985="Yes",AC985="No"),AC985,"")</f>
        <v/>
      </c>
      <c r="CB985" s="28" t="str">
        <f aca="false">IF(OR(AD985="Yes",AD985="No"),AD985,"")</f>
        <v/>
      </c>
      <c r="CC985" s="28" t="str">
        <f aca="false">IF(F985="","",F985)</f>
        <v/>
      </c>
      <c r="CD985" s="27"/>
      <c r="CE985" s="27"/>
    </row>
    <row r="986" customFormat="false" ht="15" hidden="false" customHeight="false" outlineLevel="0" collapsed="false">
      <c r="A986" s="27"/>
      <c r="B986" s="27"/>
      <c r="C986" s="27"/>
      <c r="D986" s="27"/>
      <c r="E986" s="27"/>
      <c r="F986" s="27"/>
      <c r="G986" s="27"/>
      <c r="H986" s="27"/>
      <c r="I986" s="27"/>
      <c r="J986" s="28" t="str">
        <f aca="false">IF(AND(N(H986)&gt;0,N(I986)&gt;0),ROUND(I986/(H986/100)^2,1),"")</f>
        <v/>
      </c>
      <c r="K986" s="27"/>
      <c r="L986" s="27"/>
      <c r="M986" s="27"/>
      <c r="N986" s="27"/>
      <c r="O986" s="27"/>
      <c r="P986" s="27"/>
      <c r="Q986" s="27"/>
      <c r="R986" s="29"/>
      <c r="S986" s="29"/>
      <c r="T986" s="27"/>
      <c r="U986" s="28" t="str">
        <f aca="false">IF(N(T986)=0,"",IF(T986&lt;12,"Under 12 months",IF(T986&lt;36,"12-35 months",IF(T986&lt;60,"36-59 months","≥60 months"))))</f>
        <v/>
      </c>
      <c r="V986" s="27"/>
      <c r="W986" s="30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9"/>
      <c r="AT986" s="30"/>
      <c r="AU986" s="30"/>
      <c r="AV986" s="30"/>
      <c r="AW986" s="27"/>
      <c r="AX986" s="27"/>
      <c r="AY986" s="29"/>
      <c r="AZ986" s="27"/>
      <c r="BA986" s="27"/>
      <c r="BB986" s="29"/>
      <c r="BC986" s="30"/>
      <c r="BD986" s="30"/>
      <c r="BE986" s="30"/>
      <c r="BF986" s="27"/>
      <c r="BG986" s="27"/>
      <c r="BH986" s="28" t="str">
        <f aca="false">IF(COUNT(BC986:BE986)=0,"",IF(MIN(BC986:BE986)&lt;=-2.5,"Yes","No"))</f>
        <v/>
      </c>
      <c r="BI986" s="27"/>
      <c r="BJ986" s="29"/>
      <c r="BK986" s="27"/>
      <c r="BL986" s="27"/>
      <c r="BM986" s="27"/>
      <c r="BN986" s="28" t="str">
        <f aca="false">IF(OR(AX986="Yes",BI986="Yes"),"Yes",IF(AND(AX986="No",BI986="No"),"No",IF(AND(AX986="",BI986=""),"","Unknown")))</f>
        <v/>
      </c>
      <c r="BO986" s="31" t="str">
        <f aca="false">IF(COUNT(AY986,BJ986)=0,"",MIN(AY986,BJ986))</f>
        <v/>
      </c>
      <c r="BP986" s="29"/>
      <c r="BQ986" s="29"/>
      <c r="BR986" s="29"/>
      <c r="BS986" s="28" t="str">
        <f aca="false">IF(AND(N(BP986)&gt;0,N(BR986)&gt;0),BR986-BP986,"")</f>
        <v/>
      </c>
      <c r="BT986" s="28" t="str">
        <f aca="false">IF(BS986="","",ROUND(BS986/365.25,2))</f>
        <v/>
      </c>
      <c r="BU986" s="28" t="str">
        <f aca="false">IF(BS986="","",IF(BS986&gt;=730.5,"Yes","No"))</f>
        <v/>
      </c>
      <c r="BV986" s="27"/>
      <c r="BW986" s="29"/>
      <c r="BX986" s="27"/>
      <c r="BY986" s="27"/>
      <c r="BZ986" s="28" t="str">
        <f aca="false">IF(N(E986)=0,"",IF(E986&lt;65,"Under 65","≥65"))</f>
        <v/>
      </c>
      <c r="CA986" s="28" t="str">
        <f aca="false">IF(OR(AC986="Yes",AC986="No"),AC986,"")</f>
        <v/>
      </c>
      <c r="CB986" s="28" t="str">
        <f aca="false">IF(OR(AD986="Yes",AD986="No"),AD986,"")</f>
        <v/>
      </c>
      <c r="CC986" s="28" t="str">
        <f aca="false">IF(F986="","",F986)</f>
        <v/>
      </c>
      <c r="CD986" s="27"/>
      <c r="CE986" s="27"/>
    </row>
    <row r="987" customFormat="false" ht="15" hidden="false" customHeight="false" outlineLevel="0" collapsed="false">
      <c r="A987" s="27"/>
      <c r="B987" s="27"/>
      <c r="C987" s="27"/>
      <c r="D987" s="27"/>
      <c r="E987" s="27"/>
      <c r="F987" s="27"/>
      <c r="G987" s="27"/>
      <c r="H987" s="27"/>
      <c r="I987" s="27"/>
      <c r="J987" s="28" t="str">
        <f aca="false">IF(AND(N(H987)&gt;0,N(I987)&gt;0),ROUND(I987/(H987/100)^2,1),"")</f>
        <v/>
      </c>
      <c r="K987" s="27"/>
      <c r="L987" s="27"/>
      <c r="M987" s="27"/>
      <c r="N987" s="27"/>
      <c r="O987" s="27"/>
      <c r="P987" s="27"/>
      <c r="Q987" s="27"/>
      <c r="R987" s="29"/>
      <c r="S987" s="29"/>
      <c r="T987" s="27"/>
      <c r="U987" s="28" t="str">
        <f aca="false">IF(N(T987)=0,"",IF(T987&lt;12,"Under 12 months",IF(T987&lt;36,"12-35 months",IF(T987&lt;60,"36-59 months","≥60 months"))))</f>
        <v/>
      </c>
      <c r="V987" s="27"/>
      <c r="W987" s="30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9"/>
      <c r="AT987" s="30"/>
      <c r="AU987" s="30"/>
      <c r="AV987" s="30"/>
      <c r="AW987" s="27"/>
      <c r="AX987" s="27"/>
      <c r="AY987" s="29"/>
      <c r="AZ987" s="27"/>
      <c r="BA987" s="27"/>
      <c r="BB987" s="29"/>
      <c r="BC987" s="30"/>
      <c r="BD987" s="30"/>
      <c r="BE987" s="30"/>
      <c r="BF987" s="27"/>
      <c r="BG987" s="27"/>
      <c r="BH987" s="28" t="str">
        <f aca="false">IF(COUNT(BC987:BE987)=0,"",IF(MIN(BC987:BE987)&lt;=-2.5,"Yes","No"))</f>
        <v/>
      </c>
      <c r="BI987" s="27"/>
      <c r="BJ987" s="29"/>
      <c r="BK987" s="27"/>
      <c r="BL987" s="27"/>
      <c r="BM987" s="27"/>
      <c r="BN987" s="28" t="str">
        <f aca="false">IF(OR(AX987="Yes",BI987="Yes"),"Yes",IF(AND(AX987="No",BI987="No"),"No",IF(AND(AX987="",BI987=""),"","Unknown")))</f>
        <v/>
      </c>
      <c r="BO987" s="31" t="str">
        <f aca="false">IF(COUNT(AY987,BJ987)=0,"",MIN(AY987,BJ987))</f>
        <v/>
      </c>
      <c r="BP987" s="29"/>
      <c r="BQ987" s="29"/>
      <c r="BR987" s="29"/>
      <c r="BS987" s="28" t="str">
        <f aca="false">IF(AND(N(BP987)&gt;0,N(BR987)&gt;0),BR987-BP987,"")</f>
        <v/>
      </c>
      <c r="BT987" s="28" t="str">
        <f aca="false">IF(BS987="","",ROUND(BS987/365.25,2))</f>
        <v/>
      </c>
      <c r="BU987" s="28" t="str">
        <f aca="false">IF(BS987="","",IF(BS987&gt;=730.5,"Yes","No"))</f>
        <v/>
      </c>
      <c r="BV987" s="27"/>
      <c r="BW987" s="29"/>
      <c r="BX987" s="27"/>
      <c r="BY987" s="27"/>
      <c r="BZ987" s="28" t="str">
        <f aca="false">IF(N(E987)=0,"",IF(E987&lt;65,"Under 65","≥65"))</f>
        <v/>
      </c>
      <c r="CA987" s="28" t="str">
        <f aca="false">IF(OR(AC987="Yes",AC987="No"),AC987,"")</f>
        <v/>
      </c>
      <c r="CB987" s="28" t="str">
        <f aca="false">IF(OR(AD987="Yes",AD987="No"),AD987,"")</f>
        <v/>
      </c>
      <c r="CC987" s="28" t="str">
        <f aca="false">IF(F987="","",F987)</f>
        <v/>
      </c>
      <c r="CD987" s="27"/>
      <c r="CE987" s="27"/>
    </row>
    <row r="988" customFormat="false" ht="15" hidden="false" customHeight="false" outlineLevel="0" collapsed="false">
      <c r="A988" s="27"/>
      <c r="B988" s="27"/>
      <c r="C988" s="27"/>
      <c r="D988" s="27"/>
      <c r="E988" s="27"/>
      <c r="F988" s="27"/>
      <c r="G988" s="27"/>
      <c r="H988" s="27"/>
      <c r="I988" s="27"/>
      <c r="J988" s="28" t="str">
        <f aca="false">IF(AND(N(H988)&gt;0,N(I988)&gt;0),ROUND(I988/(H988/100)^2,1),"")</f>
        <v/>
      </c>
      <c r="K988" s="27"/>
      <c r="L988" s="27"/>
      <c r="M988" s="27"/>
      <c r="N988" s="27"/>
      <c r="O988" s="27"/>
      <c r="P988" s="27"/>
      <c r="Q988" s="27"/>
      <c r="R988" s="29"/>
      <c r="S988" s="29"/>
      <c r="T988" s="27"/>
      <c r="U988" s="28" t="str">
        <f aca="false">IF(N(T988)=0,"",IF(T988&lt;12,"Under 12 months",IF(T988&lt;36,"12-35 months",IF(T988&lt;60,"36-59 months","≥60 months"))))</f>
        <v/>
      </c>
      <c r="V988" s="27"/>
      <c r="W988" s="30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9"/>
      <c r="AT988" s="30"/>
      <c r="AU988" s="30"/>
      <c r="AV988" s="30"/>
      <c r="AW988" s="27"/>
      <c r="AX988" s="27"/>
      <c r="AY988" s="29"/>
      <c r="AZ988" s="27"/>
      <c r="BA988" s="27"/>
      <c r="BB988" s="29"/>
      <c r="BC988" s="30"/>
      <c r="BD988" s="30"/>
      <c r="BE988" s="30"/>
      <c r="BF988" s="27"/>
      <c r="BG988" s="27"/>
      <c r="BH988" s="28" t="str">
        <f aca="false">IF(COUNT(BC988:BE988)=0,"",IF(MIN(BC988:BE988)&lt;=-2.5,"Yes","No"))</f>
        <v/>
      </c>
      <c r="BI988" s="27"/>
      <c r="BJ988" s="29"/>
      <c r="BK988" s="27"/>
      <c r="BL988" s="27"/>
      <c r="BM988" s="27"/>
      <c r="BN988" s="28" t="str">
        <f aca="false">IF(OR(AX988="Yes",BI988="Yes"),"Yes",IF(AND(AX988="No",BI988="No"),"No",IF(AND(AX988="",BI988=""),"","Unknown")))</f>
        <v/>
      </c>
      <c r="BO988" s="31" t="str">
        <f aca="false">IF(COUNT(AY988,BJ988)=0,"",MIN(AY988,BJ988))</f>
        <v/>
      </c>
      <c r="BP988" s="29"/>
      <c r="BQ988" s="29"/>
      <c r="BR988" s="29"/>
      <c r="BS988" s="28" t="str">
        <f aca="false">IF(AND(N(BP988)&gt;0,N(BR988)&gt;0),BR988-BP988,"")</f>
        <v/>
      </c>
      <c r="BT988" s="28" t="str">
        <f aca="false">IF(BS988="","",ROUND(BS988/365.25,2))</f>
        <v/>
      </c>
      <c r="BU988" s="28" t="str">
        <f aca="false">IF(BS988="","",IF(BS988&gt;=730.5,"Yes","No"))</f>
        <v/>
      </c>
      <c r="BV988" s="27"/>
      <c r="BW988" s="29"/>
      <c r="BX988" s="27"/>
      <c r="BY988" s="27"/>
      <c r="BZ988" s="28" t="str">
        <f aca="false">IF(N(E988)=0,"",IF(E988&lt;65,"Under 65","≥65"))</f>
        <v/>
      </c>
      <c r="CA988" s="28" t="str">
        <f aca="false">IF(OR(AC988="Yes",AC988="No"),AC988,"")</f>
        <v/>
      </c>
      <c r="CB988" s="28" t="str">
        <f aca="false">IF(OR(AD988="Yes",AD988="No"),AD988,"")</f>
        <v/>
      </c>
      <c r="CC988" s="28" t="str">
        <f aca="false">IF(F988="","",F988)</f>
        <v/>
      </c>
      <c r="CD988" s="27"/>
      <c r="CE988" s="27"/>
    </row>
    <row r="989" customFormat="false" ht="15" hidden="false" customHeight="false" outlineLevel="0" collapsed="false">
      <c r="A989" s="27"/>
      <c r="B989" s="27"/>
      <c r="C989" s="27"/>
      <c r="D989" s="27"/>
      <c r="E989" s="27"/>
      <c r="F989" s="27"/>
      <c r="G989" s="27"/>
      <c r="H989" s="27"/>
      <c r="I989" s="27"/>
      <c r="J989" s="28" t="str">
        <f aca="false">IF(AND(N(H989)&gt;0,N(I989)&gt;0),ROUND(I989/(H989/100)^2,1),"")</f>
        <v/>
      </c>
      <c r="K989" s="27"/>
      <c r="L989" s="27"/>
      <c r="M989" s="27"/>
      <c r="N989" s="27"/>
      <c r="O989" s="27"/>
      <c r="P989" s="27"/>
      <c r="Q989" s="27"/>
      <c r="R989" s="29"/>
      <c r="S989" s="29"/>
      <c r="T989" s="27"/>
      <c r="U989" s="28" t="str">
        <f aca="false">IF(N(T989)=0,"",IF(T989&lt;12,"Under 12 months",IF(T989&lt;36,"12-35 months",IF(T989&lt;60,"36-59 months","≥60 months"))))</f>
        <v/>
      </c>
      <c r="V989" s="27"/>
      <c r="W989" s="30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9"/>
      <c r="AT989" s="30"/>
      <c r="AU989" s="30"/>
      <c r="AV989" s="30"/>
      <c r="AW989" s="27"/>
      <c r="AX989" s="27"/>
      <c r="AY989" s="29"/>
      <c r="AZ989" s="27"/>
      <c r="BA989" s="27"/>
      <c r="BB989" s="29"/>
      <c r="BC989" s="30"/>
      <c r="BD989" s="30"/>
      <c r="BE989" s="30"/>
      <c r="BF989" s="27"/>
      <c r="BG989" s="27"/>
      <c r="BH989" s="28" t="str">
        <f aca="false">IF(COUNT(BC989:BE989)=0,"",IF(MIN(BC989:BE989)&lt;=-2.5,"Yes","No"))</f>
        <v/>
      </c>
      <c r="BI989" s="27"/>
      <c r="BJ989" s="29"/>
      <c r="BK989" s="27"/>
      <c r="BL989" s="27"/>
      <c r="BM989" s="27"/>
      <c r="BN989" s="28" t="str">
        <f aca="false">IF(OR(AX989="Yes",BI989="Yes"),"Yes",IF(AND(AX989="No",BI989="No"),"No",IF(AND(AX989="",BI989=""),"","Unknown")))</f>
        <v/>
      </c>
      <c r="BO989" s="31" t="str">
        <f aca="false">IF(COUNT(AY989,BJ989)=0,"",MIN(AY989,BJ989))</f>
        <v/>
      </c>
      <c r="BP989" s="29"/>
      <c r="BQ989" s="29"/>
      <c r="BR989" s="29"/>
      <c r="BS989" s="28" t="str">
        <f aca="false">IF(AND(N(BP989)&gt;0,N(BR989)&gt;0),BR989-BP989,"")</f>
        <v/>
      </c>
      <c r="BT989" s="28" t="str">
        <f aca="false">IF(BS989="","",ROUND(BS989/365.25,2))</f>
        <v/>
      </c>
      <c r="BU989" s="28" t="str">
        <f aca="false">IF(BS989="","",IF(BS989&gt;=730.5,"Yes","No"))</f>
        <v/>
      </c>
      <c r="BV989" s="27"/>
      <c r="BW989" s="29"/>
      <c r="BX989" s="27"/>
      <c r="BY989" s="27"/>
      <c r="BZ989" s="28" t="str">
        <f aca="false">IF(N(E989)=0,"",IF(E989&lt;65,"Under 65","≥65"))</f>
        <v/>
      </c>
      <c r="CA989" s="28" t="str">
        <f aca="false">IF(OR(AC989="Yes",AC989="No"),AC989,"")</f>
        <v/>
      </c>
      <c r="CB989" s="28" t="str">
        <f aca="false">IF(OR(AD989="Yes",AD989="No"),AD989,"")</f>
        <v/>
      </c>
      <c r="CC989" s="28" t="str">
        <f aca="false">IF(F989="","",F989)</f>
        <v/>
      </c>
      <c r="CD989" s="27"/>
      <c r="CE989" s="27"/>
    </row>
    <row r="990" customFormat="false" ht="15" hidden="false" customHeight="false" outlineLevel="0" collapsed="false">
      <c r="A990" s="27"/>
      <c r="B990" s="27"/>
      <c r="C990" s="27"/>
      <c r="D990" s="27"/>
      <c r="E990" s="27"/>
      <c r="F990" s="27"/>
      <c r="G990" s="27"/>
      <c r="H990" s="27"/>
      <c r="I990" s="27"/>
      <c r="J990" s="28" t="str">
        <f aca="false">IF(AND(N(H990)&gt;0,N(I990)&gt;0),ROUND(I990/(H990/100)^2,1),"")</f>
        <v/>
      </c>
      <c r="K990" s="27"/>
      <c r="L990" s="27"/>
      <c r="M990" s="27"/>
      <c r="N990" s="27"/>
      <c r="O990" s="27"/>
      <c r="P990" s="27"/>
      <c r="Q990" s="27"/>
      <c r="R990" s="29"/>
      <c r="S990" s="29"/>
      <c r="T990" s="27"/>
      <c r="U990" s="28" t="str">
        <f aca="false">IF(N(T990)=0,"",IF(T990&lt;12,"Under 12 months",IF(T990&lt;36,"12-35 months",IF(T990&lt;60,"36-59 months","≥60 months"))))</f>
        <v/>
      </c>
      <c r="V990" s="27"/>
      <c r="W990" s="30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9"/>
      <c r="AT990" s="30"/>
      <c r="AU990" s="30"/>
      <c r="AV990" s="30"/>
      <c r="AW990" s="27"/>
      <c r="AX990" s="27"/>
      <c r="AY990" s="29"/>
      <c r="AZ990" s="27"/>
      <c r="BA990" s="27"/>
      <c r="BB990" s="29"/>
      <c r="BC990" s="30"/>
      <c r="BD990" s="30"/>
      <c r="BE990" s="30"/>
      <c r="BF990" s="27"/>
      <c r="BG990" s="27"/>
      <c r="BH990" s="28" t="str">
        <f aca="false">IF(COUNT(BC990:BE990)=0,"",IF(MIN(BC990:BE990)&lt;=-2.5,"Yes","No"))</f>
        <v/>
      </c>
      <c r="BI990" s="27"/>
      <c r="BJ990" s="29"/>
      <c r="BK990" s="27"/>
      <c r="BL990" s="27"/>
      <c r="BM990" s="27"/>
      <c r="BN990" s="28" t="str">
        <f aca="false">IF(OR(AX990="Yes",BI990="Yes"),"Yes",IF(AND(AX990="No",BI990="No"),"No",IF(AND(AX990="",BI990=""),"","Unknown")))</f>
        <v/>
      </c>
      <c r="BO990" s="31" t="str">
        <f aca="false">IF(COUNT(AY990,BJ990)=0,"",MIN(AY990,BJ990))</f>
        <v/>
      </c>
      <c r="BP990" s="29"/>
      <c r="BQ990" s="29"/>
      <c r="BR990" s="29"/>
      <c r="BS990" s="28" t="str">
        <f aca="false">IF(AND(N(BP990)&gt;0,N(BR990)&gt;0),BR990-BP990,"")</f>
        <v/>
      </c>
      <c r="BT990" s="28" t="str">
        <f aca="false">IF(BS990="","",ROUND(BS990/365.25,2))</f>
        <v/>
      </c>
      <c r="BU990" s="28" t="str">
        <f aca="false">IF(BS990="","",IF(BS990&gt;=730.5,"Yes","No"))</f>
        <v/>
      </c>
      <c r="BV990" s="27"/>
      <c r="BW990" s="29"/>
      <c r="BX990" s="27"/>
      <c r="BY990" s="27"/>
      <c r="BZ990" s="28" t="str">
        <f aca="false">IF(N(E990)=0,"",IF(E990&lt;65,"Under 65","≥65"))</f>
        <v/>
      </c>
      <c r="CA990" s="28" t="str">
        <f aca="false">IF(OR(AC990="Yes",AC990="No"),AC990,"")</f>
        <v/>
      </c>
      <c r="CB990" s="28" t="str">
        <f aca="false">IF(OR(AD990="Yes",AD990="No"),AD990,"")</f>
        <v/>
      </c>
      <c r="CC990" s="28" t="str">
        <f aca="false">IF(F990="","",F990)</f>
        <v/>
      </c>
      <c r="CD990" s="27"/>
      <c r="CE990" s="27"/>
    </row>
    <row r="991" customFormat="false" ht="15" hidden="false" customHeight="false" outlineLevel="0" collapsed="false">
      <c r="A991" s="27"/>
      <c r="B991" s="27"/>
      <c r="C991" s="27"/>
      <c r="D991" s="27"/>
      <c r="E991" s="27"/>
      <c r="F991" s="27"/>
      <c r="G991" s="27"/>
      <c r="H991" s="27"/>
      <c r="I991" s="27"/>
      <c r="J991" s="28" t="str">
        <f aca="false">IF(AND(N(H991)&gt;0,N(I991)&gt;0),ROUND(I991/(H991/100)^2,1),"")</f>
        <v/>
      </c>
      <c r="K991" s="27"/>
      <c r="L991" s="27"/>
      <c r="M991" s="27"/>
      <c r="N991" s="27"/>
      <c r="O991" s="27"/>
      <c r="P991" s="27"/>
      <c r="Q991" s="27"/>
      <c r="R991" s="29"/>
      <c r="S991" s="29"/>
      <c r="T991" s="27"/>
      <c r="U991" s="28" t="str">
        <f aca="false">IF(N(T991)=0,"",IF(T991&lt;12,"Under 12 months",IF(T991&lt;36,"12-35 months",IF(T991&lt;60,"36-59 months","≥60 months"))))</f>
        <v/>
      </c>
      <c r="V991" s="27"/>
      <c r="W991" s="30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9"/>
      <c r="AT991" s="30"/>
      <c r="AU991" s="30"/>
      <c r="AV991" s="30"/>
      <c r="AW991" s="27"/>
      <c r="AX991" s="27"/>
      <c r="AY991" s="29"/>
      <c r="AZ991" s="27"/>
      <c r="BA991" s="27"/>
      <c r="BB991" s="29"/>
      <c r="BC991" s="30"/>
      <c r="BD991" s="30"/>
      <c r="BE991" s="30"/>
      <c r="BF991" s="27"/>
      <c r="BG991" s="27"/>
      <c r="BH991" s="28" t="str">
        <f aca="false">IF(COUNT(BC991:BE991)=0,"",IF(MIN(BC991:BE991)&lt;=-2.5,"Yes","No"))</f>
        <v/>
      </c>
      <c r="BI991" s="27"/>
      <c r="BJ991" s="29"/>
      <c r="BK991" s="27"/>
      <c r="BL991" s="27"/>
      <c r="BM991" s="27"/>
      <c r="BN991" s="28" t="str">
        <f aca="false">IF(OR(AX991="Yes",BI991="Yes"),"Yes",IF(AND(AX991="No",BI991="No"),"No",IF(AND(AX991="",BI991=""),"","Unknown")))</f>
        <v/>
      </c>
      <c r="BO991" s="31" t="str">
        <f aca="false">IF(COUNT(AY991,BJ991)=0,"",MIN(AY991,BJ991))</f>
        <v/>
      </c>
      <c r="BP991" s="29"/>
      <c r="BQ991" s="29"/>
      <c r="BR991" s="29"/>
      <c r="BS991" s="28" t="str">
        <f aca="false">IF(AND(N(BP991)&gt;0,N(BR991)&gt;0),BR991-BP991,"")</f>
        <v/>
      </c>
      <c r="BT991" s="28" t="str">
        <f aca="false">IF(BS991="","",ROUND(BS991/365.25,2))</f>
        <v/>
      </c>
      <c r="BU991" s="28" t="str">
        <f aca="false">IF(BS991="","",IF(BS991&gt;=730.5,"Yes","No"))</f>
        <v/>
      </c>
      <c r="BV991" s="27"/>
      <c r="BW991" s="29"/>
      <c r="BX991" s="27"/>
      <c r="BY991" s="27"/>
      <c r="BZ991" s="28" t="str">
        <f aca="false">IF(N(E991)=0,"",IF(E991&lt;65,"Under 65","≥65"))</f>
        <v/>
      </c>
      <c r="CA991" s="28" t="str">
        <f aca="false">IF(OR(AC991="Yes",AC991="No"),AC991,"")</f>
        <v/>
      </c>
      <c r="CB991" s="28" t="str">
        <f aca="false">IF(OR(AD991="Yes",AD991="No"),AD991,"")</f>
        <v/>
      </c>
      <c r="CC991" s="28" t="str">
        <f aca="false">IF(F991="","",F991)</f>
        <v/>
      </c>
      <c r="CD991" s="27"/>
      <c r="CE991" s="27"/>
    </row>
    <row r="992" customFormat="false" ht="15" hidden="false" customHeight="false" outlineLevel="0" collapsed="false">
      <c r="A992" s="27"/>
      <c r="B992" s="27"/>
      <c r="C992" s="27"/>
      <c r="D992" s="27"/>
      <c r="E992" s="27"/>
      <c r="F992" s="27"/>
      <c r="G992" s="27"/>
      <c r="H992" s="27"/>
      <c r="I992" s="27"/>
      <c r="J992" s="28" t="str">
        <f aca="false">IF(AND(N(H992)&gt;0,N(I992)&gt;0),ROUND(I992/(H992/100)^2,1),"")</f>
        <v/>
      </c>
      <c r="K992" s="27"/>
      <c r="L992" s="27"/>
      <c r="M992" s="27"/>
      <c r="N992" s="27"/>
      <c r="O992" s="27"/>
      <c r="P992" s="27"/>
      <c r="Q992" s="27"/>
      <c r="R992" s="29"/>
      <c r="S992" s="29"/>
      <c r="T992" s="27"/>
      <c r="U992" s="28" t="str">
        <f aca="false">IF(N(T992)=0,"",IF(T992&lt;12,"Under 12 months",IF(T992&lt;36,"12-35 months",IF(T992&lt;60,"36-59 months","≥60 months"))))</f>
        <v/>
      </c>
      <c r="V992" s="27"/>
      <c r="W992" s="30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9"/>
      <c r="AT992" s="30"/>
      <c r="AU992" s="30"/>
      <c r="AV992" s="30"/>
      <c r="AW992" s="27"/>
      <c r="AX992" s="27"/>
      <c r="AY992" s="29"/>
      <c r="AZ992" s="27"/>
      <c r="BA992" s="27"/>
      <c r="BB992" s="29"/>
      <c r="BC992" s="30"/>
      <c r="BD992" s="30"/>
      <c r="BE992" s="30"/>
      <c r="BF992" s="27"/>
      <c r="BG992" s="27"/>
      <c r="BH992" s="28" t="str">
        <f aca="false">IF(COUNT(BC992:BE992)=0,"",IF(MIN(BC992:BE992)&lt;=-2.5,"Yes","No"))</f>
        <v/>
      </c>
      <c r="BI992" s="27"/>
      <c r="BJ992" s="29"/>
      <c r="BK992" s="27"/>
      <c r="BL992" s="27"/>
      <c r="BM992" s="27"/>
      <c r="BN992" s="28" t="str">
        <f aca="false">IF(OR(AX992="Yes",BI992="Yes"),"Yes",IF(AND(AX992="No",BI992="No"),"No",IF(AND(AX992="",BI992=""),"","Unknown")))</f>
        <v/>
      </c>
      <c r="BO992" s="31" t="str">
        <f aca="false">IF(COUNT(AY992,BJ992)=0,"",MIN(AY992,BJ992))</f>
        <v/>
      </c>
      <c r="BP992" s="29"/>
      <c r="BQ992" s="29"/>
      <c r="BR992" s="29"/>
      <c r="BS992" s="28" t="str">
        <f aca="false">IF(AND(N(BP992)&gt;0,N(BR992)&gt;0),BR992-BP992,"")</f>
        <v/>
      </c>
      <c r="BT992" s="28" t="str">
        <f aca="false">IF(BS992="","",ROUND(BS992/365.25,2))</f>
        <v/>
      </c>
      <c r="BU992" s="28" t="str">
        <f aca="false">IF(BS992="","",IF(BS992&gt;=730.5,"Yes","No"))</f>
        <v/>
      </c>
      <c r="BV992" s="27"/>
      <c r="BW992" s="29"/>
      <c r="BX992" s="27"/>
      <c r="BY992" s="27"/>
      <c r="BZ992" s="28" t="str">
        <f aca="false">IF(N(E992)=0,"",IF(E992&lt;65,"Under 65","≥65"))</f>
        <v/>
      </c>
      <c r="CA992" s="28" t="str">
        <f aca="false">IF(OR(AC992="Yes",AC992="No"),AC992,"")</f>
        <v/>
      </c>
      <c r="CB992" s="28" t="str">
        <f aca="false">IF(OR(AD992="Yes",AD992="No"),AD992,"")</f>
        <v/>
      </c>
      <c r="CC992" s="28" t="str">
        <f aca="false">IF(F992="","",F992)</f>
        <v/>
      </c>
      <c r="CD992" s="27"/>
      <c r="CE992" s="27"/>
    </row>
    <row r="993" customFormat="false" ht="15" hidden="false" customHeight="false" outlineLevel="0" collapsed="false">
      <c r="A993" s="27"/>
      <c r="B993" s="27"/>
      <c r="C993" s="27"/>
      <c r="D993" s="27"/>
      <c r="E993" s="27"/>
      <c r="F993" s="27"/>
      <c r="G993" s="27"/>
      <c r="H993" s="27"/>
      <c r="I993" s="27"/>
      <c r="J993" s="28" t="str">
        <f aca="false">IF(AND(N(H993)&gt;0,N(I993)&gt;0),ROUND(I993/(H993/100)^2,1),"")</f>
        <v/>
      </c>
      <c r="K993" s="27"/>
      <c r="L993" s="27"/>
      <c r="M993" s="27"/>
      <c r="N993" s="27"/>
      <c r="O993" s="27"/>
      <c r="P993" s="27"/>
      <c r="Q993" s="27"/>
      <c r="R993" s="29"/>
      <c r="S993" s="29"/>
      <c r="T993" s="27"/>
      <c r="U993" s="28" t="str">
        <f aca="false">IF(N(T993)=0,"",IF(T993&lt;12,"Under 12 months",IF(T993&lt;36,"12-35 months",IF(T993&lt;60,"36-59 months","≥60 months"))))</f>
        <v/>
      </c>
      <c r="V993" s="27"/>
      <c r="W993" s="30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9"/>
      <c r="AT993" s="30"/>
      <c r="AU993" s="30"/>
      <c r="AV993" s="30"/>
      <c r="AW993" s="27"/>
      <c r="AX993" s="27"/>
      <c r="AY993" s="29"/>
      <c r="AZ993" s="27"/>
      <c r="BA993" s="27"/>
      <c r="BB993" s="29"/>
      <c r="BC993" s="30"/>
      <c r="BD993" s="30"/>
      <c r="BE993" s="30"/>
      <c r="BF993" s="27"/>
      <c r="BG993" s="27"/>
      <c r="BH993" s="28" t="str">
        <f aca="false">IF(COUNT(BC993:BE993)=0,"",IF(MIN(BC993:BE993)&lt;=-2.5,"Yes","No"))</f>
        <v/>
      </c>
      <c r="BI993" s="27"/>
      <c r="BJ993" s="29"/>
      <c r="BK993" s="27"/>
      <c r="BL993" s="27"/>
      <c r="BM993" s="27"/>
      <c r="BN993" s="28" t="str">
        <f aca="false">IF(OR(AX993="Yes",BI993="Yes"),"Yes",IF(AND(AX993="No",BI993="No"),"No",IF(AND(AX993="",BI993=""),"","Unknown")))</f>
        <v/>
      </c>
      <c r="BO993" s="31" t="str">
        <f aca="false">IF(COUNT(AY993,BJ993)=0,"",MIN(AY993,BJ993))</f>
        <v/>
      </c>
      <c r="BP993" s="29"/>
      <c r="BQ993" s="29"/>
      <c r="BR993" s="29"/>
      <c r="BS993" s="28" t="str">
        <f aca="false">IF(AND(N(BP993)&gt;0,N(BR993)&gt;0),BR993-BP993,"")</f>
        <v/>
      </c>
      <c r="BT993" s="28" t="str">
        <f aca="false">IF(BS993="","",ROUND(BS993/365.25,2))</f>
        <v/>
      </c>
      <c r="BU993" s="28" t="str">
        <f aca="false">IF(BS993="","",IF(BS993&gt;=730.5,"Yes","No"))</f>
        <v/>
      </c>
      <c r="BV993" s="27"/>
      <c r="BW993" s="29"/>
      <c r="BX993" s="27"/>
      <c r="BY993" s="27"/>
      <c r="BZ993" s="28" t="str">
        <f aca="false">IF(N(E993)=0,"",IF(E993&lt;65,"Under 65","≥65"))</f>
        <v/>
      </c>
      <c r="CA993" s="28" t="str">
        <f aca="false">IF(OR(AC993="Yes",AC993="No"),AC993,"")</f>
        <v/>
      </c>
      <c r="CB993" s="28" t="str">
        <f aca="false">IF(OR(AD993="Yes",AD993="No"),AD993,"")</f>
        <v/>
      </c>
      <c r="CC993" s="28" t="str">
        <f aca="false">IF(F993="","",F993)</f>
        <v/>
      </c>
      <c r="CD993" s="27"/>
      <c r="CE993" s="27"/>
    </row>
    <row r="994" customFormat="false" ht="15" hidden="false" customHeight="false" outlineLevel="0" collapsed="false">
      <c r="A994" s="27"/>
      <c r="B994" s="27"/>
      <c r="C994" s="27"/>
      <c r="D994" s="27"/>
      <c r="E994" s="27"/>
      <c r="F994" s="27"/>
      <c r="G994" s="27"/>
      <c r="H994" s="27"/>
      <c r="I994" s="27"/>
      <c r="J994" s="28" t="str">
        <f aca="false">IF(AND(N(H994)&gt;0,N(I994)&gt;0),ROUND(I994/(H994/100)^2,1),"")</f>
        <v/>
      </c>
      <c r="K994" s="27"/>
      <c r="L994" s="27"/>
      <c r="M994" s="27"/>
      <c r="N994" s="27"/>
      <c r="O994" s="27"/>
      <c r="P994" s="27"/>
      <c r="Q994" s="27"/>
      <c r="R994" s="29"/>
      <c r="S994" s="29"/>
      <c r="T994" s="27"/>
      <c r="U994" s="28" t="str">
        <f aca="false">IF(N(T994)=0,"",IF(T994&lt;12,"Under 12 months",IF(T994&lt;36,"12-35 months",IF(T994&lt;60,"36-59 months","≥60 months"))))</f>
        <v/>
      </c>
      <c r="V994" s="27"/>
      <c r="W994" s="30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9"/>
      <c r="AT994" s="30"/>
      <c r="AU994" s="30"/>
      <c r="AV994" s="30"/>
      <c r="AW994" s="27"/>
      <c r="AX994" s="27"/>
      <c r="AY994" s="29"/>
      <c r="AZ994" s="27"/>
      <c r="BA994" s="27"/>
      <c r="BB994" s="29"/>
      <c r="BC994" s="30"/>
      <c r="BD994" s="30"/>
      <c r="BE994" s="30"/>
      <c r="BF994" s="27"/>
      <c r="BG994" s="27"/>
      <c r="BH994" s="28" t="str">
        <f aca="false">IF(COUNT(BC994:BE994)=0,"",IF(MIN(BC994:BE994)&lt;=-2.5,"Yes","No"))</f>
        <v/>
      </c>
      <c r="BI994" s="27"/>
      <c r="BJ994" s="29"/>
      <c r="BK994" s="27"/>
      <c r="BL994" s="27"/>
      <c r="BM994" s="27"/>
      <c r="BN994" s="28" t="str">
        <f aca="false">IF(OR(AX994="Yes",BI994="Yes"),"Yes",IF(AND(AX994="No",BI994="No"),"No",IF(AND(AX994="",BI994=""),"","Unknown")))</f>
        <v/>
      </c>
      <c r="BO994" s="31" t="str">
        <f aca="false">IF(COUNT(AY994,BJ994)=0,"",MIN(AY994,BJ994))</f>
        <v/>
      </c>
      <c r="BP994" s="29"/>
      <c r="BQ994" s="29"/>
      <c r="BR994" s="29"/>
      <c r="BS994" s="28" t="str">
        <f aca="false">IF(AND(N(BP994)&gt;0,N(BR994)&gt;0),BR994-BP994,"")</f>
        <v/>
      </c>
      <c r="BT994" s="28" t="str">
        <f aca="false">IF(BS994="","",ROUND(BS994/365.25,2))</f>
        <v/>
      </c>
      <c r="BU994" s="28" t="str">
        <f aca="false">IF(BS994="","",IF(BS994&gt;=730.5,"Yes","No"))</f>
        <v/>
      </c>
      <c r="BV994" s="27"/>
      <c r="BW994" s="29"/>
      <c r="BX994" s="27"/>
      <c r="BY994" s="27"/>
      <c r="BZ994" s="28" t="str">
        <f aca="false">IF(N(E994)=0,"",IF(E994&lt;65,"Under 65","≥65"))</f>
        <v/>
      </c>
      <c r="CA994" s="28" t="str">
        <f aca="false">IF(OR(AC994="Yes",AC994="No"),AC994,"")</f>
        <v/>
      </c>
      <c r="CB994" s="28" t="str">
        <f aca="false">IF(OR(AD994="Yes",AD994="No"),AD994,"")</f>
        <v/>
      </c>
      <c r="CC994" s="28" t="str">
        <f aca="false">IF(F994="","",F994)</f>
        <v/>
      </c>
      <c r="CD994" s="27"/>
      <c r="CE994" s="27"/>
    </row>
    <row r="995" customFormat="false" ht="15" hidden="false" customHeight="false" outlineLevel="0" collapsed="false">
      <c r="A995" s="27"/>
      <c r="B995" s="27"/>
      <c r="C995" s="27"/>
      <c r="D995" s="27"/>
      <c r="E995" s="27"/>
      <c r="F995" s="27"/>
      <c r="G995" s="27"/>
      <c r="H995" s="27"/>
      <c r="I995" s="27"/>
      <c r="J995" s="28" t="str">
        <f aca="false">IF(AND(N(H995)&gt;0,N(I995)&gt;0),ROUND(I995/(H995/100)^2,1),"")</f>
        <v/>
      </c>
      <c r="K995" s="27"/>
      <c r="L995" s="27"/>
      <c r="M995" s="27"/>
      <c r="N995" s="27"/>
      <c r="O995" s="27"/>
      <c r="P995" s="27"/>
      <c r="Q995" s="27"/>
      <c r="R995" s="29"/>
      <c r="S995" s="29"/>
      <c r="T995" s="27"/>
      <c r="U995" s="28" t="str">
        <f aca="false">IF(N(T995)=0,"",IF(T995&lt;12,"Under 12 months",IF(T995&lt;36,"12-35 months",IF(T995&lt;60,"36-59 months","≥60 months"))))</f>
        <v/>
      </c>
      <c r="V995" s="27"/>
      <c r="W995" s="30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9"/>
      <c r="AT995" s="30"/>
      <c r="AU995" s="30"/>
      <c r="AV995" s="30"/>
      <c r="AW995" s="27"/>
      <c r="AX995" s="27"/>
      <c r="AY995" s="29"/>
      <c r="AZ995" s="27"/>
      <c r="BA995" s="27"/>
      <c r="BB995" s="29"/>
      <c r="BC995" s="30"/>
      <c r="BD995" s="30"/>
      <c r="BE995" s="30"/>
      <c r="BF995" s="27"/>
      <c r="BG995" s="27"/>
      <c r="BH995" s="28" t="str">
        <f aca="false">IF(COUNT(BC995:BE995)=0,"",IF(MIN(BC995:BE995)&lt;=-2.5,"Yes","No"))</f>
        <v/>
      </c>
      <c r="BI995" s="27"/>
      <c r="BJ995" s="29"/>
      <c r="BK995" s="27"/>
      <c r="BL995" s="27"/>
      <c r="BM995" s="27"/>
      <c r="BN995" s="28" t="str">
        <f aca="false">IF(OR(AX995="Yes",BI995="Yes"),"Yes",IF(AND(AX995="No",BI995="No"),"No",IF(AND(AX995="",BI995=""),"","Unknown")))</f>
        <v/>
      </c>
      <c r="BO995" s="31" t="str">
        <f aca="false">IF(COUNT(AY995,BJ995)=0,"",MIN(AY995,BJ995))</f>
        <v/>
      </c>
      <c r="BP995" s="29"/>
      <c r="BQ995" s="29"/>
      <c r="BR995" s="29"/>
      <c r="BS995" s="28" t="str">
        <f aca="false">IF(AND(N(BP995)&gt;0,N(BR995)&gt;0),BR995-BP995,"")</f>
        <v/>
      </c>
      <c r="BT995" s="28" t="str">
        <f aca="false">IF(BS995="","",ROUND(BS995/365.25,2))</f>
        <v/>
      </c>
      <c r="BU995" s="28" t="str">
        <f aca="false">IF(BS995="","",IF(BS995&gt;=730.5,"Yes","No"))</f>
        <v/>
      </c>
      <c r="BV995" s="27"/>
      <c r="BW995" s="29"/>
      <c r="BX995" s="27"/>
      <c r="BY995" s="27"/>
      <c r="BZ995" s="28" t="str">
        <f aca="false">IF(N(E995)=0,"",IF(E995&lt;65,"Under 65","≥65"))</f>
        <v/>
      </c>
      <c r="CA995" s="28" t="str">
        <f aca="false">IF(OR(AC995="Yes",AC995="No"),AC995,"")</f>
        <v/>
      </c>
      <c r="CB995" s="28" t="str">
        <f aca="false">IF(OR(AD995="Yes",AD995="No"),AD995,"")</f>
        <v/>
      </c>
      <c r="CC995" s="28" t="str">
        <f aca="false">IF(F995="","",F995)</f>
        <v/>
      </c>
      <c r="CD995" s="27"/>
      <c r="CE995" s="27"/>
    </row>
    <row r="996" customFormat="false" ht="15" hidden="false" customHeight="false" outlineLevel="0" collapsed="false">
      <c r="A996" s="27"/>
      <c r="B996" s="27"/>
      <c r="C996" s="27"/>
      <c r="D996" s="27"/>
      <c r="E996" s="27"/>
      <c r="F996" s="27"/>
      <c r="G996" s="27"/>
      <c r="H996" s="27"/>
      <c r="I996" s="27"/>
      <c r="J996" s="28" t="str">
        <f aca="false">IF(AND(N(H996)&gt;0,N(I996)&gt;0),ROUND(I996/(H996/100)^2,1),"")</f>
        <v/>
      </c>
      <c r="K996" s="27"/>
      <c r="L996" s="27"/>
      <c r="M996" s="27"/>
      <c r="N996" s="27"/>
      <c r="O996" s="27"/>
      <c r="P996" s="27"/>
      <c r="Q996" s="27"/>
      <c r="R996" s="29"/>
      <c r="S996" s="29"/>
      <c r="T996" s="27"/>
      <c r="U996" s="28" t="str">
        <f aca="false">IF(N(T996)=0,"",IF(T996&lt;12,"Under 12 months",IF(T996&lt;36,"12-35 months",IF(T996&lt;60,"36-59 months","≥60 months"))))</f>
        <v/>
      </c>
      <c r="V996" s="27"/>
      <c r="W996" s="30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9"/>
      <c r="AT996" s="30"/>
      <c r="AU996" s="30"/>
      <c r="AV996" s="30"/>
      <c r="AW996" s="27"/>
      <c r="AX996" s="27"/>
      <c r="AY996" s="29"/>
      <c r="AZ996" s="27"/>
      <c r="BA996" s="27"/>
      <c r="BB996" s="29"/>
      <c r="BC996" s="30"/>
      <c r="BD996" s="30"/>
      <c r="BE996" s="30"/>
      <c r="BF996" s="27"/>
      <c r="BG996" s="27"/>
      <c r="BH996" s="28" t="str">
        <f aca="false">IF(COUNT(BC996:BE996)=0,"",IF(MIN(BC996:BE996)&lt;=-2.5,"Yes","No"))</f>
        <v/>
      </c>
      <c r="BI996" s="27"/>
      <c r="BJ996" s="29"/>
      <c r="BK996" s="27"/>
      <c r="BL996" s="27"/>
      <c r="BM996" s="27"/>
      <c r="BN996" s="28" t="str">
        <f aca="false">IF(OR(AX996="Yes",BI996="Yes"),"Yes",IF(AND(AX996="No",BI996="No"),"No",IF(AND(AX996="",BI996=""),"","Unknown")))</f>
        <v/>
      </c>
      <c r="BO996" s="31" t="str">
        <f aca="false">IF(COUNT(AY996,BJ996)=0,"",MIN(AY996,BJ996))</f>
        <v/>
      </c>
      <c r="BP996" s="29"/>
      <c r="BQ996" s="29"/>
      <c r="BR996" s="29"/>
      <c r="BS996" s="28" t="str">
        <f aca="false">IF(AND(N(BP996)&gt;0,N(BR996)&gt;0),BR996-BP996,"")</f>
        <v/>
      </c>
      <c r="BT996" s="28" t="str">
        <f aca="false">IF(BS996="","",ROUND(BS996/365.25,2))</f>
        <v/>
      </c>
      <c r="BU996" s="28" t="str">
        <f aca="false">IF(BS996="","",IF(BS996&gt;=730.5,"Yes","No"))</f>
        <v/>
      </c>
      <c r="BV996" s="27"/>
      <c r="BW996" s="29"/>
      <c r="BX996" s="27"/>
      <c r="BY996" s="27"/>
      <c r="BZ996" s="28" t="str">
        <f aca="false">IF(N(E996)=0,"",IF(E996&lt;65,"Under 65","≥65"))</f>
        <v/>
      </c>
      <c r="CA996" s="28" t="str">
        <f aca="false">IF(OR(AC996="Yes",AC996="No"),AC996,"")</f>
        <v/>
      </c>
      <c r="CB996" s="28" t="str">
        <f aca="false">IF(OR(AD996="Yes",AD996="No"),AD996,"")</f>
        <v/>
      </c>
      <c r="CC996" s="28" t="str">
        <f aca="false">IF(F996="","",F996)</f>
        <v/>
      </c>
      <c r="CD996" s="27"/>
      <c r="CE996" s="27"/>
    </row>
    <row r="997" customFormat="false" ht="15" hidden="false" customHeight="false" outlineLevel="0" collapsed="false">
      <c r="A997" s="27"/>
      <c r="B997" s="27"/>
      <c r="C997" s="27"/>
      <c r="D997" s="27"/>
      <c r="E997" s="27"/>
      <c r="F997" s="27"/>
      <c r="G997" s="27"/>
      <c r="H997" s="27"/>
      <c r="I997" s="27"/>
      <c r="J997" s="28" t="str">
        <f aca="false">IF(AND(N(H997)&gt;0,N(I997)&gt;0),ROUND(I997/(H997/100)^2,1),"")</f>
        <v/>
      </c>
      <c r="K997" s="27"/>
      <c r="L997" s="27"/>
      <c r="M997" s="27"/>
      <c r="N997" s="27"/>
      <c r="O997" s="27"/>
      <c r="P997" s="27"/>
      <c r="Q997" s="27"/>
      <c r="R997" s="29"/>
      <c r="S997" s="29"/>
      <c r="T997" s="27"/>
      <c r="U997" s="28" t="str">
        <f aca="false">IF(N(T997)=0,"",IF(T997&lt;12,"Under 12 months",IF(T997&lt;36,"12-35 months",IF(T997&lt;60,"36-59 months","≥60 months"))))</f>
        <v/>
      </c>
      <c r="V997" s="27"/>
      <c r="W997" s="30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9"/>
      <c r="AT997" s="30"/>
      <c r="AU997" s="30"/>
      <c r="AV997" s="30"/>
      <c r="AW997" s="27"/>
      <c r="AX997" s="27"/>
      <c r="AY997" s="29"/>
      <c r="AZ997" s="27"/>
      <c r="BA997" s="27"/>
      <c r="BB997" s="29"/>
      <c r="BC997" s="30"/>
      <c r="BD997" s="30"/>
      <c r="BE997" s="30"/>
      <c r="BF997" s="27"/>
      <c r="BG997" s="27"/>
      <c r="BH997" s="28" t="str">
        <f aca="false">IF(COUNT(BC997:BE997)=0,"",IF(MIN(BC997:BE997)&lt;=-2.5,"Yes","No"))</f>
        <v/>
      </c>
      <c r="BI997" s="27"/>
      <c r="BJ997" s="29"/>
      <c r="BK997" s="27"/>
      <c r="BL997" s="27"/>
      <c r="BM997" s="27"/>
      <c r="BN997" s="28" t="str">
        <f aca="false">IF(OR(AX997="Yes",BI997="Yes"),"Yes",IF(AND(AX997="No",BI997="No"),"No",IF(AND(AX997="",BI997=""),"","Unknown")))</f>
        <v/>
      </c>
      <c r="BO997" s="31" t="str">
        <f aca="false">IF(COUNT(AY997,BJ997)=0,"",MIN(AY997,BJ997))</f>
        <v/>
      </c>
      <c r="BP997" s="29"/>
      <c r="BQ997" s="29"/>
      <c r="BR997" s="29"/>
      <c r="BS997" s="28" t="str">
        <f aca="false">IF(AND(N(BP997)&gt;0,N(BR997)&gt;0),BR997-BP997,"")</f>
        <v/>
      </c>
      <c r="BT997" s="28" t="str">
        <f aca="false">IF(BS997="","",ROUND(BS997/365.25,2))</f>
        <v/>
      </c>
      <c r="BU997" s="28" t="str">
        <f aca="false">IF(BS997="","",IF(BS997&gt;=730.5,"Yes","No"))</f>
        <v/>
      </c>
      <c r="BV997" s="27"/>
      <c r="BW997" s="29"/>
      <c r="BX997" s="27"/>
      <c r="BY997" s="27"/>
      <c r="BZ997" s="28" t="str">
        <f aca="false">IF(N(E997)=0,"",IF(E997&lt;65,"Under 65","≥65"))</f>
        <v/>
      </c>
      <c r="CA997" s="28" t="str">
        <f aca="false">IF(OR(AC997="Yes",AC997="No"),AC997,"")</f>
        <v/>
      </c>
      <c r="CB997" s="28" t="str">
        <f aca="false">IF(OR(AD997="Yes",AD997="No"),AD997,"")</f>
        <v/>
      </c>
      <c r="CC997" s="28" t="str">
        <f aca="false">IF(F997="","",F997)</f>
        <v/>
      </c>
      <c r="CD997" s="27"/>
      <c r="CE997" s="27"/>
    </row>
    <row r="998" customFormat="false" ht="15" hidden="false" customHeight="false" outlineLevel="0" collapsed="false">
      <c r="A998" s="27"/>
      <c r="B998" s="27"/>
      <c r="C998" s="27"/>
      <c r="D998" s="27"/>
      <c r="E998" s="27"/>
      <c r="F998" s="27"/>
      <c r="G998" s="27"/>
      <c r="H998" s="27"/>
      <c r="I998" s="27"/>
      <c r="J998" s="28" t="str">
        <f aca="false">IF(AND(N(H998)&gt;0,N(I998)&gt;0),ROUND(I998/(H998/100)^2,1),"")</f>
        <v/>
      </c>
      <c r="K998" s="27"/>
      <c r="L998" s="27"/>
      <c r="M998" s="27"/>
      <c r="N998" s="27"/>
      <c r="O998" s="27"/>
      <c r="P998" s="27"/>
      <c r="Q998" s="27"/>
      <c r="R998" s="29"/>
      <c r="S998" s="29"/>
      <c r="T998" s="27"/>
      <c r="U998" s="28" t="str">
        <f aca="false">IF(N(T998)=0,"",IF(T998&lt;12,"Under 12 months",IF(T998&lt;36,"12-35 months",IF(T998&lt;60,"36-59 months","≥60 months"))))</f>
        <v/>
      </c>
      <c r="V998" s="27"/>
      <c r="W998" s="30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9"/>
      <c r="AT998" s="30"/>
      <c r="AU998" s="30"/>
      <c r="AV998" s="30"/>
      <c r="AW998" s="27"/>
      <c r="AX998" s="27"/>
      <c r="AY998" s="29"/>
      <c r="AZ998" s="27"/>
      <c r="BA998" s="27"/>
      <c r="BB998" s="29"/>
      <c r="BC998" s="30"/>
      <c r="BD998" s="30"/>
      <c r="BE998" s="30"/>
      <c r="BF998" s="27"/>
      <c r="BG998" s="27"/>
      <c r="BH998" s="28" t="str">
        <f aca="false">IF(COUNT(BC998:BE998)=0,"",IF(MIN(BC998:BE998)&lt;=-2.5,"Yes","No"))</f>
        <v/>
      </c>
      <c r="BI998" s="27"/>
      <c r="BJ998" s="29"/>
      <c r="BK998" s="27"/>
      <c r="BL998" s="27"/>
      <c r="BM998" s="27"/>
      <c r="BN998" s="28" t="str">
        <f aca="false">IF(OR(AX998="Yes",BI998="Yes"),"Yes",IF(AND(AX998="No",BI998="No"),"No",IF(AND(AX998="",BI998=""),"","Unknown")))</f>
        <v/>
      </c>
      <c r="BO998" s="31" t="str">
        <f aca="false">IF(COUNT(AY998,BJ998)=0,"",MIN(AY998,BJ998))</f>
        <v/>
      </c>
      <c r="BP998" s="29"/>
      <c r="BQ998" s="29"/>
      <c r="BR998" s="29"/>
      <c r="BS998" s="28" t="str">
        <f aca="false">IF(AND(N(BP998)&gt;0,N(BR998)&gt;0),BR998-BP998,"")</f>
        <v/>
      </c>
      <c r="BT998" s="28" t="str">
        <f aca="false">IF(BS998="","",ROUND(BS998/365.25,2))</f>
        <v/>
      </c>
      <c r="BU998" s="28" t="str">
        <f aca="false">IF(BS998="","",IF(BS998&gt;=730.5,"Yes","No"))</f>
        <v/>
      </c>
      <c r="BV998" s="27"/>
      <c r="BW998" s="29"/>
      <c r="BX998" s="27"/>
      <c r="BY998" s="27"/>
      <c r="BZ998" s="28" t="str">
        <f aca="false">IF(N(E998)=0,"",IF(E998&lt;65,"Under 65","≥65"))</f>
        <v/>
      </c>
      <c r="CA998" s="28" t="str">
        <f aca="false">IF(OR(AC998="Yes",AC998="No"),AC998,"")</f>
        <v/>
      </c>
      <c r="CB998" s="28" t="str">
        <f aca="false">IF(OR(AD998="Yes",AD998="No"),AD998,"")</f>
        <v/>
      </c>
      <c r="CC998" s="28" t="str">
        <f aca="false">IF(F998="","",F998)</f>
        <v/>
      </c>
      <c r="CD998" s="27"/>
      <c r="CE998" s="27"/>
    </row>
    <row r="999" customFormat="false" ht="15" hidden="false" customHeight="false" outlineLevel="0" collapsed="false">
      <c r="A999" s="27"/>
      <c r="B999" s="27"/>
      <c r="C999" s="27"/>
      <c r="D999" s="27"/>
      <c r="E999" s="27"/>
      <c r="F999" s="27"/>
      <c r="G999" s="27"/>
      <c r="H999" s="27"/>
      <c r="I999" s="27"/>
      <c r="J999" s="28" t="str">
        <f aca="false">IF(AND(N(H999)&gt;0,N(I999)&gt;0),ROUND(I999/(H999/100)^2,1),"")</f>
        <v/>
      </c>
      <c r="K999" s="27"/>
      <c r="L999" s="27"/>
      <c r="M999" s="27"/>
      <c r="N999" s="27"/>
      <c r="O999" s="27"/>
      <c r="P999" s="27"/>
      <c r="Q999" s="27"/>
      <c r="R999" s="29"/>
      <c r="S999" s="29"/>
      <c r="T999" s="27"/>
      <c r="U999" s="28" t="str">
        <f aca="false">IF(N(T999)=0,"",IF(T999&lt;12,"Under 12 months",IF(T999&lt;36,"12-35 months",IF(T999&lt;60,"36-59 months","≥60 months"))))</f>
        <v/>
      </c>
      <c r="V999" s="27"/>
      <c r="W999" s="30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9"/>
      <c r="AT999" s="30"/>
      <c r="AU999" s="30"/>
      <c r="AV999" s="30"/>
      <c r="AW999" s="27"/>
      <c r="AX999" s="27"/>
      <c r="AY999" s="29"/>
      <c r="AZ999" s="27"/>
      <c r="BA999" s="27"/>
      <c r="BB999" s="29"/>
      <c r="BC999" s="30"/>
      <c r="BD999" s="30"/>
      <c r="BE999" s="30"/>
      <c r="BF999" s="27"/>
      <c r="BG999" s="27"/>
      <c r="BH999" s="28" t="str">
        <f aca="false">IF(COUNT(BC999:BE999)=0,"",IF(MIN(BC999:BE999)&lt;=-2.5,"Yes","No"))</f>
        <v/>
      </c>
      <c r="BI999" s="27"/>
      <c r="BJ999" s="29"/>
      <c r="BK999" s="27"/>
      <c r="BL999" s="27"/>
      <c r="BM999" s="27"/>
      <c r="BN999" s="28" t="str">
        <f aca="false">IF(OR(AX999="Yes",BI999="Yes"),"Yes",IF(AND(AX999="No",BI999="No"),"No",IF(AND(AX999="",BI999=""),"","Unknown")))</f>
        <v/>
      </c>
      <c r="BO999" s="31" t="str">
        <f aca="false">IF(COUNT(AY999,BJ999)=0,"",MIN(AY999,BJ999))</f>
        <v/>
      </c>
      <c r="BP999" s="29"/>
      <c r="BQ999" s="29"/>
      <c r="BR999" s="29"/>
      <c r="BS999" s="28" t="str">
        <f aca="false">IF(AND(N(BP999)&gt;0,N(BR999)&gt;0),BR999-BP999,"")</f>
        <v/>
      </c>
      <c r="BT999" s="28" t="str">
        <f aca="false">IF(BS999="","",ROUND(BS999/365.25,2))</f>
        <v/>
      </c>
      <c r="BU999" s="28" t="str">
        <f aca="false">IF(BS999="","",IF(BS999&gt;=730.5,"Yes","No"))</f>
        <v/>
      </c>
      <c r="BV999" s="27"/>
      <c r="BW999" s="29"/>
      <c r="BX999" s="27"/>
      <c r="BY999" s="27"/>
      <c r="BZ999" s="28" t="str">
        <f aca="false">IF(N(E999)=0,"",IF(E999&lt;65,"Under 65","≥65"))</f>
        <v/>
      </c>
      <c r="CA999" s="28" t="str">
        <f aca="false">IF(OR(AC999="Yes",AC999="No"),AC999,"")</f>
        <v/>
      </c>
      <c r="CB999" s="28" t="str">
        <f aca="false">IF(OR(AD999="Yes",AD999="No"),AD999,"")</f>
        <v/>
      </c>
      <c r="CC999" s="28" t="str">
        <f aca="false">IF(F999="","",F999)</f>
        <v/>
      </c>
      <c r="CD999" s="27"/>
      <c r="CE999" s="27"/>
    </row>
    <row r="1000" customFormat="false" ht="15" hidden="false" customHeight="false" outlineLevel="0" collapsed="false">
      <c r="A1000" s="27"/>
      <c r="B1000" s="27"/>
      <c r="C1000" s="27"/>
      <c r="D1000" s="27"/>
      <c r="E1000" s="27"/>
      <c r="F1000" s="27"/>
      <c r="G1000" s="27"/>
      <c r="H1000" s="27"/>
      <c r="I1000" s="27"/>
      <c r="J1000" s="28" t="str">
        <f aca="false">IF(AND(N(H1000)&gt;0,N(I1000)&gt;0),ROUND(I1000/(H1000/100)^2,1),"")</f>
        <v/>
      </c>
      <c r="K1000" s="27"/>
      <c r="L1000" s="27"/>
      <c r="M1000" s="27"/>
      <c r="N1000" s="27"/>
      <c r="O1000" s="27"/>
      <c r="P1000" s="27"/>
      <c r="Q1000" s="27"/>
      <c r="R1000" s="29"/>
      <c r="S1000" s="29"/>
      <c r="T1000" s="27"/>
      <c r="U1000" s="28" t="str">
        <f aca="false">IF(N(T1000)=0,"",IF(T1000&lt;12,"Under 12 months",IF(T1000&lt;36,"12-35 months",IF(T1000&lt;60,"36-59 months","≥60 months"))))</f>
        <v/>
      </c>
      <c r="V1000" s="27"/>
      <c r="W1000" s="30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9"/>
      <c r="AT1000" s="30"/>
      <c r="AU1000" s="30"/>
      <c r="AV1000" s="30"/>
      <c r="AW1000" s="27"/>
      <c r="AX1000" s="27"/>
      <c r="AY1000" s="29"/>
      <c r="AZ1000" s="27"/>
      <c r="BA1000" s="27"/>
      <c r="BB1000" s="29"/>
      <c r="BC1000" s="30"/>
      <c r="BD1000" s="30"/>
      <c r="BE1000" s="30"/>
      <c r="BF1000" s="27"/>
      <c r="BG1000" s="27"/>
      <c r="BH1000" s="28" t="str">
        <f aca="false">IF(COUNT(BC1000:BE1000)=0,"",IF(MIN(BC1000:BE1000)&lt;=-2.5,"Yes","No"))</f>
        <v/>
      </c>
      <c r="BI1000" s="27"/>
      <c r="BJ1000" s="29"/>
      <c r="BK1000" s="27"/>
      <c r="BL1000" s="27"/>
      <c r="BM1000" s="27"/>
      <c r="BN1000" s="28" t="str">
        <f aca="false">IF(OR(AX1000="Yes",BI1000="Yes"),"Yes",IF(AND(AX1000="No",BI1000="No"),"No",IF(AND(AX1000="",BI1000=""),"","Unknown")))</f>
        <v/>
      </c>
      <c r="BO1000" s="31" t="str">
        <f aca="false">IF(COUNT(AY1000,BJ1000)=0,"",MIN(AY1000,BJ1000))</f>
        <v/>
      </c>
      <c r="BP1000" s="29"/>
      <c r="BQ1000" s="29"/>
      <c r="BR1000" s="29"/>
      <c r="BS1000" s="28" t="str">
        <f aca="false">IF(AND(N(BP1000)&gt;0,N(BR1000)&gt;0),BR1000-BP1000,"")</f>
        <v/>
      </c>
      <c r="BT1000" s="28" t="str">
        <f aca="false">IF(BS1000="","",ROUND(BS1000/365.25,2))</f>
        <v/>
      </c>
      <c r="BU1000" s="28" t="str">
        <f aca="false">IF(BS1000="","",IF(BS1000&gt;=730.5,"Yes","No"))</f>
        <v/>
      </c>
      <c r="BV1000" s="27"/>
      <c r="BW1000" s="29"/>
      <c r="BX1000" s="27"/>
      <c r="BY1000" s="27"/>
      <c r="BZ1000" s="28" t="str">
        <f aca="false">IF(N(E1000)=0,"",IF(E1000&lt;65,"Under 65","≥65"))</f>
        <v/>
      </c>
      <c r="CA1000" s="28" t="str">
        <f aca="false">IF(OR(AC1000="Yes",AC1000="No"),AC1000,"")</f>
        <v/>
      </c>
      <c r="CB1000" s="28" t="str">
        <f aca="false">IF(OR(AD1000="Yes",AD1000="No"),AD1000,"")</f>
        <v/>
      </c>
      <c r="CC1000" s="28" t="str">
        <f aca="false">IF(F1000="","",F1000)</f>
        <v/>
      </c>
      <c r="CD1000" s="27"/>
      <c r="CE1000" s="27"/>
    </row>
    <row r="1001" customFormat="false" ht="15" hidden="false" customHeight="false" outlineLevel="0" collapsed="false">
      <c r="A1001" s="27"/>
      <c r="B1001" s="27"/>
      <c r="C1001" s="27"/>
      <c r="D1001" s="27"/>
      <c r="E1001" s="27"/>
      <c r="F1001" s="27"/>
      <c r="G1001" s="27"/>
      <c r="H1001" s="27"/>
      <c r="I1001" s="27"/>
      <c r="J1001" s="28" t="str">
        <f aca="false">IF(AND(N(H1001)&gt;0,N(I1001)&gt;0),ROUND(I1001/(H1001/100)^2,1),"")</f>
        <v/>
      </c>
      <c r="K1001" s="27"/>
      <c r="L1001" s="27"/>
      <c r="M1001" s="27"/>
      <c r="N1001" s="27"/>
      <c r="O1001" s="27"/>
      <c r="P1001" s="27"/>
      <c r="Q1001" s="27"/>
      <c r="R1001" s="29"/>
      <c r="S1001" s="29"/>
      <c r="T1001" s="27"/>
      <c r="U1001" s="28" t="str">
        <f aca="false">IF(N(T1001)=0,"",IF(T1001&lt;12,"Under 12 months",IF(T1001&lt;36,"12-35 months",IF(T1001&lt;60,"36-59 months","≥60 months"))))</f>
        <v/>
      </c>
      <c r="V1001" s="27"/>
      <c r="W1001" s="30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27"/>
      <c r="AQ1001" s="27"/>
      <c r="AR1001" s="27"/>
      <c r="AS1001" s="29"/>
      <c r="AT1001" s="30"/>
      <c r="AU1001" s="30"/>
      <c r="AV1001" s="30"/>
      <c r="AW1001" s="27"/>
      <c r="AX1001" s="27"/>
      <c r="AY1001" s="29"/>
      <c r="AZ1001" s="27"/>
      <c r="BA1001" s="27"/>
      <c r="BB1001" s="29"/>
      <c r="BC1001" s="30"/>
      <c r="BD1001" s="30"/>
      <c r="BE1001" s="30"/>
      <c r="BF1001" s="27"/>
      <c r="BG1001" s="27"/>
      <c r="BH1001" s="28" t="str">
        <f aca="false">IF(COUNT(BC1001:BE1001)=0,"",IF(MIN(BC1001:BE1001)&lt;=-2.5,"Yes","No"))</f>
        <v/>
      </c>
      <c r="BI1001" s="27"/>
      <c r="BJ1001" s="29"/>
      <c r="BK1001" s="27"/>
      <c r="BL1001" s="27"/>
      <c r="BM1001" s="27"/>
      <c r="BN1001" s="28" t="str">
        <f aca="false">IF(OR(AX1001="Yes",BI1001="Yes"),"Yes",IF(AND(AX1001="No",BI1001="No"),"No",IF(AND(AX1001="",BI1001=""),"","Unknown")))</f>
        <v/>
      </c>
      <c r="BO1001" s="31" t="str">
        <f aca="false">IF(COUNT(AY1001,BJ1001)=0,"",MIN(AY1001,BJ1001))</f>
        <v/>
      </c>
      <c r="BP1001" s="29"/>
      <c r="BQ1001" s="29"/>
      <c r="BR1001" s="29"/>
      <c r="BS1001" s="28" t="str">
        <f aca="false">IF(AND(N(BP1001)&gt;0,N(BR1001)&gt;0),BR1001-BP1001,"")</f>
        <v/>
      </c>
      <c r="BT1001" s="28" t="str">
        <f aca="false">IF(BS1001="","",ROUND(BS1001/365.25,2))</f>
        <v/>
      </c>
      <c r="BU1001" s="28" t="str">
        <f aca="false">IF(BS1001="","",IF(BS1001&gt;=730.5,"Yes","No"))</f>
        <v/>
      </c>
      <c r="BV1001" s="27"/>
      <c r="BW1001" s="29"/>
      <c r="BX1001" s="27"/>
      <c r="BY1001" s="27"/>
      <c r="BZ1001" s="28" t="str">
        <f aca="false">IF(N(E1001)=0,"",IF(E1001&lt;65,"Under 65","≥65"))</f>
        <v/>
      </c>
      <c r="CA1001" s="28" t="str">
        <f aca="false">IF(OR(AC1001="Yes",AC1001="No"),AC1001,"")</f>
        <v/>
      </c>
      <c r="CB1001" s="28" t="str">
        <f aca="false">IF(OR(AD1001="Yes",AD1001="No"),AD1001,"")</f>
        <v/>
      </c>
      <c r="CC1001" s="28" t="str">
        <f aca="false">IF(F1001="","",F1001)</f>
        <v/>
      </c>
      <c r="CD1001" s="27"/>
      <c r="CE1001" s="27"/>
    </row>
    <row r="1002" customFormat="false" ht="15" hidden="false" customHeight="false" outlineLevel="0" collapsed="false">
      <c r="A1002" s="27"/>
      <c r="B1002" s="27"/>
      <c r="C1002" s="27"/>
      <c r="D1002" s="27"/>
      <c r="E1002" s="27"/>
      <c r="F1002" s="27"/>
      <c r="G1002" s="27"/>
      <c r="H1002" s="27"/>
      <c r="I1002" s="27"/>
      <c r="J1002" s="28" t="str">
        <f aca="false">IF(AND(N(H1002)&gt;0,N(I1002)&gt;0),ROUND(I1002/(H1002/100)^2,1),"")</f>
        <v/>
      </c>
      <c r="K1002" s="27"/>
      <c r="L1002" s="27"/>
      <c r="M1002" s="27"/>
      <c r="N1002" s="27"/>
      <c r="O1002" s="27"/>
      <c r="P1002" s="27"/>
      <c r="Q1002" s="27"/>
      <c r="R1002" s="29"/>
      <c r="S1002" s="29"/>
      <c r="T1002" s="27"/>
      <c r="U1002" s="28" t="str">
        <f aca="false">IF(N(T1002)=0,"",IF(T1002&lt;12,"Under 12 months",IF(T1002&lt;36,"12-35 months",IF(T1002&lt;60,"36-59 months","≥60 months"))))</f>
        <v/>
      </c>
      <c r="V1002" s="27"/>
      <c r="W1002" s="30"/>
      <c r="X1002" s="27"/>
      <c r="Y1002" s="27"/>
      <c r="Z1002" s="27"/>
      <c r="AA1002" s="27"/>
      <c r="AB1002" s="27"/>
      <c r="AC1002" s="27"/>
      <c r="AD1002" s="27"/>
      <c r="AE1002" s="27"/>
      <c r="AF1002" s="27"/>
      <c r="AG1002" s="27"/>
      <c r="AH1002" s="27"/>
      <c r="AI1002" s="27"/>
      <c r="AJ1002" s="27"/>
      <c r="AK1002" s="27"/>
      <c r="AL1002" s="27"/>
      <c r="AM1002" s="27"/>
      <c r="AN1002" s="27"/>
      <c r="AO1002" s="27"/>
      <c r="AP1002" s="27"/>
      <c r="AQ1002" s="27"/>
      <c r="AR1002" s="27"/>
      <c r="AS1002" s="29"/>
      <c r="AT1002" s="30"/>
      <c r="AU1002" s="30"/>
      <c r="AV1002" s="30"/>
      <c r="AW1002" s="27"/>
      <c r="AX1002" s="27"/>
      <c r="AY1002" s="29"/>
      <c r="AZ1002" s="27"/>
      <c r="BA1002" s="27"/>
      <c r="BB1002" s="29"/>
      <c r="BC1002" s="30"/>
      <c r="BD1002" s="30"/>
      <c r="BE1002" s="30"/>
      <c r="BF1002" s="27"/>
      <c r="BG1002" s="27"/>
      <c r="BH1002" s="28" t="str">
        <f aca="false">IF(COUNT(BC1002:BE1002)=0,"",IF(MIN(BC1002:BE1002)&lt;=-2.5,"Yes","No"))</f>
        <v/>
      </c>
      <c r="BI1002" s="27"/>
      <c r="BJ1002" s="29"/>
      <c r="BK1002" s="27"/>
      <c r="BL1002" s="27"/>
      <c r="BM1002" s="27"/>
      <c r="BN1002" s="28" t="str">
        <f aca="false">IF(OR(AX1002="Yes",BI1002="Yes"),"Yes",IF(AND(AX1002="No",BI1002="No"),"No",IF(AND(AX1002="",BI1002=""),"","Unknown")))</f>
        <v/>
      </c>
      <c r="BO1002" s="31" t="str">
        <f aca="false">IF(COUNT(AY1002,BJ1002)=0,"",MIN(AY1002,BJ1002))</f>
        <v/>
      </c>
      <c r="BP1002" s="29"/>
      <c r="BQ1002" s="29"/>
      <c r="BR1002" s="29"/>
      <c r="BS1002" s="28" t="str">
        <f aca="false">IF(AND(N(BP1002)&gt;0,N(BR1002)&gt;0),BR1002-BP1002,"")</f>
        <v/>
      </c>
      <c r="BT1002" s="28" t="str">
        <f aca="false">IF(BS1002="","",ROUND(BS1002/365.25,2))</f>
        <v/>
      </c>
      <c r="BU1002" s="28" t="str">
        <f aca="false">IF(BS1002="","",IF(BS1002&gt;=730.5,"Yes","No"))</f>
        <v/>
      </c>
      <c r="BV1002" s="27"/>
      <c r="BW1002" s="29"/>
      <c r="BX1002" s="27"/>
      <c r="BY1002" s="27"/>
      <c r="BZ1002" s="28" t="str">
        <f aca="false">IF(N(E1002)=0,"",IF(E1002&lt;65,"Under 65","≥65"))</f>
        <v/>
      </c>
      <c r="CA1002" s="28" t="str">
        <f aca="false">IF(OR(AC1002="Yes",AC1002="No"),AC1002,"")</f>
        <v/>
      </c>
      <c r="CB1002" s="28" t="str">
        <f aca="false">IF(OR(AD1002="Yes",AD1002="No"),AD1002,"")</f>
        <v/>
      </c>
      <c r="CC1002" s="28" t="str">
        <f aca="false">IF(F1002="","",F1002)</f>
        <v/>
      </c>
      <c r="CD1002" s="27"/>
      <c r="CE1002" s="27"/>
    </row>
    <row r="1003" customFormat="false" ht="15" hidden="false" customHeight="false" outlineLevel="0" collapsed="false">
      <c r="A1003" s="27"/>
      <c r="B1003" s="27"/>
      <c r="C1003" s="27"/>
      <c r="D1003" s="27"/>
      <c r="E1003" s="27"/>
      <c r="F1003" s="27"/>
      <c r="G1003" s="27"/>
      <c r="H1003" s="27"/>
      <c r="I1003" s="27"/>
      <c r="J1003" s="28" t="str">
        <f aca="false">IF(AND(N(H1003)&gt;0,N(I1003)&gt;0),ROUND(I1003/(H1003/100)^2,1),"")</f>
        <v/>
      </c>
      <c r="K1003" s="27"/>
      <c r="L1003" s="27"/>
      <c r="M1003" s="27"/>
      <c r="N1003" s="27"/>
      <c r="O1003" s="27"/>
      <c r="P1003" s="27"/>
      <c r="Q1003" s="27"/>
      <c r="R1003" s="29"/>
      <c r="S1003" s="29"/>
      <c r="T1003" s="27"/>
      <c r="U1003" s="28" t="str">
        <f aca="false">IF(N(T1003)=0,"",IF(T1003&lt;12,"Under 12 months",IF(T1003&lt;36,"12-35 months",IF(T1003&lt;60,"36-59 months","≥60 months"))))</f>
        <v/>
      </c>
      <c r="V1003" s="27"/>
      <c r="W1003" s="30"/>
      <c r="X1003" s="27"/>
      <c r="Y1003" s="27"/>
      <c r="Z1003" s="27"/>
      <c r="AA1003" s="27"/>
      <c r="AB1003" s="27"/>
      <c r="AC1003" s="27"/>
      <c r="AD1003" s="27"/>
      <c r="AE1003" s="27"/>
      <c r="AF1003" s="27"/>
      <c r="AG1003" s="27"/>
      <c r="AH1003" s="27"/>
      <c r="AI1003" s="27"/>
      <c r="AJ1003" s="27"/>
      <c r="AK1003" s="27"/>
      <c r="AL1003" s="27"/>
      <c r="AM1003" s="27"/>
      <c r="AN1003" s="27"/>
      <c r="AO1003" s="27"/>
      <c r="AP1003" s="27"/>
      <c r="AQ1003" s="27"/>
      <c r="AR1003" s="27"/>
      <c r="AS1003" s="29"/>
      <c r="AT1003" s="30"/>
      <c r="AU1003" s="30"/>
      <c r="AV1003" s="30"/>
      <c r="AW1003" s="27"/>
      <c r="AX1003" s="27"/>
      <c r="AY1003" s="29"/>
      <c r="AZ1003" s="27"/>
      <c r="BA1003" s="27"/>
      <c r="BB1003" s="29"/>
      <c r="BC1003" s="30"/>
      <c r="BD1003" s="30"/>
      <c r="BE1003" s="30"/>
      <c r="BF1003" s="27"/>
      <c r="BG1003" s="27"/>
      <c r="BH1003" s="28" t="str">
        <f aca="false">IF(COUNT(BC1003:BE1003)=0,"",IF(MIN(BC1003:BE1003)&lt;=-2.5,"Yes","No"))</f>
        <v/>
      </c>
      <c r="BI1003" s="27"/>
      <c r="BJ1003" s="29"/>
      <c r="BK1003" s="27"/>
      <c r="BL1003" s="27"/>
      <c r="BM1003" s="27"/>
      <c r="BN1003" s="28" t="str">
        <f aca="false">IF(OR(AX1003="Yes",BI1003="Yes"),"Yes",IF(AND(AX1003="No",BI1003="No"),"No",IF(AND(AX1003="",BI1003=""),"","Unknown")))</f>
        <v/>
      </c>
      <c r="BO1003" s="31" t="str">
        <f aca="false">IF(COUNT(AY1003,BJ1003)=0,"",MIN(AY1003,BJ1003))</f>
        <v/>
      </c>
      <c r="BP1003" s="29"/>
      <c r="BQ1003" s="29"/>
      <c r="BR1003" s="29"/>
      <c r="BS1003" s="28" t="str">
        <f aca="false">IF(AND(N(BP1003)&gt;0,N(BR1003)&gt;0),BR1003-BP1003,"")</f>
        <v/>
      </c>
      <c r="BT1003" s="28" t="str">
        <f aca="false">IF(BS1003="","",ROUND(BS1003/365.25,2))</f>
        <v/>
      </c>
      <c r="BU1003" s="28" t="str">
        <f aca="false">IF(BS1003="","",IF(BS1003&gt;=730.5,"Yes","No"))</f>
        <v/>
      </c>
      <c r="BV1003" s="27"/>
      <c r="BW1003" s="29"/>
      <c r="BX1003" s="27"/>
      <c r="BY1003" s="27"/>
      <c r="BZ1003" s="28" t="str">
        <f aca="false">IF(N(E1003)=0,"",IF(E1003&lt;65,"Under 65","≥65"))</f>
        <v/>
      </c>
      <c r="CA1003" s="28" t="str">
        <f aca="false">IF(OR(AC1003="Yes",AC1003="No"),AC1003,"")</f>
        <v/>
      </c>
      <c r="CB1003" s="28" t="str">
        <f aca="false">IF(OR(AD1003="Yes",AD1003="No"),AD1003,"")</f>
        <v/>
      </c>
      <c r="CC1003" s="28" t="str">
        <f aca="false">IF(F1003="","",F1003)</f>
        <v/>
      </c>
      <c r="CD1003" s="27"/>
      <c r="CE1003" s="27"/>
    </row>
  </sheetData>
  <autoFilter ref="A2:CE1003"/>
  <dataValidations count="48">
    <dataValidation allowBlank="true" error="Choose a value from the drop-down list." errorStyle="stop" errorTitle="Invalid entry" operator="between" showDropDown="false" showErrorMessage="true" showInputMessage="false" sqref="B3:B1003" type="list">
      <formula1>Lists!$C$2:$C$3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C3:C1003" type="list">
      <formula1>Lists!$A$2:$A$3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F3:F1003" type="list">
      <formula1>Lists!$D$2:$D$3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K3:K1003" type="list">
      <formula1>Lists!$E$2:$E$5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L3:L1003" type="list">
      <formula1>Lists!$B$2:$B$4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M3:M1003" type="list">
      <formula1>Lists!$B$2:$B$4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O3:O1003" type="list">
      <formula1>Lists!$F$2:$F$6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P3:P1003" type="list">
      <formula1>Lists!$G$2:$G$4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Q3:Q1003" type="list">
      <formula1>Lists!$H$2:$H$9</formula1>
      <formula2>0</formula2>
    </dataValidation>
    <dataValidation allowBlank="true" error="Enter a valid date (dd/mm/yyyy)." errorStyle="stop" operator="between" showDropDown="false" showErrorMessage="true" showInputMessage="false" sqref="R3:R1003" type="date">
      <formula1>DATE(1990,1,1)</formula1>
      <formula2>DATE(2035,12,31)</formula2>
    </dataValidation>
    <dataValidation allowBlank="true" error="Enter a valid date (dd/mm/yyyy)." errorStyle="stop" operator="between" showDropDown="false" showErrorMessage="true" showInputMessage="false" sqref="S3:S1003" type="date">
      <formula1>DATE(1990,1,1)</formula1>
      <formula2>DATE(2035,12,31)</formula2>
    </dataValidation>
    <dataValidation allowBlank="true" error="Choose a value from the drop-down list." errorStyle="stop" errorTitle="Invalid entry" operator="between" showDropDown="false" showErrorMessage="true" showInputMessage="false" sqref="X3:X1003" type="list">
      <formula1>Lists!$A$2:$A$3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AA3:AA1003" type="list">
      <formula1>Lists!$B$2:$B$4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AC3:AC1003" type="list">
      <formula1>Lists!$B$2:$B$4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AD3:AD1003" type="list">
      <formula1>Lists!$B$2:$B$4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AE3:AE1003" type="list">
      <formula1>Lists!$B$2:$B$4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AF3:AF1003" type="list">
      <formula1>Lists!$B$2:$B$4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AG3:AG1003" type="list">
      <formula1>Lists!$B$2:$B$4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AH3:AH1003" type="list">
      <formula1>Lists!$B$2:$B$4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AK3:AK1003" type="list">
      <formula1>Lists!$B$2:$B$4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AM3:AM1003" type="list">
      <formula1>Lists!$B$2:$B$4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AN3:AN1003" type="list">
      <formula1>Lists!$B$2:$B$4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AQ3:AQ1003" type="list">
      <formula1>Lists!$B$2:$B$4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AR3:AR1003" type="list">
      <formula1>Lists!$A$2:$A$3</formula1>
      <formula2>0</formula2>
    </dataValidation>
    <dataValidation allowBlank="true" error="Enter a valid date (dd/mm/yyyy)." errorStyle="stop" operator="between" showDropDown="false" showErrorMessage="true" showInputMessage="false" sqref="AS3:AS1003" type="date">
      <formula1>DATE(1990,1,1)</formula1>
      <formula2>DATE(2035,12,31)</formula2>
    </dataValidation>
    <dataValidation allowBlank="true" error="Choose a value from the drop-down list." errorStyle="stop" errorTitle="Invalid entry" operator="between" showDropDown="false" showErrorMessage="true" showInputMessage="false" sqref="AX3:AX1003" type="list">
      <formula1>Lists!$B$2:$B$4</formula1>
      <formula2>0</formula2>
    </dataValidation>
    <dataValidation allowBlank="true" error="Enter a valid date (dd/mm/yyyy)." errorStyle="stop" operator="between" showDropDown="false" showErrorMessage="true" showInputMessage="false" sqref="AY3:AY1003" type="date">
      <formula1>DATE(1990,1,1)</formula1>
      <formula2>DATE(2035,12,31)</formula2>
    </dataValidation>
    <dataValidation allowBlank="true" error="Choose a value from the drop-down list." errorStyle="stop" errorTitle="Invalid entry" operator="between" showDropDown="false" showErrorMessage="true" showInputMessage="false" sqref="AZ3:AZ1003" type="list">
      <formula1>Lists!$I$2:$I$5</formula1>
      <formula2>0</formula2>
    </dataValidation>
    <dataValidation allowBlank="true" error="Enter a valid date (dd/mm/yyyy)." errorStyle="stop" operator="between" showDropDown="false" showErrorMessage="true" showInputMessage="false" sqref="BB3:BB1003" type="date">
      <formula1>DATE(1990,1,1)</formula1>
      <formula2>DATE(2035,12,31)</formula2>
    </dataValidation>
    <dataValidation allowBlank="true" error="Choose a value from the drop-down list." errorStyle="stop" errorTitle="Invalid entry" operator="between" showDropDown="false" showErrorMessage="true" showInputMessage="false" sqref="BI3:BI1003" type="list">
      <formula1>Lists!$B$2:$B$4</formula1>
      <formula2>0</formula2>
    </dataValidation>
    <dataValidation allowBlank="true" error="Enter a valid date (dd/mm/yyyy)." errorStyle="stop" operator="between" showDropDown="false" showErrorMessage="true" showInputMessage="false" sqref="BJ3:BJ1003" type="date">
      <formula1>DATE(1990,1,1)</formula1>
      <formula2>DATE(2035,12,31)</formula2>
    </dataValidation>
    <dataValidation allowBlank="true" error="Choose a value from the drop-down list." errorStyle="stop" errorTitle="Invalid entry" operator="between" showDropDown="false" showErrorMessage="true" showInputMessage="false" sqref="BK3:BK1003" type="list">
      <formula1>Lists!$J$2:$J$5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BL3:BL1003" type="list">
      <formula1>Lists!$K$2:$K$4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BM3:BM1003" type="list">
      <formula1>Lists!$L$2:$L$5</formula1>
      <formula2>0</formula2>
    </dataValidation>
    <dataValidation allowBlank="true" error="Enter a valid date (dd/mm/yyyy)." errorStyle="stop" operator="between" showDropDown="false" showErrorMessage="true" showInputMessage="false" sqref="BP3:BP1003" type="date">
      <formula1>DATE(1990,1,1)</formula1>
      <formula2>DATE(2035,12,31)</formula2>
    </dataValidation>
    <dataValidation allowBlank="true" error="Enter a valid date (dd/mm/yyyy)." errorStyle="stop" operator="between" showDropDown="false" showErrorMessage="true" showInputMessage="false" sqref="BQ3:BQ1003" type="date">
      <formula1>DATE(1990,1,1)</formula1>
      <formula2>DATE(2035,12,31)</formula2>
    </dataValidation>
    <dataValidation allowBlank="true" error="Enter a valid date (dd/mm/yyyy)." errorStyle="stop" operator="between" showDropDown="false" showErrorMessage="true" showInputMessage="false" sqref="BR3:BR1003" type="date">
      <formula1>DATE(1990,1,1)</formula1>
      <formula2>DATE(2035,12,31)</formula2>
    </dataValidation>
    <dataValidation allowBlank="true" error="Choose a value from the drop-down list." errorStyle="stop" errorTitle="Invalid entry" operator="between" showDropDown="false" showErrorMessage="true" showInputMessage="false" sqref="BV3:BV1003" type="list">
      <formula1>Lists!$B$2:$B$4</formula1>
      <formula2>0</formula2>
    </dataValidation>
    <dataValidation allowBlank="true" error="Enter a valid date (dd/mm/yyyy)." errorStyle="stop" operator="between" showDropDown="false" showErrorMessage="true" showInputMessage="false" sqref="BW3:BW1003" type="date">
      <formula1>DATE(1990,1,1)</formula1>
      <formula2>DATE(2035,12,31)</formula2>
    </dataValidation>
    <dataValidation allowBlank="true" error="Choose a value from the drop-down list." errorStyle="stop" errorTitle="Invalid entry" operator="between" showDropDown="false" showErrorMessage="true" showInputMessage="false" sqref="BX3:BX1003" type="list">
      <formula1>Lists!$B$2:$B$4</formula1>
      <formula2>0</formula2>
    </dataValidation>
    <dataValidation allowBlank="true" error="Choose a value from the drop-down list." errorStyle="stop" errorTitle="Invalid entry" operator="between" showDropDown="false" showErrorMessage="true" showInputMessage="false" sqref="BY3:BY1003" type="list">
      <formula1>Lists!$M$2:$M$6</formula1>
      <formula2>0</formula2>
    </dataValidation>
    <dataValidation allowBlank="true" error="Age must be 18-120 (protocol: adults &gt;=18)." errorStyle="stop" operator="between" showDropDown="false" showErrorMessage="true" showInputMessage="false" sqref="E3:E1003" type="decimal">
      <formula1>18</formula1>
      <formula2>120</formula2>
    </dataValidation>
    <dataValidation allowBlank="true" error="T-score should be between -7 and +5." errorStyle="stop" operator="between" showDropDown="false" showErrorMessage="true" showInputMessage="false" sqref="AT3:AT1003" type="decimal">
      <formula1>-7</formula1>
      <formula2>5</formula2>
    </dataValidation>
    <dataValidation allowBlank="true" error="T-score should be between -7 and +5." errorStyle="stop" operator="between" showDropDown="false" showErrorMessage="true" showInputMessage="false" sqref="AU3:AU1003" type="decimal">
      <formula1>-7</formula1>
      <formula2>5</formula2>
    </dataValidation>
    <dataValidation allowBlank="true" error="T-score should be between -7 and +5." errorStyle="stop" operator="between" showDropDown="false" showErrorMessage="true" showInputMessage="false" sqref="AV3:AV1003" type="decimal">
      <formula1>-7</formula1>
      <formula2>5</formula2>
    </dataValidation>
    <dataValidation allowBlank="true" error="T-score should be between -7 and +5." errorStyle="stop" operator="between" showDropDown="false" showErrorMessage="true" showInputMessage="false" sqref="BC3:BC1003" type="decimal">
      <formula1>-7</formula1>
      <formula2>5</formula2>
    </dataValidation>
    <dataValidation allowBlank="true" error="T-score should be between -7 and +5." errorStyle="stop" operator="between" showDropDown="false" showErrorMessage="true" showInputMessage="false" sqref="BD3:BD1003" type="decimal">
      <formula1>-7</formula1>
      <formula2>5</formula2>
    </dataValidation>
    <dataValidation allowBlank="true" error="T-score should be between -7 and +5." errorStyle="stop" operator="between" showDropDown="false" showErrorMessage="true" showInputMessage="false" sqref="BE3:BE1003" type="decimal">
      <formula1>-7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8"/>
    <col collapsed="false" customWidth="true" hidden="false" outlineLevel="0" max="9" min="9" style="0" width="40"/>
    <col collapsed="false" customWidth="true" hidden="false" outlineLevel="0" max="10" min="10" style="0" width="18"/>
  </cols>
  <sheetData>
    <row r="1" customFormat="false" ht="26.85" hidden="false" customHeight="false" outlineLevel="0" collapsed="false">
      <c r="A1" s="17" t="s">
        <v>149</v>
      </c>
      <c r="B1" s="17" t="s">
        <v>48</v>
      </c>
      <c r="C1" s="17" t="s">
        <v>150</v>
      </c>
      <c r="D1" s="17" t="s">
        <v>151</v>
      </c>
      <c r="E1" s="17" t="s">
        <v>152</v>
      </c>
      <c r="F1" s="17" t="s">
        <v>153</v>
      </c>
      <c r="G1" s="17" t="s">
        <v>154</v>
      </c>
      <c r="H1" s="18" t="s">
        <v>49</v>
      </c>
      <c r="I1" s="17" t="s">
        <v>50</v>
      </c>
      <c r="J1" s="17" t="s">
        <v>155</v>
      </c>
    </row>
    <row r="2" customFormat="false" ht="15" hidden="false" customHeight="false" outlineLevel="0" collapsed="false">
      <c r="A2" s="24" t="s">
        <v>156</v>
      </c>
      <c r="B2" s="24" t="s">
        <v>131</v>
      </c>
      <c r="C2" s="24" t="s">
        <v>132</v>
      </c>
      <c r="D2" s="24" t="s">
        <v>132</v>
      </c>
      <c r="E2" s="24" t="s">
        <v>132</v>
      </c>
      <c r="F2" s="24" t="s">
        <v>132</v>
      </c>
      <c r="G2" s="24" t="s">
        <v>136</v>
      </c>
      <c r="H2" s="24" t="str">
        <f aca="false">IF(COUNTA(C2:G2)=0,"",IF(AND(C2="Yes",D2="Yes",E2="Yes",F2="Yes",G2="No"),"Yes","No"))</f>
        <v>Yes</v>
      </c>
      <c r="I2" s="24"/>
      <c r="J2" s="24" t="s">
        <v>130</v>
      </c>
    </row>
    <row r="3" customFormat="false" ht="15" hidden="false" customHeight="false" outlineLevel="0" collapsed="false">
      <c r="A3" s="32"/>
      <c r="B3" s="32"/>
      <c r="C3" s="32"/>
      <c r="D3" s="32"/>
      <c r="E3" s="32"/>
      <c r="F3" s="32"/>
      <c r="G3" s="32"/>
      <c r="H3" s="28" t="str">
        <f aca="false">IF(COUNTA(C3:G3)=0,"",IF(AND(C3="Yes",D3="Yes",E3="Yes",F3="Yes",G3="No"),"Yes","No"))</f>
        <v/>
      </c>
      <c r="I3" s="32"/>
      <c r="J3" s="32"/>
    </row>
    <row r="4" customFormat="false" ht="15" hidden="false" customHeight="false" outlineLevel="0" collapsed="false">
      <c r="A4" s="32"/>
      <c r="B4" s="32"/>
      <c r="C4" s="32"/>
      <c r="D4" s="32"/>
      <c r="E4" s="32"/>
      <c r="F4" s="32"/>
      <c r="G4" s="32"/>
      <c r="H4" s="28" t="str">
        <f aca="false">IF(COUNTA(C4:G4)=0,"",IF(AND(C4="Yes",D4="Yes",E4="Yes",F4="Yes",G4="No"),"Yes","No"))</f>
        <v/>
      </c>
      <c r="I4" s="32"/>
      <c r="J4" s="32"/>
    </row>
    <row r="5" customFormat="false" ht="15" hidden="false" customHeight="false" outlineLevel="0" collapsed="false">
      <c r="A5" s="32"/>
      <c r="B5" s="32"/>
      <c r="C5" s="32"/>
      <c r="D5" s="32"/>
      <c r="E5" s="32"/>
      <c r="F5" s="32"/>
      <c r="G5" s="32"/>
      <c r="H5" s="28" t="str">
        <f aca="false">IF(COUNTA(C5:G5)=0,"",IF(AND(C5="Yes",D5="Yes",E5="Yes",F5="Yes",G5="No"),"Yes","No"))</f>
        <v/>
      </c>
      <c r="I5" s="32"/>
      <c r="J5" s="32"/>
    </row>
    <row r="6" customFormat="false" ht="15" hidden="false" customHeight="false" outlineLevel="0" collapsed="false">
      <c r="A6" s="32"/>
      <c r="B6" s="32"/>
      <c r="C6" s="32"/>
      <c r="D6" s="32"/>
      <c r="E6" s="32"/>
      <c r="F6" s="32"/>
      <c r="G6" s="32"/>
      <c r="H6" s="28" t="str">
        <f aca="false">IF(COUNTA(C6:G6)=0,"",IF(AND(C6="Yes",D6="Yes",E6="Yes",F6="Yes",G6="No"),"Yes","No"))</f>
        <v/>
      </c>
      <c r="I6" s="32"/>
      <c r="J6" s="32"/>
    </row>
    <row r="7" customFormat="false" ht="15" hidden="false" customHeight="false" outlineLevel="0" collapsed="false">
      <c r="A7" s="32"/>
      <c r="B7" s="32"/>
      <c r="C7" s="32"/>
      <c r="D7" s="32"/>
      <c r="E7" s="32"/>
      <c r="F7" s="32"/>
      <c r="G7" s="32"/>
      <c r="H7" s="28" t="str">
        <f aca="false">IF(COUNTA(C7:G7)=0,"",IF(AND(C7="Yes",D7="Yes",E7="Yes",F7="Yes",G7="No"),"Yes","No"))</f>
        <v/>
      </c>
      <c r="I7" s="32"/>
      <c r="J7" s="32"/>
    </row>
    <row r="8" customFormat="false" ht="15" hidden="false" customHeight="false" outlineLevel="0" collapsed="false">
      <c r="A8" s="32"/>
      <c r="B8" s="32"/>
      <c r="C8" s="32"/>
      <c r="D8" s="32"/>
      <c r="E8" s="32"/>
      <c r="F8" s="32"/>
      <c r="G8" s="32"/>
      <c r="H8" s="28" t="str">
        <f aca="false">IF(COUNTA(C8:G8)=0,"",IF(AND(C8="Yes",D8="Yes",E8="Yes",F8="Yes",G8="No"),"Yes","No"))</f>
        <v/>
      </c>
      <c r="I8" s="32"/>
      <c r="J8" s="32"/>
    </row>
    <row r="9" customFormat="false" ht="15" hidden="false" customHeight="false" outlineLevel="0" collapsed="false">
      <c r="A9" s="32"/>
      <c r="B9" s="32"/>
      <c r="C9" s="32"/>
      <c r="D9" s="32"/>
      <c r="E9" s="32"/>
      <c r="F9" s="32"/>
      <c r="G9" s="32"/>
      <c r="H9" s="28" t="str">
        <f aca="false">IF(COUNTA(C9:G9)=0,"",IF(AND(C9="Yes",D9="Yes",E9="Yes",F9="Yes",G9="No"),"Yes","No"))</f>
        <v/>
      </c>
      <c r="I9" s="32"/>
      <c r="J9" s="32"/>
    </row>
    <row r="10" customFormat="false" ht="15" hidden="false" customHeight="false" outlineLevel="0" collapsed="false">
      <c r="A10" s="32"/>
      <c r="B10" s="32"/>
      <c r="C10" s="32"/>
      <c r="D10" s="32"/>
      <c r="E10" s="32"/>
      <c r="F10" s="32"/>
      <c r="G10" s="32"/>
      <c r="H10" s="28" t="str">
        <f aca="false">IF(COUNTA(C10:G10)=0,"",IF(AND(C10="Yes",D10="Yes",E10="Yes",F10="Yes",G10="No"),"Yes","No"))</f>
        <v/>
      </c>
      <c r="I10" s="32"/>
      <c r="J10" s="32"/>
    </row>
    <row r="11" customFormat="false" ht="15" hidden="false" customHeight="false" outlineLevel="0" collapsed="false">
      <c r="A11" s="32"/>
      <c r="B11" s="32"/>
      <c r="C11" s="32"/>
      <c r="D11" s="32"/>
      <c r="E11" s="32"/>
      <c r="F11" s="32"/>
      <c r="G11" s="32"/>
      <c r="H11" s="28" t="str">
        <f aca="false">IF(COUNTA(C11:G11)=0,"",IF(AND(C11="Yes",D11="Yes",E11="Yes",F11="Yes",G11="No"),"Yes","No"))</f>
        <v/>
      </c>
      <c r="I11" s="32"/>
      <c r="J11" s="32"/>
    </row>
    <row r="12" customFormat="false" ht="15" hidden="false" customHeight="false" outlineLevel="0" collapsed="false">
      <c r="A12" s="32"/>
      <c r="B12" s="32"/>
      <c r="C12" s="32"/>
      <c r="D12" s="32"/>
      <c r="E12" s="32"/>
      <c r="F12" s="32"/>
      <c r="G12" s="32"/>
      <c r="H12" s="28" t="str">
        <f aca="false">IF(COUNTA(C12:G12)=0,"",IF(AND(C12="Yes",D12="Yes",E12="Yes",F12="Yes",G12="No"),"Yes","No"))</f>
        <v/>
      </c>
      <c r="I12" s="32"/>
      <c r="J12" s="32"/>
    </row>
    <row r="13" customFormat="false" ht="15" hidden="false" customHeight="false" outlineLevel="0" collapsed="false">
      <c r="A13" s="32"/>
      <c r="B13" s="32"/>
      <c r="C13" s="32"/>
      <c r="D13" s="32"/>
      <c r="E13" s="32"/>
      <c r="F13" s="32"/>
      <c r="G13" s="32"/>
      <c r="H13" s="28" t="str">
        <f aca="false">IF(COUNTA(C13:G13)=0,"",IF(AND(C13="Yes",D13="Yes",E13="Yes",F13="Yes",G13="No"),"Yes","No"))</f>
        <v/>
      </c>
      <c r="I13" s="32"/>
      <c r="J13" s="32"/>
    </row>
    <row r="14" customFormat="false" ht="15" hidden="false" customHeight="false" outlineLevel="0" collapsed="false">
      <c r="A14" s="32"/>
      <c r="B14" s="32"/>
      <c r="C14" s="32"/>
      <c r="D14" s="32"/>
      <c r="E14" s="32"/>
      <c r="F14" s="32"/>
      <c r="G14" s="32"/>
      <c r="H14" s="28" t="str">
        <f aca="false">IF(COUNTA(C14:G14)=0,"",IF(AND(C14="Yes",D14="Yes",E14="Yes",F14="Yes",G14="No"),"Yes","No"))</f>
        <v/>
      </c>
      <c r="I14" s="32"/>
      <c r="J14" s="32"/>
    </row>
    <row r="15" customFormat="false" ht="15" hidden="false" customHeight="false" outlineLevel="0" collapsed="false">
      <c r="A15" s="32"/>
      <c r="B15" s="32"/>
      <c r="C15" s="32"/>
      <c r="D15" s="32"/>
      <c r="E15" s="32"/>
      <c r="F15" s="32"/>
      <c r="G15" s="32"/>
      <c r="H15" s="28" t="str">
        <f aca="false">IF(COUNTA(C15:G15)=0,"",IF(AND(C15="Yes",D15="Yes",E15="Yes",F15="Yes",G15="No"),"Yes","No"))</f>
        <v/>
      </c>
      <c r="I15" s="32"/>
      <c r="J15" s="32"/>
    </row>
    <row r="16" customFormat="false" ht="15" hidden="false" customHeight="false" outlineLevel="0" collapsed="false">
      <c r="A16" s="32"/>
      <c r="B16" s="32"/>
      <c r="C16" s="32"/>
      <c r="D16" s="32"/>
      <c r="E16" s="32"/>
      <c r="F16" s="32"/>
      <c r="G16" s="32"/>
      <c r="H16" s="28" t="str">
        <f aca="false">IF(COUNTA(C16:G16)=0,"",IF(AND(C16="Yes",D16="Yes",E16="Yes",F16="Yes",G16="No"),"Yes","No"))</f>
        <v/>
      </c>
      <c r="I16" s="32"/>
      <c r="J16" s="32"/>
    </row>
    <row r="17" customFormat="false" ht="15" hidden="false" customHeight="false" outlineLevel="0" collapsed="false">
      <c r="A17" s="32"/>
      <c r="B17" s="32"/>
      <c r="C17" s="32"/>
      <c r="D17" s="32"/>
      <c r="E17" s="32"/>
      <c r="F17" s="32"/>
      <c r="G17" s="32"/>
      <c r="H17" s="28" t="str">
        <f aca="false">IF(COUNTA(C17:G17)=0,"",IF(AND(C17="Yes",D17="Yes",E17="Yes",F17="Yes",G17="No"),"Yes","No"))</f>
        <v/>
      </c>
      <c r="I17" s="32"/>
      <c r="J17" s="32"/>
    </row>
    <row r="18" customFormat="false" ht="15" hidden="false" customHeight="false" outlineLevel="0" collapsed="false">
      <c r="A18" s="32"/>
      <c r="B18" s="32"/>
      <c r="C18" s="32"/>
      <c r="D18" s="32"/>
      <c r="E18" s="32"/>
      <c r="F18" s="32"/>
      <c r="G18" s="32"/>
      <c r="H18" s="28" t="str">
        <f aca="false">IF(COUNTA(C18:G18)=0,"",IF(AND(C18="Yes",D18="Yes",E18="Yes",F18="Yes",G18="No"),"Yes","No"))</f>
        <v/>
      </c>
      <c r="I18" s="32"/>
      <c r="J18" s="32"/>
    </row>
    <row r="19" customFormat="false" ht="15" hidden="false" customHeight="false" outlineLevel="0" collapsed="false">
      <c r="A19" s="32"/>
      <c r="B19" s="32"/>
      <c r="C19" s="32"/>
      <c r="D19" s="32"/>
      <c r="E19" s="32"/>
      <c r="F19" s="32"/>
      <c r="G19" s="32"/>
      <c r="H19" s="28" t="str">
        <f aca="false">IF(COUNTA(C19:G19)=0,"",IF(AND(C19="Yes",D19="Yes",E19="Yes",F19="Yes",G19="No"),"Yes","No"))</f>
        <v/>
      </c>
      <c r="I19" s="32"/>
      <c r="J19" s="32"/>
    </row>
    <row r="20" customFormat="false" ht="15" hidden="false" customHeight="false" outlineLevel="0" collapsed="false">
      <c r="A20" s="32"/>
      <c r="B20" s="32"/>
      <c r="C20" s="32"/>
      <c r="D20" s="32"/>
      <c r="E20" s="32"/>
      <c r="F20" s="32"/>
      <c r="G20" s="32"/>
      <c r="H20" s="28" t="str">
        <f aca="false">IF(COUNTA(C20:G20)=0,"",IF(AND(C20="Yes",D20="Yes",E20="Yes",F20="Yes",G20="No"),"Yes","No"))</f>
        <v/>
      </c>
      <c r="I20" s="32"/>
      <c r="J20" s="32"/>
    </row>
    <row r="21" customFormat="false" ht="15" hidden="false" customHeight="false" outlineLevel="0" collapsed="false">
      <c r="A21" s="32"/>
      <c r="B21" s="32"/>
      <c r="C21" s="32"/>
      <c r="D21" s="32"/>
      <c r="E21" s="32"/>
      <c r="F21" s="32"/>
      <c r="G21" s="32"/>
      <c r="H21" s="28" t="str">
        <f aca="false">IF(COUNTA(C21:G21)=0,"",IF(AND(C21="Yes",D21="Yes",E21="Yes",F21="Yes",G21="No"),"Yes","No"))</f>
        <v/>
      </c>
      <c r="I21" s="32"/>
      <c r="J21" s="32"/>
    </row>
    <row r="22" customFormat="false" ht="15" hidden="false" customHeight="false" outlineLevel="0" collapsed="false">
      <c r="A22" s="32"/>
      <c r="B22" s="32"/>
      <c r="C22" s="32"/>
      <c r="D22" s="32"/>
      <c r="E22" s="32"/>
      <c r="F22" s="32"/>
      <c r="G22" s="32"/>
      <c r="H22" s="28" t="str">
        <f aca="false">IF(COUNTA(C22:G22)=0,"",IF(AND(C22="Yes",D22="Yes",E22="Yes",F22="Yes",G22="No"),"Yes","No"))</f>
        <v/>
      </c>
      <c r="I22" s="32"/>
      <c r="J22" s="32"/>
    </row>
    <row r="23" customFormat="false" ht="15" hidden="false" customHeight="false" outlineLevel="0" collapsed="false">
      <c r="A23" s="32"/>
      <c r="B23" s="32"/>
      <c r="C23" s="32"/>
      <c r="D23" s="32"/>
      <c r="E23" s="32"/>
      <c r="F23" s="32"/>
      <c r="G23" s="32"/>
      <c r="H23" s="28" t="str">
        <f aca="false">IF(COUNTA(C23:G23)=0,"",IF(AND(C23="Yes",D23="Yes",E23="Yes",F23="Yes",G23="No"),"Yes","No"))</f>
        <v/>
      </c>
      <c r="I23" s="32"/>
      <c r="J23" s="32"/>
    </row>
    <row r="24" customFormat="false" ht="15" hidden="false" customHeight="false" outlineLevel="0" collapsed="false">
      <c r="A24" s="32"/>
      <c r="B24" s="32"/>
      <c r="C24" s="32"/>
      <c r="D24" s="32"/>
      <c r="E24" s="32"/>
      <c r="F24" s="32"/>
      <c r="G24" s="32"/>
      <c r="H24" s="28" t="str">
        <f aca="false">IF(COUNTA(C24:G24)=0,"",IF(AND(C24="Yes",D24="Yes",E24="Yes",F24="Yes",G24="No"),"Yes","No"))</f>
        <v/>
      </c>
      <c r="I24" s="32"/>
      <c r="J24" s="32"/>
    </row>
    <row r="25" customFormat="false" ht="15" hidden="false" customHeight="false" outlineLevel="0" collapsed="false">
      <c r="A25" s="32"/>
      <c r="B25" s="32"/>
      <c r="C25" s="32"/>
      <c r="D25" s="32"/>
      <c r="E25" s="32"/>
      <c r="F25" s="32"/>
      <c r="G25" s="32"/>
      <c r="H25" s="28" t="str">
        <f aca="false">IF(COUNTA(C25:G25)=0,"",IF(AND(C25="Yes",D25="Yes",E25="Yes",F25="Yes",G25="No"),"Yes","No"))</f>
        <v/>
      </c>
      <c r="I25" s="32"/>
      <c r="J25" s="32"/>
    </row>
    <row r="26" customFormat="false" ht="15" hidden="false" customHeight="false" outlineLevel="0" collapsed="false">
      <c r="A26" s="32"/>
      <c r="B26" s="32"/>
      <c r="C26" s="32"/>
      <c r="D26" s="32"/>
      <c r="E26" s="32"/>
      <c r="F26" s="32"/>
      <c r="G26" s="32"/>
      <c r="H26" s="28" t="str">
        <f aca="false">IF(COUNTA(C26:G26)=0,"",IF(AND(C26="Yes",D26="Yes",E26="Yes",F26="Yes",G26="No"),"Yes","No"))</f>
        <v/>
      </c>
      <c r="I26" s="32"/>
      <c r="J26" s="32"/>
    </row>
    <row r="27" customFormat="false" ht="15" hidden="false" customHeight="false" outlineLevel="0" collapsed="false">
      <c r="A27" s="32"/>
      <c r="B27" s="32"/>
      <c r="C27" s="32"/>
      <c r="D27" s="32"/>
      <c r="E27" s="32"/>
      <c r="F27" s="32"/>
      <c r="G27" s="32"/>
      <c r="H27" s="28" t="str">
        <f aca="false">IF(COUNTA(C27:G27)=0,"",IF(AND(C27="Yes",D27="Yes",E27="Yes",F27="Yes",G27="No"),"Yes","No"))</f>
        <v/>
      </c>
      <c r="I27" s="32"/>
      <c r="J27" s="32"/>
    </row>
    <row r="28" customFormat="false" ht="15" hidden="false" customHeight="false" outlineLevel="0" collapsed="false">
      <c r="A28" s="32"/>
      <c r="B28" s="32"/>
      <c r="C28" s="32"/>
      <c r="D28" s="32"/>
      <c r="E28" s="32"/>
      <c r="F28" s="32"/>
      <c r="G28" s="32"/>
      <c r="H28" s="28" t="str">
        <f aca="false">IF(COUNTA(C28:G28)=0,"",IF(AND(C28="Yes",D28="Yes",E28="Yes",F28="Yes",G28="No"),"Yes","No"))</f>
        <v/>
      </c>
      <c r="I28" s="32"/>
      <c r="J28" s="32"/>
    </row>
    <row r="29" customFormat="false" ht="15" hidden="false" customHeight="false" outlineLevel="0" collapsed="false">
      <c r="A29" s="32"/>
      <c r="B29" s="32"/>
      <c r="C29" s="32"/>
      <c r="D29" s="32"/>
      <c r="E29" s="32"/>
      <c r="F29" s="32"/>
      <c r="G29" s="32"/>
      <c r="H29" s="28" t="str">
        <f aca="false">IF(COUNTA(C29:G29)=0,"",IF(AND(C29="Yes",D29="Yes",E29="Yes",F29="Yes",G29="No"),"Yes","No"))</f>
        <v/>
      </c>
      <c r="I29" s="32"/>
      <c r="J29" s="32"/>
    </row>
    <row r="30" customFormat="false" ht="15" hidden="false" customHeight="false" outlineLevel="0" collapsed="false">
      <c r="A30" s="32"/>
      <c r="B30" s="32"/>
      <c r="C30" s="32"/>
      <c r="D30" s="32"/>
      <c r="E30" s="32"/>
      <c r="F30" s="32"/>
      <c r="G30" s="32"/>
      <c r="H30" s="28" t="str">
        <f aca="false">IF(COUNTA(C30:G30)=0,"",IF(AND(C30="Yes",D30="Yes",E30="Yes",F30="Yes",G30="No"),"Yes","No"))</f>
        <v/>
      </c>
      <c r="I30" s="32"/>
      <c r="J30" s="32"/>
    </row>
    <row r="31" customFormat="false" ht="15" hidden="false" customHeight="false" outlineLevel="0" collapsed="false">
      <c r="A31" s="32"/>
      <c r="B31" s="32"/>
      <c r="C31" s="32"/>
      <c r="D31" s="32"/>
      <c r="E31" s="32"/>
      <c r="F31" s="32"/>
      <c r="G31" s="32"/>
      <c r="H31" s="28" t="str">
        <f aca="false">IF(COUNTA(C31:G31)=0,"",IF(AND(C31="Yes",D31="Yes",E31="Yes",F31="Yes",G31="No"),"Yes","No"))</f>
        <v/>
      </c>
      <c r="I31" s="32"/>
      <c r="J31" s="32"/>
    </row>
    <row r="32" customFormat="false" ht="15" hidden="false" customHeight="false" outlineLevel="0" collapsed="false">
      <c r="A32" s="32"/>
      <c r="B32" s="32"/>
      <c r="C32" s="32"/>
      <c r="D32" s="32"/>
      <c r="E32" s="32"/>
      <c r="F32" s="32"/>
      <c r="G32" s="32"/>
      <c r="H32" s="28" t="str">
        <f aca="false">IF(COUNTA(C32:G32)=0,"",IF(AND(C32="Yes",D32="Yes",E32="Yes",F32="Yes",G32="No"),"Yes","No"))</f>
        <v/>
      </c>
      <c r="I32" s="32"/>
      <c r="J32" s="32"/>
    </row>
    <row r="33" customFormat="false" ht="15" hidden="false" customHeight="false" outlineLevel="0" collapsed="false">
      <c r="A33" s="32"/>
      <c r="B33" s="32"/>
      <c r="C33" s="32"/>
      <c r="D33" s="32"/>
      <c r="E33" s="32"/>
      <c r="F33" s="32"/>
      <c r="G33" s="32"/>
      <c r="H33" s="28" t="str">
        <f aca="false">IF(COUNTA(C33:G33)=0,"",IF(AND(C33="Yes",D33="Yes",E33="Yes",F33="Yes",G33="No"),"Yes","No"))</f>
        <v/>
      </c>
      <c r="I33" s="32"/>
      <c r="J33" s="32"/>
    </row>
    <row r="34" customFormat="false" ht="15" hidden="false" customHeight="false" outlineLevel="0" collapsed="false">
      <c r="A34" s="32"/>
      <c r="B34" s="32"/>
      <c r="C34" s="32"/>
      <c r="D34" s="32"/>
      <c r="E34" s="32"/>
      <c r="F34" s="32"/>
      <c r="G34" s="32"/>
      <c r="H34" s="28" t="str">
        <f aca="false">IF(COUNTA(C34:G34)=0,"",IF(AND(C34="Yes",D34="Yes",E34="Yes",F34="Yes",G34="No"),"Yes","No"))</f>
        <v/>
      </c>
      <c r="I34" s="32"/>
      <c r="J34" s="32"/>
    </row>
    <row r="35" customFormat="false" ht="15" hidden="false" customHeight="false" outlineLevel="0" collapsed="false">
      <c r="A35" s="32"/>
      <c r="B35" s="32"/>
      <c r="C35" s="32"/>
      <c r="D35" s="32"/>
      <c r="E35" s="32"/>
      <c r="F35" s="32"/>
      <c r="G35" s="32"/>
      <c r="H35" s="28" t="str">
        <f aca="false">IF(COUNTA(C35:G35)=0,"",IF(AND(C35="Yes",D35="Yes",E35="Yes",F35="Yes",G35="No"),"Yes","No"))</f>
        <v/>
      </c>
      <c r="I35" s="32"/>
      <c r="J35" s="32"/>
    </row>
    <row r="36" customFormat="false" ht="15" hidden="false" customHeight="false" outlineLevel="0" collapsed="false">
      <c r="A36" s="32"/>
      <c r="B36" s="32"/>
      <c r="C36" s="32"/>
      <c r="D36" s="32"/>
      <c r="E36" s="32"/>
      <c r="F36" s="32"/>
      <c r="G36" s="32"/>
      <c r="H36" s="28" t="str">
        <f aca="false">IF(COUNTA(C36:G36)=0,"",IF(AND(C36="Yes",D36="Yes",E36="Yes",F36="Yes",G36="No"),"Yes","No"))</f>
        <v/>
      </c>
      <c r="I36" s="32"/>
      <c r="J36" s="32"/>
    </row>
    <row r="37" customFormat="false" ht="15" hidden="false" customHeight="false" outlineLevel="0" collapsed="false">
      <c r="A37" s="32"/>
      <c r="B37" s="32"/>
      <c r="C37" s="32"/>
      <c r="D37" s="32"/>
      <c r="E37" s="32"/>
      <c r="F37" s="32"/>
      <c r="G37" s="32"/>
      <c r="H37" s="28" t="str">
        <f aca="false">IF(COUNTA(C37:G37)=0,"",IF(AND(C37="Yes",D37="Yes",E37="Yes",F37="Yes",G37="No"),"Yes","No"))</f>
        <v/>
      </c>
      <c r="I37" s="32"/>
      <c r="J37" s="32"/>
    </row>
    <row r="38" customFormat="false" ht="15" hidden="false" customHeight="false" outlineLevel="0" collapsed="false">
      <c r="A38" s="32"/>
      <c r="B38" s="32"/>
      <c r="C38" s="32"/>
      <c r="D38" s="32"/>
      <c r="E38" s="32"/>
      <c r="F38" s="32"/>
      <c r="G38" s="32"/>
      <c r="H38" s="28" t="str">
        <f aca="false">IF(COUNTA(C38:G38)=0,"",IF(AND(C38="Yes",D38="Yes",E38="Yes",F38="Yes",G38="No"),"Yes","No"))</f>
        <v/>
      </c>
      <c r="I38" s="32"/>
      <c r="J38" s="32"/>
    </row>
    <row r="39" customFormat="false" ht="15" hidden="false" customHeight="false" outlineLevel="0" collapsed="false">
      <c r="A39" s="32"/>
      <c r="B39" s="32"/>
      <c r="C39" s="32"/>
      <c r="D39" s="32"/>
      <c r="E39" s="32"/>
      <c r="F39" s="32"/>
      <c r="G39" s="32"/>
      <c r="H39" s="28" t="str">
        <f aca="false">IF(COUNTA(C39:G39)=0,"",IF(AND(C39="Yes",D39="Yes",E39="Yes",F39="Yes",G39="No"),"Yes","No"))</f>
        <v/>
      </c>
      <c r="I39" s="32"/>
      <c r="J39" s="32"/>
    </row>
    <row r="40" customFormat="false" ht="15" hidden="false" customHeight="false" outlineLevel="0" collapsed="false">
      <c r="A40" s="32"/>
      <c r="B40" s="32"/>
      <c r="C40" s="32"/>
      <c r="D40" s="32"/>
      <c r="E40" s="32"/>
      <c r="F40" s="32"/>
      <c r="G40" s="32"/>
      <c r="H40" s="28" t="str">
        <f aca="false">IF(COUNTA(C40:G40)=0,"",IF(AND(C40="Yes",D40="Yes",E40="Yes",F40="Yes",G40="No"),"Yes","No"))</f>
        <v/>
      </c>
      <c r="I40" s="32"/>
      <c r="J40" s="32"/>
    </row>
    <row r="41" customFormat="false" ht="15" hidden="false" customHeight="false" outlineLevel="0" collapsed="false">
      <c r="A41" s="32"/>
      <c r="B41" s="32"/>
      <c r="C41" s="32"/>
      <c r="D41" s="32"/>
      <c r="E41" s="32"/>
      <c r="F41" s="32"/>
      <c r="G41" s="32"/>
      <c r="H41" s="28" t="str">
        <f aca="false">IF(COUNTA(C41:G41)=0,"",IF(AND(C41="Yes",D41="Yes",E41="Yes",F41="Yes",G41="No"),"Yes","No"))</f>
        <v/>
      </c>
      <c r="I41" s="32"/>
      <c r="J41" s="32"/>
    </row>
    <row r="42" customFormat="false" ht="15" hidden="false" customHeight="false" outlineLevel="0" collapsed="false">
      <c r="A42" s="32"/>
      <c r="B42" s="32"/>
      <c r="C42" s="32"/>
      <c r="D42" s="32"/>
      <c r="E42" s="32"/>
      <c r="F42" s="32"/>
      <c r="G42" s="32"/>
      <c r="H42" s="28" t="str">
        <f aca="false">IF(COUNTA(C42:G42)=0,"",IF(AND(C42="Yes",D42="Yes",E42="Yes",F42="Yes",G42="No"),"Yes","No"))</f>
        <v/>
      </c>
      <c r="I42" s="32"/>
      <c r="J42" s="32"/>
    </row>
    <row r="43" customFormat="false" ht="15" hidden="false" customHeight="false" outlineLevel="0" collapsed="false">
      <c r="A43" s="32"/>
      <c r="B43" s="32"/>
      <c r="C43" s="32"/>
      <c r="D43" s="32"/>
      <c r="E43" s="32"/>
      <c r="F43" s="32"/>
      <c r="G43" s="32"/>
      <c r="H43" s="28" t="str">
        <f aca="false">IF(COUNTA(C43:G43)=0,"",IF(AND(C43="Yes",D43="Yes",E43="Yes",F43="Yes",G43="No"),"Yes","No"))</f>
        <v/>
      </c>
      <c r="I43" s="32"/>
      <c r="J43" s="32"/>
    </row>
    <row r="44" customFormat="false" ht="15" hidden="false" customHeight="false" outlineLevel="0" collapsed="false">
      <c r="A44" s="32"/>
      <c r="B44" s="32"/>
      <c r="C44" s="32"/>
      <c r="D44" s="32"/>
      <c r="E44" s="32"/>
      <c r="F44" s="32"/>
      <c r="G44" s="32"/>
      <c r="H44" s="28" t="str">
        <f aca="false">IF(COUNTA(C44:G44)=0,"",IF(AND(C44="Yes",D44="Yes",E44="Yes",F44="Yes",G44="No"),"Yes","No"))</f>
        <v/>
      </c>
      <c r="I44" s="32"/>
      <c r="J44" s="32"/>
    </row>
    <row r="45" customFormat="false" ht="15" hidden="false" customHeight="false" outlineLevel="0" collapsed="false">
      <c r="A45" s="32"/>
      <c r="B45" s="32"/>
      <c r="C45" s="32"/>
      <c r="D45" s="32"/>
      <c r="E45" s="32"/>
      <c r="F45" s="32"/>
      <c r="G45" s="32"/>
      <c r="H45" s="28" t="str">
        <f aca="false">IF(COUNTA(C45:G45)=0,"",IF(AND(C45="Yes",D45="Yes",E45="Yes",F45="Yes",G45="No"),"Yes","No"))</f>
        <v/>
      </c>
      <c r="I45" s="32"/>
      <c r="J45" s="32"/>
    </row>
    <row r="46" customFormat="false" ht="15" hidden="false" customHeight="false" outlineLevel="0" collapsed="false">
      <c r="A46" s="32"/>
      <c r="B46" s="32"/>
      <c r="C46" s="32"/>
      <c r="D46" s="32"/>
      <c r="E46" s="32"/>
      <c r="F46" s="32"/>
      <c r="G46" s="32"/>
      <c r="H46" s="28" t="str">
        <f aca="false">IF(COUNTA(C46:G46)=0,"",IF(AND(C46="Yes",D46="Yes",E46="Yes",F46="Yes",G46="No"),"Yes","No"))</f>
        <v/>
      </c>
      <c r="I46" s="32"/>
      <c r="J46" s="32"/>
    </row>
    <row r="47" customFormat="false" ht="15" hidden="false" customHeight="false" outlineLevel="0" collapsed="false">
      <c r="A47" s="32"/>
      <c r="B47" s="32"/>
      <c r="C47" s="32"/>
      <c r="D47" s="32"/>
      <c r="E47" s="32"/>
      <c r="F47" s="32"/>
      <c r="G47" s="32"/>
      <c r="H47" s="28" t="str">
        <f aca="false">IF(COUNTA(C47:G47)=0,"",IF(AND(C47="Yes",D47="Yes",E47="Yes",F47="Yes",G47="No"),"Yes","No"))</f>
        <v/>
      </c>
      <c r="I47" s="32"/>
      <c r="J47" s="32"/>
    </row>
    <row r="48" customFormat="false" ht="15" hidden="false" customHeight="false" outlineLevel="0" collapsed="false">
      <c r="A48" s="32"/>
      <c r="B48" s="32"/>
      <c r="C48" s="32"/>
      <c r="D48" s="32"/>
      <c r="E48" s="32"/>
      <c r="F48" s="32"/>
      <c r="G48" s="32"/>
      <c r="H48" s="28" t="str">
        <f aca="false">IF(COUNTA(C48:G48)=0,"",IF(AND(C48="Yes",D48="Yes",E48="Yes",F48="Yes",G48="No"),"Yes","No"))</f>
        <v/>
      </c>
      <c r="I48" s="32"/>
      <c r="J48" s="32"/>
    </row>
    <row r="49" customFormat="false" ht="15" hidden="false" customHeight="false" outlineLevel="0" collapsed="false">
      <c r="A49" s="32"/>
      <c r="B49" s="32"/>
      <c r="C49" s="32"/>
      <c r="D49" s="32"/>
      <c r="E49" s="32"/>
      <c r="F49" s="32"/>
      <c r="G49" s="32"/>
      <c r="H49" s="28" t="str">
        <f aca="false">IF(COUNTA(C49:G49)=0,"",IF(AND(C49="Yes",D49="Yes",E49="Yes",F49="Yes",G49="No"),"Yes","No"))</f>
        <v/>
      </c>
      <c r="I49" s="32"/>
      <c r="J49" s="32"/>
    </row>
    <row r="50" customFormat="false" ht="15" hidden="false" customHeight="false" outlineLevel="0" collapsed="false">
      <c r="A50" s="32"/>
      <c r="B50" s="32"/>
      <c r="C50" s="32"/>
      <c r="D50" s="32"/>
      <c r="E50" s="32"/>
      <c r="F50" s="32"/>
      <c r="G50" s="32"/>
      <c r="H50" s="28" t="str">
        <f aca="false">IF(COUNTA(C50:G50)=0,"",IF(AND(C50="Yes",D50="Yes",E50="Yes",F50="Yes",G50="No"),"Yes","No"))</f>
        <v/>
      </c>
      <c r="I50" s="32"/>
      <c r="J50" s="32"/>
    </row>
    <row r="51" customFormat="false" ht="15" hidden="false" customHeight="false" outlineLevel="0" collapsed="false">
      <c r="A51" s="32"/>
      <c r="B51" s="32"/>
      <c r="C51" s="32"/>
      <c r="D51" s="32"/>
      <c r="E51" s="32"/>
      <c r="F51" s="32"/>
      <c r="G51" s="32"/>
      <c r="H51" s="28" t="str">
        <f aca="false">IF(COUNTA(C51:G51)=0,"",IF(AND(C51="Yes",D51="Yes",E51="Yes",F51="Yes",G51="No"),"Yes","No"))</f>
        <v/>
      </c>
      <c r="I51" s="32"/>
      <c r="J51" s="32"/>
    </row>
    <row r="52" customFormat="false" ht="15" hidden="false" customHeight="false" outlineLevel="0" collapsed="false">
      <c r="A52" s="32"/>
      <c r="B52" s="32"/>
      <c r="C52" s="32"/>
      <c r="D52" s="32"/>
      <c r="E52" s="32"/>
      <c r="F52" s="32"/>
      <c r="G52" s="32"/>
      <c r="H52" s="28" t="str">
        <f aca="false">IF(COUNTA(C52:G52)=0,"",IF(AND(C52="Yes",D52="Yes",E52="Yes",F52="Yes",G52="No"),"Yes","No"))</f>
        <v/>
      </c>
      <c r="I52" s="32"/>
      <c r="J52" s="32"/>
    </row>
    <row r="53" customFormat="false" ht="15" hidden="false" customHeight="false" outlineLevel="0" collapsed="false">
      <c r="A53" s="32"/>
      <c r="B53" s="32"/>
      <c r="C53" s="32"/>
      <c r="D53" s="32"/>
      <c r="E53" s="32"/>
      <c r="F53" s="32"/>
      <c r="G53" s="32"/>
      <c r="H53" s="28" t="str">
        <f aca="false">IF(COUNTA(C53:G53)=0,"",IF(AND(C53="Yes",D53="Yes",E53="Yes",F53="Yes",G53="No"),"Yes","No"))</f>
        <v/>
      </c>
      <c r="I53" s="32"/>
      <c r="J53" s="32"/>
    </row>
    <row r="54" customFormat="false" ht="15" hidden="false" customHeight="false" outlineLevel="0" collapsed="false">
      <c r="A54" s="32"/>
      <c r="B54" s="32"/>
      <c r="C54" s="32"/>
      <c r="D54" s="32"/>
      <c r="E54" s="32"/>
      <c r="F54" s="32"/>
      <c r="G54" s="32"/>
      <c r="H54" s="28" t="str">
        <f aca="false">IF(COUNTA(C54:G54)=0,"",IF(AND(C54="Yes",D54="Yes",E54="Yes",F54="Yes",G54="No"),"Yes","No"))</f>
        <v/>
      </c>
      <c r="I54" s="32"/>
      <c r="J54" s="32"/>
    </row>
    <row r="55" customFormat="false" ht="15" hidden="false" customHeight="false" outlineLevel="0" collapsed="false">
      <c r="A55" s="32"/>
      <c r="B55" s="32"/>
      <c r="C55" s="32"/>
      <c r="D55" s="32"/>
      <c r="E55" s="32"/>
      <c r="F55" s="32"/>
      <c r="G55" s="32"/>
      <c r="H55" s="28" t="str">
        <f aca="false">IF(COUNTA(C55:G55)=0,"",IF(AND(C55="Yes",D55="Yes",E55="Yes",F55="Yes",G55="No"),"Yes","No"))</f>
        <v/>
      </c>
      <c r="I55" s="32"/>
      <c r="J55" s="32"/>
    </row>
    <row r="56" customFormat="false" ht="15" hidden="false" customHeight="false" outlineLevel="0" collapsed="false">
      <c r="A56" s="32"/>
      <c r="B56" s="32"/>
      <c r="C56" s="32"/>
      <c r="D56" s="32"/>
      <c r="E56" s="32"/>
      <c r="F56" s="32"/>
      <c r="G56" s="32"/>
      <c r="H56" s="28" t="str">
        <f aca="false">IF(COUNTA(C56:G56)=0,"",IF(AND(C56="Yes",D56="Yes",E56="Yes",F56="Yes",G56="No"),"Yes","No"))</f>
        <v/>
      </c>
      <c r="I56" s="32"/>
      <c r="J56" s="32"/>
    </row>
    <row r="57" customFormat="false" ht="15" hidden="false" customHeight="false" outlineLevel="0" collapsed="false">
      <c r="A57" s="32"/>
      <c r="B57" s="32"/>
      <c r="C57" s="32"/>
      <c r="D57" s="32"/>
      <c r="E57" s="32"/>
      <c r="F57" s="32"/>
      <c r="G57" s="32"/>
      <c r="H57" s="28" t="str">
        <f aca="false">IF(COUNTA(C57:G57)=0,"",IF(AND(C57="Yes",D57="Yes",E57="Yes",F57="Yes",G57="No"),"Yes","No"))</f>
        <v/>
      </c>
      <c r="I57" s="32"/>
      <c r="J57" s="32"/>
    </row>
    <row r="58" customFormat="false" ht="15" hidden="false" customHeight="false" outlineLevel="0" collapsed="false">
      <c r="A58" s="32"/>
      <c r="B58" s="32"/>
      <c r="C58" s="32"/>
      <c r="D58" s="32"/>
      <c r="E58" s="32"/>
      <c r="F58" s="32"/>
      <c r="G58" s="32"/>
      <c r="H58" s="28" t="str">
        <f aca="false">IF(COUNTA(C58:G58)=0,"",IF(AND(C58="Yes",D58="Yes",E58="Yes",F58="Yes",G58="No"),"Yes","No"))</f>
        <v/>
      </c>
      <c r="I58" s="32"/>
      <c r="J58" s="32"/>
    </row>
    <row r="59" customFormat="false" ht="15" hidden="false" customHeight="false" outlineLevel="0" collapsed="false">
      <c r="A59" s="32"/>
      <c r="B59" s="32"/>
      <c r="C59" s="32"/>
      <c r="D59" s="32"/>
      <c r="E59" s="32"/>
      <c r="F59" s="32"/>
      <c r="G59" s="32"/>
      <c r="H59" s="28" t="str">
        <f aca="false">IF(COUNTA(C59:G59)=0,"",IF(AND(C59="Yes",D59="Yes",E59="Yes",F59="Yes",G59="No"),"Yes","No"))</f>
        <v/>
      </c>
      <c r="I59" s="32"/>
      <c r="J59" s="32"/>
    </row>
    <row r="60" customFormat="false" ht="15" hidden="false" customHeight="false" outlineLevel="0" collapsed="false">
      <c r="A60" s="32"/>
      <c r="B60" s="32"/>
      <c r="C60" s="32"/>
      <c r="D60" s="32"/>
      <c r="E60" s="32"/>
      <c r="F60" s="32"/>
      <c r="G60" s="32"/>
      <c r="H60" s="28" t="str">
        <f aca="false">IF(COUNTA(C60:G60)=0,"",IF(AND(C60="Yes",D60="Yes",E60="Yes",F60="Yes",G60="No"),"Yes","No"))</f>
        <v/>
      </c>
      <c r="I60" s="32"/>
      <c r="J60" s="32"/>
    </row>
    <row r="61" customFormat="false" ht="15" hidden="false" customHeight="false" outlineLevel="0" collapsed="false">
      <c r="A61" s="32"/>
      <c r="B61" s="32"/>
      <c r="C61" s="32"/>
      <c r="D61" s="32"/>
      <c r="E61" s="32"/>
      <c r="F61" s="32"/>
      <c r="G61" s="32"/>
      <c r="H61" s="28" t="str">
        <f aca="false">IF(COUNTA(C61:G61)=0,"",IF(AND(C61="Yes",D61="Yes",E61="Yes",F61="Yes",G61="No"),"Yes","No"))</f>
        <v/>
      </c>
      <c r="I61" s="32"/>
      <c r="J61" s="32"/>
    </row>
    <row r="62" customFormat="false" ht="15" hidden="false" customHeight="false" outlineLevel="0" collapsed="false">
      <c r="A62" s="32"/>
      <c r="B62" s="32"/>
      <c r="C62" s="32"/>
      <c r="D62" s="32"/>
      <c r="E62" s="32"/>
      <c r="F62" s="32"/>
      <c r="G62" s="32"/>
      <c r="H62" s="28" t="str">
        <f aca="false">IF(COUNTA(C62:G62)=0,"",IF(AND(C62="Yes",D62="Yes",E62="Yes",F62="Yes",G62="No"),"Yes","No"))</f>
        <v/>
      </c>
      <c r="I62" s="32"/>
      <c r="J62" s="32"/>
    </row>
    <row r="63" customFormat="false" ht="15" hidden="false" customHeight="false" outlineLevel="0" collapsed="false">
      <c r="A63" s="32"/>
      <c r="B63" s="32"/>
      <c r="C63" s="32"/>
      <c r="D63" s="32"/>
      <c r="E63" s="32"/>
      <c r="F63" s="32"/>
      <c r="G63" s="32"/>
      <c r="H63" s="28" t="str">
        <f aca="false">IF(COUNTA(C63:G63)=0,"",IF(AND(C63="Yes",D63="Yes",E63="Yes",F63="Yes",G63="No"),"Yes","No"))</f>
        <v/>
      </c>
      <c r="I63" s="32"/>
      <c r="J63" s="32"/>
    </row>
    <row r="64" customFormat="false" ht="15" hidden="false" customHeight="false" outlineLevel="0" collapsed="false">
      <c r="A64" s="32"/>
      <c r="B64" s="32"/>
      <c r="C64" s="32"/>
      <c r="D64" s="32"/>
      <c r="E64" s="32"/>
      <c r="F64" s="32"/>
      <c r="G64" s="32"/>
      <c r="H64" s="28" t="str">
        <f aca="false">IF(COUNTA(C64:G64)=0,"",IF(AND(C64="Yes",D64="Yes",E64="Yes",F64="Yes",G64="No"),"Yes","No"))</f>
        <v/>
      </c>
      <c r="I64" s="32"/>
      <c r="J64" s="32"/>
    </row>
    <row r="65" customFormat="false" ht="15" hidden="false" customHeight="false" outlineLevel="0" collapsed="false">
      <c r="A65" s="32"/>
      <c r="B65" s="32"/>
      <c r="C65" s="32"/>
      <c r="D65" s="32"/>
      <c r="E65" s="32"/>
      <c r="F65" s="32"/>
      <c r="G65" s="32"/>
      <c r="H65" s="28" t="str">
        <f aca="false">IF(COUNTA(C65:G65)=0,"",IF(AND(C65="Yes",D65="Yes",E65="Yes",F65="Yes",G65="No"),"Yes","No"))</f>
        <v/>
      </c>
      <c r="I65" s="32"/>
      <c r="J65" s="32"/>
    </row>
    <row r="66" customFormat="false" ht="15" hidden="false" customHeight="false" outlineLevel="0" collapsed="false">
      <c r="A66" s="32"/>
      <c r="B66" s="32"/>
      <c r="C66" s="32"/>
      <c r="D66" s="32"/>
      <c r="E66" s="32"/>
      <c r="F66" s="32"/>
      <c r="G66" s="32"/>
      <c r="H66" s="28" t="str">
        <f aca="false">IF(COUNTA(C66:G66)=0,"",IF(AND(C66="Yes",D66="Yes",E66="Yes",F66="Yes",G66="No"),"Yes","No"))</f>
        <v/>
      </c>
      <c r="I66" s="32"/>
      <c r="J66" s="32"/>
    </row>
    <row r="67" customFormat="false" ht="15" hidden="false" customHeight="false" outlineLevel="0" collapsed="false">
      <c r="A67" s="32"/>
      <c r="B67" s="32"/>
      <c r="C67" s="32"/>
      <c r="D67" s="32"/>
      <c r="E67" s="32"/>
      <c r="F67" s="32"/>
      <c r="G67" s="32"/>
      <c r="H67" s="28" t="str">
        <f aca="false">IF(COUNTA(C67:G67)=0,"",IF(AND(C67="Yes",D67="Yes",E67="Yes",F67="Yes",G67="No"),"Yes","No"))</f>
        <v/>
      </c>
      <c r="I67" s="32"/>
      <c r="J67" s="32"/>
    </row>
    <row r="68" customFormat="false" ht="15" hidden="false" customHeight="false" outlineLevel="0" collapsed="false">
      <c r="A68" s="32"/>
      <c r="B68" s="32"/>
      <c r="C68" s="32"/>
      <c r="D68" s="32"/>
      <c r="E68" s="32"/>
      <c r="F68" s="32"/>
      <c r="G68" s="32"/>
      <c r="H68" s="28" t="str">
        <f aca="false">IF(COUNTA(C68:G68)=0,"",IF(AND(C68="Yes",D68="Yes",E68="Yes",F68="Yes",G68="No"),"Yes","No"))</f>
        <v/>
      </c>
      <c r="I68" s="32"/>
      <c r="J68" s="32"/>
    </row>
    <row r="69" customFormat="false" ht="15" hidden="false" customHeight="false" outlineLevel="0" collapsed="false">
      <c r="A69" s="32"/>
      <c r="B69" s="32"/>
      <c r="C69" s="32"/>
      <c r="D69" s="32"/>
      <c r="E69" s="32"/>
      <c r="F69" s="32"/>
      <c r="G69" s="32"/>
      <c r="H69" s="28" t="str">
        <f aca="false">IF(COUNTA(C69:G69)=0,"",IF(AND(C69="Yes",D69="Yes",E69="Yes",F69="Yes",G69="No"),"Yes","No"))</f>
        <v/>
      </c>
      <c r="I69" s="32"/>
      <c r="J69" s="32"/>
    </row>
    <row r="70" customFormat="false" ht="15" hidden="false" customHeight="false" outlineLevel="0" collapsed="false">
      <c r="A70" s="32"/>
      <c r="B70" s="32"/>
      <c r="C70" s="32"/>
      <c r="D70" s="32"/>
      <c r="E70" s="32"/>
      <c r="F70" s="32"/>
      <c r="G70" s="32"/>
      <c r="H70" s="28" t="str">
        <f aca="false">IF(COUNTA(C70:G70)=0,"",IF(AND(C70="Yes",D70="Yes",E70="Yes",F70="Yes",G70="No"),"Yes","No"))</f>
        <v/>
      </c>
      <c r="I70" s="32"/>
      <c r="J70" s="32"/>
    </row>
    <row r="71" customFormat="false" ht="15" hidden="false" customHeight="false" outlineLevel="0" collapsed="false">
      <c r="A71" s="32"/>
      <c r="B71" s="32"/>
      <c r="C71" s="32"/>
      <c r="D71" s="32"/>
      <c r="E71" s="32"/>
      <c r="F71" s="32"/>
      <c r="G71" s="32"/>
      <c r="H71" s="28" t="str">
        <f aca="false">IF(COUNTA(C71:G71)=0,"",IF(AND(C71="Yes",D71="Yes",E71="Yes",F71="Yes",G71="No"),"Yes","No"))</f>
        <v/>
      </c>
      <c r="I71" s="32"/>
      <c r="J71" s="32"/>
    </row>
    <row r="72" customFormat="false" ht="15" hidden="false" customHeight="false" outlineLevel="0" collapsed="false">
      <c r="A72" s="32"/>
      <c r="B72" s="32"/>
      <c r="C72" s="32"/>
      <c r="D72" s="32"/>
      <c r="E72" s="32"/>
      <c r="F72" s="32"/>
      <c r="G72" s="32"/>
      <c r="H72" s="28" t="str">
        <f aca="false">IF(COUNTA(C72:G72)=0,"",IF(AND(C72="Yes",D72="Yes",E72="Yes",F72="Yes",G72="No"),"Yes","No"))</f>
        <v/>
      </c>
      <c r="I72" s="32"/>
      <c r="J72" s="32"/>
    </row>
    <row r="73" customFormat="false" ht="15" hidden="false" customHeight="false" outlineLevel="0" collapsed="false">
      <c r="A73" s="32"/>
      <c r="B73" s="32"/>
      <c r="C73" s="32"/>
      <c r="D73" s="32"/>
      <c r="E73" s="32"/>
      <c r="F73" s="32"/>
      <c r="G73" s="32"/>
      <c r="H73" s="28" t="str">
        <f aca="false">IF(COUNTA(C73:G73)=0,"",IF(AND(C73="Yes",D73="Yes",E73="Yes",F73="Yes",G73="No"),"Yes","No"))</f>
        <v/>
      </c>
      <c r="I73" s="32"/>
      <c r="J73" s="32"/>
    </row>
    <row r="74" customFormat="false" ht="15" hidden="false" customHeight="false" outlineLevel="0" collapsed="false">
      <c r="A74" s="32"/>
      <c r="B74" s="32"/>
      <c r="C74" s="32"/>
      <c r="D74" s="32"/>
      <c r="E74" s="32"/>
      <c r="F74" s="32"/>
      <c r="G74" s="32"/>
      <c r="H74" s="28" t="str">
        <f aca="false">IF(COUNTA(C74:G74)=0,"",IF(AND(C74="Yes",D74="Yes",E74="Yes",F74="Yes",G74="No"),"Yes","No"))</f>
        <v/>
      </c>
      <c r="I74" s="32"/>
      <c r="J74" s="32"/>
    </row>
    <row r="75" customFormat="false" ht="15" hidden="false" customHeight="false" outlineLevel="0" collapsed="false">
      <c r="A75" s="32"/>
      <c r="B75" s="32"/>
      <c r="C75" s="32"/>
      <c r="D75" s="32"/>
      <c r="E75" s="32"/>
      <c r="F75" s="32"/>
      <c r="G75" s="32"/>
      <c r="H75" s="28" t="str">
        <f aca="false">IF(COUNTA(C75:G75)=0,"",IF(AND(C75="Yes",D75="Yes",E75="Yes",F75="Yes",G75="No"),"Yes","No"))</f>
        <v/>
      </c>
      <c r="I75" s="32"/>
      <c r="J75" s="32"/>
    </row>
    <row r="76" customFormat="false" ht="15" hidden="false" customHeight="false" outlineLevel="0" collapsed="false">
      <c r="A76" s="32"/>
      <c r="B76" s="32"/>
      <c r="C76" s="32"/>
      <c r="D76" s="32"/>
      <c r="E76" s="32"/>
      <c r="F76" s="32"/>
      <c r="G76" s="32"/>
      <c r="H76" s="28" t="str">
        <f aca="false">IF(COUNTA(C76:G76)=0,"",IF(AND(C76="Yes",D76="Yes",E76="Yes",F76="Yes",G76="No"),"Yes","No"))</f>
        <v/>
      </c>
      <c r="I76" s="32"/>
      <c r="J76" s="32"/>
    </row>
    <row r="77" customFormat="false" ht="15" hidden="false" customHeight="false" outlineLevel="0" collapsed="false">
      <c r="A77" s="32"/>
      <c r="B77" s="32"/>
      <c r="C77" s="32"/>
      <c r="D77" s="32"/>
      <c r="E77" s="32"/>
      <c r="F77" s="32"/>
      <c r="G77" s="32"/>
      <c r="H77" s="28" t="str">
        <f aca="false">IF(COUNTA(C77:G77)=0,"",IF(AND(C77="Yes",D77="Yes",E77="Yes",F77="Yes",G77="No"),"Yes","No"))</f>
        <v/>
      </c>
      <c r="I77" s="32"/>
      <c r="J77" s="32"/>
    </row>
    <row r="78" customFormat="false" ht="15" hidden="false" customHeight="false" outlineLevel="0" collapsed="false">
      <c r="A78" s="32"/>
      <c r="B78" s="32"/>
      <c r="C78" s="32"/>
      <c r="D78" s="32"/>
      <c r="E78" s="32"/>
      <c r="F78" s="32"/>
      <c r="G78" s="32"/>
      <c r="H78" s="28" t="str">
        <f aca="false">IF(COUNTA(C78:G78)=0,"",IF(AND(C78="Yes",D78="Yes",E78="Yes",F78="Yes",G78="No"),"Yes","No"))</f>
        <v/>
      </c>
      <c r="I78" s="32"/>
      <c r="J78" s="32"/>
    </row>
    <row r="79" customFormat="false" ht="15" hidden="false" customHeight="false" outlineLevel="0" collapsed="false">
      <c r="A79" s="32"/>
      <c r="B79" s="32"/>
      <c r="C79" s="32"/>
      <c r="D79" s="32"/>
      <c r="E79" s="32"/>
      <c r="F79" s="32"/>
      <c r="G79" s="32"/>
      <c r="H79" s="28" t="str">
        <f aca="false">IF(COUNTA(C79:G79)=0,"",IF(AND(C79="Yes",D79="Yes",E79="Yes",F79="Yes",G79="No"),"Yes","No"))</f>
        <v/>
      </c>
      <c r="I79" s="32"/>
      <c r="J79" s="32"/>
    </row>
    <row r="80" customFormat="false" ht="15" hidden="false" customHeight="false" outlineLevel="0" collapsed="false">
      <c r="A80" s="32"/>
      <c r="B80" s="32"/>
      <c r="C80" s="32"/>
      <c r="D80" s="32"/>
      <c r="E80" s="32"/>
      <c r="F80" s="32"/>
      <c r="G80" s="32"/>
      <c r="H80" s="28" t="str">
        <f aca="false">IF(COUNTA(C80:G80)=0,"",IF(AND(C80="Yes",D80="Yes",E80="Yes",F80="Yes",G80="No"),"Yes","No"))</f>
        <v/>
      </c>
      <c r="I80" s="32"/>
      <c r="J80" s="32"/>
    </row>
    <row r="81" customFormat="false" ht="15" hidden="false" customHeight="false" outlineLevel="0" collapsed="false">
      <c r="A81" s="32"/>
      <c r="B81" s="32"/>
      <c r="C81" s="32"/>
      <c r="D81" s="32"/>
      <c r="E81" s="32"/>
      <c r="F81" s="32"/>
      <c r="G81" s="32"/>
      <c r="H81" s="28" t="str">
        <f aca="false">IF(COUNTA(C81:G81)=0,"",IF(AND(C81="Yes",D81="Yes",E81="Yes",F81="Yes",G81="No"),"Yes","No"))</f>
        <v/>
      </c>
      <c r="I81" s="32"/>
      <c r="J81" s="32"/>
    </row>
    <row r="82" customFormat="false" ht="15" hidden="false" customHeight="false" outlineLevel="0" collapsed="false">
      <c r="A82" s="32"/>
      <c r="B82" s="32"/>
      <c r="C82" s="32"/>
      <c r="D82" s="32"/>
      <c r="E82" s="32"/>
      <c r="F82" s="32"/>
      <c r="G82" s="32"/>
      <c r="H82" s="28" t="str">
        <f aca="false">IF(COUNTA(C82:G82)=0,"",IF(AND(C82="Yes",D82="Yes",E82="Yes",F82="Yes",G82="No"),"Yes","No"))</f>
        <v/>
      </c>
      <c r="I82" s="32"/>
      <c r="J82" s="32"/>
    </row>
    <row r="83" customFormat="false" ht="15" hidden="false" customHeight="false" outlineLevel="0" collapsed="false">
      <c r="A83" s="32"/>
      <c r="B83" s="32"/>
      <c r="C83" s="32"/>
      <c r="D83" s="32"/>
      <c r="E83" s="32"/>
      <c r="F83" s="32"/>
      <c r="G83" s="32"/>
      <c r="H83" s="28" t="str">
        <f aca="false">IF(COUNTA(C83:G83)=0,"",IF(AND(C83="Yes",D83="Yes",E83="Yes",F83="Yes",G83="No"),"Yes","No"))</f>
        <v/>
      </c>
      <c r="I83" s="32"/>
      <c r="J83" s="32"/>
    </row>
    <row r="84" customFormat="false" ht="15" hidden="false" customHeight="false" outlineLevel="0" collapsed="false">
      <c r="A84" s="32"/>
      <c r="B84" s="32"/>
      <c r="C84" s="32"/>
      <c r="D84" s="32"/>
      <c r="E84" s="32"/>
      <c r="F84" s="32"/>
      <c r="G84" s="32"/>
      <c r="H84" s="28" t="str">
        <f aca="false">IF(COUNTA(C84:G84)=0,"",IF(AND(C84="Yes",D84="Yes",E84="Yes",F84="Yes",G84="No"),"Yes","No"))</f>
        <v/>
      </c>
      <c r="I84" s="32"/>
      <c r="J84" s="32"/>
    </row>
    <row r="85" customFormat="false" ht="15" hidden="false" customHeight="false" outlineLevel="0" collapsed="false">
      <c r="A85" s="32"/>
      <c r="B85" s="32"/>
      <c r="C85" s="32"/>
      <c r="D85" s="32"/>
      <c r="E85" s="32"/>
      <c r="F85" s="32"/>
      <c r="G85" s="32"/>
      <c r="H85" s="28" t="str">
        <f aca="false">IF(COUNTA(C85:G85)=0,"",IF(AND(C85="Yes",D85="Yes",E85="Yes",F85="Yes",G85="No"),"Yes","No"))</f>
        <v/>
      </c>
      <c r="I85" s="32"/>
      <c r="J85" s="32"/>
    </row>
    <row r="86" customFormat="false" ht="15" hidden="false" customHeight="false" outlineLevel="0" collapsed="false">
      <c r="A86" s="32"/>
      <c r="B86" s="32"/>
      <c r="C86" s="32"/>
      <c r="D86" s="32"/>
      <c r="E86" s="32"/>
      <c r="F86" s="32"/>
      <c r="G86" s="32"/>
      <c r="H86" s="28" t="str">
        <f aca="false">IF(COUNTA(C86:G86)=0,"",IF(AND(C86="Yes",D86="Yes",E86="Yes",F86="Yes",G86="No"),"Yes","No"))</f>
        <v/>
      </c>
      <c r="I86" s="32"/>
      <c r="J86" s="32"/>
    </row>
    <row r="87" customFormat="false" ht="15" hidden="false" customHeight="false" outlineLevel="0" collapsed="false">
      <c r="A87" s="32"/>
      <c r="B87" s="32"/>
      <c r="C87" s="32"/>
      <c r="D87" s="32"/>
      <c r="E87" s="32"/>
      <c r="F87" s="32"/>
      <c r="G87" s="32"/>
      <c r="H87" s="28" t="str">
        <f aca="false">IF(COUNTA(C87:G87)=0,"",IF(AND(C87="Yes",D87="Yes",E87="Yes",F87="Yes",G87="No"),"Yes","No"))</f>
        <v/>
      </c>
      <c r="I87" s="32"/>
      <c r="J87" s="32"/>
    </row>
    <row r="88" customFormat="false" ht="15" hidden="false" customHeight="false" outlineLevel="0" collapsed="false">
      <c r="A88" s="32"/>
      <c r="B88" s="32"/>
      <c r="C88" s="32"/>
      <c r="D88" s="32"/>
      <c r="E88" s="32"/>
      <c r="F88" s="32"/>
      <c r="G88" s="32"/>
      <c r="H88" s="28" t="str">
        <f aca="false">IF(COUNTA(C88:G88)=0,"",IF(AND(C88="Yes",D88="Yes",E88="Yes",F88="Yes",G88="No"),"Yes","No"))</f>
        <v/>
      </c>
      <c r="I88" s="32"/>
      <c r="J88" s="32"/>
    </row>
    <row r="89" customFormat="false" ht="15" hidden="false" customHeight="false" outlineLevel="0" collapsed="false">
      <c r="A89" s="32"/>
      <c r="B89" s="32"/>
      <c r="C89" s="32"/>
      <c r="D89" s="32"/>
      <c r="E89" s="32"/>
      <c r="F89" s="32"/>
      <c r="G89" s="32"/>
      <c r="H89" s="28" t="str">
        <f aca="false">IF(COUNTA(C89:G89)=0,"",IF(AND(C89="Yes",D89="Yes",E89="Yes",F89="Yes",G89="No"),"Yes","No"))</f>
        <v/>
      </c>
      <c r="I89" s="32"/>
      <c r="J89" s="32"/>
    </row>
    <row r="90" customFormat="false" ht="15" hidden="false" customHeight="false" outlineLevel="0" collapsed="false">
      <c r="A90" s="32"/>
      <c r="B90" s="32"/>
      <c r="C90" s="32"/>
      <c r="D90" s="32"/>
      <c r="E90" s="32"/>
      <c r="F90" s="32"/>
      <c r="G90" s="32"/>
      <c r="H90" s="28" t="str">
        <f aca="false">IF(COUNTA(C90:G90)=0,"",IF(AND(C90="Yes",D90="Yes",E90="Yes",F90="Yes",G90="No"),"Yes","No"))</f>
        <v/>
      </c>
      <c r="I90" s="32"/>
      <c r="J90" s="32"/>
    </row>
    <row r="91" customFormat="false" ht="15" hidden="false" customHeight="false" outlineLevel="0" collapsed="false">
      <c r="A91" s="32"/>
      <c r="B91" s="32"/>
      <c r="C91" s="32"/>
      <c r="D91" s="32"/>
      <c r="E91" s="32"/>
      <c r="F91" s="32"/>
      <c r="G91" s="32"/>
      <c r="H91" s="28" t="str">
        <f aca="false">IF(COUNTA(C91:G91)=0,"",IF(AND(C91="Yes",D91="Yes",E91="Yes",F91="Yes",G91="No"),"Yes","No"))</f>
        <v/>
      </c>
      <c r="I91" s="32"/>
      <c r="J91" s="32"/>
    </row>
    <row r="92" customFormat="false" ht="15" hidden="false" customHeight="false" outlineLevel="0" collapsed="false">
      <c r="A92" s="32"/>
      <c r="B92" s="32"/>
      <c r="C92" s="32"/>
      <c r="D92" s="32"/>
      <c r="E92" s="32"/>
      <c r="F92" s="32"/>
      <c r="G92" s="32"/>
      <c r="H92" s="28" t="str">
        <f aca="false">IF(COUNTA(C92:G92)=0,"",IF(AND(C92="Yes",D92="Yes",E92="Yes",F92="Yes",G92="No"),"Yes","No"))</f>
        <v/>
      </c>
      <c r="I92" s="32"/>
      <c r="J92" s="32"/>
    </row>
    <row r="93" customFormat="false" ht="15" hidden="false" customHeight="false" outlineLevel="0" collapsed="false">
      <c r="A93" s="32"/>
      <c r="B93" s="32"/>
      <c r="C93" s="32"/>
      <c r="D93" s="32"/>
      <c r="E93" s="32"/>
      <c r="F93" s="32"/>
      <c r="G93" s="32"/>
      <c r="H93" s="28" t="str">
        <f aca="false">IF(COUNTA(C93:G93)=0,"",IF(AND(C93="Yes",D93="Yes",E93="Yes",F93="Yes",G93="No"),"Yes","No"))</f>
        <v/>
      </c>
      <c r="I93" s="32"/>
      <c r="J93" s="32"/>
    </row>
    <row r="94" customFormat="false" ht="15" hidden="false" customHeight="false" outlineLevel="0" collapsed="false">
      <c r="A94" s="32"/>
      <c r="B94" s="32"/>
      <c r="C94" s="32"/>
      <c r="D94" s="32"/>
      <c r="E94" s="32"/>
      <c r="F94" s="32"/>
      <c r="G94" s="32"/>
      <c r="H94" s="28" t="str">
        <f aca="false">IF(COUNTA(C94:G94)=0,"",IF(AND(C94="Yes",D94="Yes",E94="Yes",F94="Yes",G94="No"),"Yes","No"))</f>
        <v/>
      </c>
      <c r="I94" s="32"/>
      <c r="J94" s="32"/>
    </row>
    <row r="95" customFormat="false" ht="15" hidden="false" customHeight="false" outlineLevel="0" collapsed="false">
      <c r="A95" s="32"/>
      <c r="B95" s="32"/>
      <c r="C95" s="32"/>
      <c r="D95" s="32"/>
      <c r="E95" s="32"/>
      <c r="F95" s="32"/>
      <c r="G95" s="32"/>
      <c r="H95" s="28" t="str">
        <f aca="false">IF(COUNTA(C95:G95)=0,"",IF(AND(C95="Yes",D95="Yes",E95="Yes",F95="Yes",G95="No"),"Yes","No"))</f>
        <v/>
      </c>
      <c r="I95" s="32"/>
      <c r="J95" s="32"/>
    </row>
    <row r="96" customFormat="false" ht="15" hidden="false" customHeight="false" outlineLevel="0" collapsed="false">
      <c r="A96" s="32"/>
      <c r="B96" s="32"/>
      <c r="C96" s="32"/>
      <c r="D96" s="32"/>
      <c r="E96" s="32"/>
      <c r="F96" s="32"/>
      <c r="G96" s="32"/>
      <c r="H96" s="28" t="str">
        <f aca="false">IF(COUNTA(C96:G96)=0,"",IF(AND(C96="Yes",D96="Yes",E96="Yes",F96="Yes",G96="No"),"Yes","No"))</f>
        <v/>
      </c>
      <c r="I96" s="32"/>
      <c r="J96" s="32"/>
    </row>
    <row r="97" customFormat="false" ht="15" hidden="false" customHeight="false" outlineLevel="0" collapsed="false">
      <c r="A97" s="32"/>
      <c r="B97" s="32"/>
      <c r="C97" s="32"/>
      <c r="D97" s="32"/>
      <c r="E97" s="32"/>
      <c r="F97" s="32"/>
      <c r="G97" s="32"/>
      <c r="H97" s="28" t="str">
        <f aca="false">IF(COUNTA(C97:G97)=0,"",IF(AND(C97="Yes",D97="Yes",E97="Yes",F97="Yes",G97="No"),"Yes","No"))</f>
        <v/>
      </c>
      <c r="I97" s="32"/>
      <c r="J97" s="32"/>
    </row>
    <row r="98" customFormat="false" ht="15" hidden="false" customHeight="false" outlineLevel="0" collapsed="false">
      <c r="A98" s="32"/>
      <c r="B98" s="32"/>
      <c r="C98" s="32"/>
      <c r="D98" s="32"/>
      <c r="E98" s="32"/>
      <c r="F98" s="32"/>
      <c r="G98" s="32"/>
      <c r="H98" s="28" t="str">
        <f aca="false">IF(COUNTA(C98:G98)=0,"",IF(AND(C98="Yes",D98="Yes",E98="Yes",F98="Yes",G98="No"),"Yes","No"))</f>
        <v/>
      </c>
      <c r="I98" s="32"/>
      <c r="J98" s="32"/>
    </row>
    <row r="99" customFormat="false" ht="15" hidden="false" customHeight="false" outlineLevel="0" collapsed="false">
      <c r="A99" s="32"/>
      <c r="B99" s="32"/>
      <c r="C99" s="32"/>
      <c r="D99" s="32"/>
      <c r="E99" s="32"/>
      <c r="F99" s="32"/>
      <c r="G99" s="32"/>
      <c r="H99" s="28" t="str">
        <f aca="false">IF(COUNTA(C99:G99)=0,"",IF(AND(C99="Yes",D99="Yes",E99="Yes",F99="Yes",G99="No"),"Yes","No"))</f>
        <v/>
      </c>
      <c r="I99" s="32"/>
      <c r="J99" s="32"/>
    </row>
    <row r="100" customFormat="false" ht="15" hidden="false" customHeight="false" outlineLevel="0" collapsed="false">
      <c r="A100" s="32"/>
      <c r="B100" s="32"/>
      <c r="C100" s="32"/>
      <c r="D100" s="32"/>
      <c r="E100" s="32"/>
      <c r="F100" s="32"/>
      <c r="G100" s="32"/>
      <c r="H100" s="28" t="str">
        <f aca="false">IF(COUNTA(C100:G100)=0,"",IF(AND(C100="Yes",D100="Yes",E100="Yes",F100="Yes",G100="No"),"Yes","No"))</f>
        <v/>
      </c>
      <c r="I100" s="32"/>
      <c r="J100" s="32"/>
    </row>
    <row r="101" customFormat="false" ht="15" hidden="false" customHeight="false" outlineLevel="0" collapsed="false">
      <c r="A101" s="32"/>
      <c r="B101" s="32"/>
      <c r="C101" s="32"/>
      <c r="D101" s="32"/>
      <c r="E101" s="32"/>
      <c r="F101" s="32"/>
      <c r="G101" s="32"/>
      <c r="H101" s="28" t="str">
        <f aca="false">IF(COUNTA(C101:G101)=0,"",IF(AND(C101="Yes",D101="Yes",E101="Yes",F101="Yes",G101="No"),"Yes","No"))</f>
        <v/>
      </c>
      <c r="I101" s="32"/>
      <c r="J101" s="32"/>
    </row>
    <row r="102" customFormat="false" ht="15" hidden="false" customHeight="false" outlineLevel="0" collapsed="false">
      <c r="A102" s="32"/>
      <c r="B102" s="32"/>
      <c r="C102" s="32"/>
      <c r="D102" s="32"/>
      <c r="E102" s="32"/>
      <c r="F102" s="32"/>
      <c r="G102" s="32"/>
      <c r="H102" s="28" t="str">
        <f aca="false">IF(COUNTA(C102:G102)=0,"",IF(AND(C102="Yes",D102="Yes",E102="Yes",F102="Yes",G102="No"),"Yes","No"))</f>
        <v/>
      </c>
      <c r="I102" s="32"/>
      <c r="J102" s="32"/>
    </row>
    <row r="103" customFormat="false" ht="15" hidden="false" customHeight="false" outlineLevel="0" collapsed="false">
      <c r="A103" s="32"/>
      <c r="B103" s="32"/>
      <c r="C103" s="32"/>
      <c r="D103" s="32"/>
      <c r="E103" s="32"/>
      <c r="F103" s="32"/>
      <c r="G103" s="32"/>
      <c r="H103" s="28" t="str">
        <f aca="false">IF(COUNTA(C103:G103)=0,"",IF(AND(C103="Yes",D103="Yes",E103="Yes",F103="Yes",G103="No"),"Yes","No"))</f>
        <v/>
      </c>
      <c r="I103" s="32"/>
      <c r="J103" s="32"/>
    </row>
    <row r="104" customFormat="false" ht="15" hidden="false" customHeight="false" outlineLevel="0" collapsed="false">
      <c r="A104" s="32"/>
      <c r="B104" s="32"/>
      <c r="C104" s="32"/>
      <c r="D104" s="32"/>
      <c r="E104" s="32"/>
      <c r="F104" s="32"/>
      <c r="G104" s="32"/>
      <c r="H104" s="28" t="str">
        <f aca="false">IF(COUNTA(C104:G104)=0,"",IF(AND(C104="Yes",D104="Yes",E104="Yes",F104="Yes",G104="No"),"Yes","No"))</f>
        <v/>
      </c>
      <c r="I104" s="32"/>
      <c r="J104" s="32"/>
    </row>
    <row r="105" customFormat="false" ht="15" hidden="false" customHeight="false" outlineLevel="0" collapsed="false">
      <c r="A105" s="32"/>
      <c r="B105" s="32"/>
      <c r="C105" s="32"/>
      <c r="D105" s="32"/>
      <c r="E105" s="32"/>
      <c r="F105" s="32"/>
      <c r="G105" s="32"/>
      <c r="H105" s="28" t="str">
        <f aca="false">IF(COUNTA(C105:G105)=0,"",IF(AND(C105="Yes",D105="Yes",E105="Yes",F105="Yes",G105="No"),"Yes","No"))</f>
        <v/>
      </c>
      <c r="I105" s="32"/>
      <c r="J105" s="32"/>
    </row>
    <row r="106" customFormat="false" ht="15" hidden="false" customHeight="false" outlineLevel="0" collapsed="false">
      <c r="A106" s="32"/>
      <c r="B106" s="32"/>
      <c r="C106" s="32"/>
      <c r="D106" s="32"/>
      <c r="E106" s="32"/>
      <c r="F106" s="32"/>
      <c r="G106" s="32"/>
      <c r="H106" s="28" t="str">
        <f aca="false">IF(COUNTA(C106:G106)=0,"",IF(AND(C106="Yes",D106="Yes",E106="Yes",F106="Yes",G106="No"),"Yes","No"))</f>
        <v/>
      </c>
      <c r="I106" s="32"/>
      <c r="J106" s="32"/>
    </row>
    <row r="107" customFormat="false" ht="15" hidden="false" customHeight="false" outlineLevel="0" collapsed="false">
      <c r="A107" s="32"/>
      <c r="B107" s="32"/>
      <c r="C107" s="32"/>
      <c r="D107" s="32"/>
      <c r="E107" s="32"/>
      <c r="F107" s="32"/>
      <c r="G107" s="32"/>
      <c r="H107" s="28" t="str">
        <f aca="false">IF(COUNTA(C107:G107)=0,"",IF(AND(C107="Yes",D107="Yes",E107="Yes",F107="Yes",G107="No"),"Yes","No"))</f>
        <v/>
      </c>
      <c r="I107" s="32"/>
      <c r="J107" s="32"/>
    </row>
    <row r="108" customFormat="false" ht="15" hidden="false" customHeight="false" outlineLevel="0" collapsed="false">
      <c r="A108" s="32"/>
      <c r="B108" s="32"/>
      <c r="C108" s="32"/>
      <c r="D108" s="32"/>
      <c r="E108" s="32"/>
      <c r="F108" s="32"/>
      <c r="G108" s="32"/>
      <c r="H108" s="28" t="str">
        <f aca="false">IF(COUNTA(C108:G108)=0,"",IF(AND(C108="Yes",D108="Yes",E108="Yes",F108="Yes",G108="No"),"Yes","No"))</f>
        <v/>
      </c>
      <c r="I108" s="32"/>
      <c r="J108" s="32"/>
    </row>
    <row r="109" customFormat="false" ht="15" hidden="false" customHeight="false" outlineLevel="0" collapsed="false">
      <c r="A109" s="32"/>
      <c r="B109" s="32"/>
      <c r="C109" s="32"/>
      <c r="D109" s="32"/>
      <c r="E109" s="32"/>
      <c r="F109" s="32"/>
      <c r="G109" s="32"/>
      <c r="H109" s="28" t="str">
        <f aca="false">IF(COUNTA(C109:G109)=0,"",IF(AND(C109="Yes",D109="Yes",E109="Yes",F109="Yes",G109="No"),"Yes","No"))</f>
        <v/>
      </c>
      <c r="I109" s="32"/>
      <c r="J109" s="32"/>
    </row>
    <row r="110" customFormat="false" ht="15" hidden="false" customHeight="false" outlineLevel="0" collapsed="false">
      <c r="A110" s="32"/>
      <c r="B110" s="32"/>
      <c r="C110" s="32"/>
      <c r="D110" s="32"/>
      <c r="E110" s="32"/>
      <c r="F110" s="32"/>
      <c r="G110" s="32"/>
      <c r="H110" s="28" t="str">
        <f aca="false">IF(COUNTA(C110:G110)=0,"",IF(AND(C110="Yes",D110="Yes",E110="Yes",F110="Yes",G110="No"),"Yes","No"))</f>
        <v/>
      </c>
      <c r="I110" s="32"/>
      <c r="J110" s="32"/>
    </row>
    <row r="111" customFormat="false" ht="15" hidden="false" customHeight="false" outlineLevel="0" collapsed="false">
      <c r="A111" s="32"/>
      <c r="B111" s="32"/>
      <c r="C111" s="32"/>
      <c r="D111" s="32"/>
      <c r="E111" s="32"/>
      <c r="F111" s="32"/>
      <c r="G111" s="32"/>
      <c r="H111" s="28" t="str">
        <f aca="false">IF(COUNTA(C111:G111)=0,"",IF(AND(C111="Yes",D111="Yes",E111="Yes",F111="Yes",G111="No"),"Yes","No"))</f>
        <v/>
      </c>
      <c r="I111" s="32"/>
      <c r="J111" s="32"/>
    </row>
    <row r="112" customFormat="false" ht="15" hidden="false" customHeight="false" outlineLevel="0" collapsed="false">
      <c r="A112" s="32"/>
      <c r="B112" s="32"/>
      <c r="C112" s="32"/>
      <c r="D112" s="32"/>
      <c r="E112" s="32"/>
      <c r="F112" s="32"/>
      <c r="G112" s="32"/>
      <c r="H112" s="28" t="str">
        <f aca="false">IF(COUNTA(C112:G112)=0,"",IF(AND(C112="Yes",D112="Yes",E112="Yes",F112="Yes",G112="No"),"Yes","No"))</f>
        <v/>
      </c>
      <c r="I112" s="32"/>
      <c r="J112" s="32"/>
    </row>
    <row r="113" customFormat="false" ht="15" hidden="false" customHeight="false" outlineLevel="0" collapsed="false">
      <c r="A113" s="32"/>
      <c r="B113" s="32"/>
      <c r="C113" s="32"/>
      <c r="D113" s="32"/>
      <c r="E113" s="32"/>
      <c r="F113" s="32"/>
      <c r="G113" s="32"/>
      <c r="H113" s="28" t="str">
        <f aca="false">IF(COUNTA(C113:G113)=0,"",IF(AND(C113="Yes",D113="Yes",E113="Yes",F113="Yes",G113="No"),"Yes","No"))</f>
        <v/>
      </c>
      <c r="I113" s="32"/>
      <c r="J113" s="32"/>
    </row>
    <row r="114" customFormat="false" ht="15" hidden="false" customHeight="false" outlineLevel="0" collapsed="false">
      <c r="A114" s="32"/>
      <c r="B114" s="32"/>
      <c r="C114" s="32"/>
      <c r="D114" s="32"/>
      <c r="E114" s="32"/>
      <c r="F114" s="32"/>
      <c r="G114" s="32"/>
      <c r="H114" s="28" t="str">
        <f aca="false">IF(COUNTA(C114:G114)=0,"",IF(AND(C114="Yes",D114="Yes",E114="Yes",F114="Yes",G114="No"),"Yes","No"))</f>
        <v/>
      </c>
      <c r="I114" s="32"/>
      <c r="J114" s="32"/>
    </row>
    <row r="115" customFormat="false" ht="15" hidden="false" customHeight="false" outlineLevel="0" collapsed="false">
      <c r="A115" s="32"/>
      <c r="B115" s="32"/>
      <c r="C115" s="32"/>
      <c r="D115" s="32"/>
      <c r="E115" s="32"/>
      <c r="F115" s="32"/>
      <c r="G115" s="32"/>
      <c r="H115" s="28" t="str">
        <f aca="false">IF(COUNTA(C115:G115)=0,"",IF(AND(C115="Yes",D115="Yes",E115="Yes",F115="Yes",G115="No"),"Yes","No"))</f>
        <v/>
      </c>
      <c r="I115" s="32"/>
      <c r="J115" s="32"/>
    </row>
    <row r="116" customFormat="false" ht="15" hidden="false" customHeight="false" outlineLevel="0" collapsed="false">
      <c r="A116" s="32"/>
      <c r="B116" s="32"/>
      <c r="C116" s="32"/>
      <c r="D116" s="32"/>
      <c r="E116" s="32"/>
      <c r="F116" s="32"/>
      <c r="G116" s="32"/>
      <c r="H116" s="28" t="str">
        <f aca="false">IF(COUNTA(C116:G116)=0,"",IF(AND(C116="Yes",D116="Yes",E116="Yes",F116="Yes",G116="No"),"Yes","No"))</f>
        <v/>
      </c>
      <c r="I116" s="32"/>
      <c r="J116" s="32"/>
    </row>
    <row r="117" customFormat="false" ht="15" hidden="false" customHeight="false" outlineLevel="0" collapsed="false">
      <c r="A117" s="32"/>
      <c r="B117" s="32"/>
      <c r="C117" s="32"/>
      <c r="D117" s="32"/>
      <c r="E117" s="32"/>
      <c r="F117" s="32"/>
      <c r="G117" s="32"/>
      <c r="H117" s="28" t="str">
        <f aca="false">IF(COUNTA(C117:G117)=0,"",IF(AND(C117="Yes",D117="Yes",E117="Yes",F117="Yes",G117="No"),"Yes","No"))</f>
        <v/>
      </c>
      <c r="I117" s="32"/>
      <c r="J117" s="32"/>
    </row>
    <row r="118" customFormat="false" ht="15" hidden="false" customHeight="false" outlineLevel="0" collapsed="false">
      <c r="A118" s="32"/>
      <c r="B118" s="32"/>
      <c r="C118" s="32"/>
      <c r="D118" s="32"/>
      <c r="E118" s="32"/>
      <c r="F118" s="32"/>
      <c r="G118" s="32"/>
      <c r="H118" s="28" t="str">
        <f aca="false">IF(COUNTA(C118:G118)=0,"",IF(AND(C118="Yes",D118="Yes",E118="Yes",F118="Yes",G118="No"),"Yes","No"))</f>
        <v/>
      </c>
      <c r="I118" s="32"/>
      <c r="J118" s="32"/>
    </row>
    <row r="119" customFormat="false" ht="15" hidden="false" customHeight="false" outlineLevel="0" collapsed="false">
      <c r="A119" s="32"/>
      <c r="B119" s="32"/>
      <c r="C119" s="32"/>
      <c r="D119" s="32"/>
      <c r="E119" s="32"/>
      <c r="F119" s="32"/>
      <c r="G119" s="32"/>
      <c r="H119" s="28" t="str">
        <f aca="false">IF(COUNTA(C119:G119)=0,"",IF(AND(C119="Yes",D119="Yes",E119="Yes",F119="Yes",G119="No"),"Yes","No"))</f>
        <v/>
      </c>
      <c r="I119" s="32"/>
      <c r="J119" s="32"/>
    </row>
    <row r="120" customFormat="false" ht="15" hidden="false" customHeight="false" outlineLevel="0" collapsed="false">
      <c r="A120" s="32"/>
      <c r="B120" s="32"/>
      <c r="C120" s="32"/>
      <c r="D120" s="32"/>
      <c r="E120" s="32"/>
      <c r="F120" s="32"/>
      <c r="G120" s="32"/>
      <c r="H120" s="28" t="str">
        <f aca="false">IF(COUNTA(C120:G120)=0,"",IF(AND(C120="Yes",D120="Yes",E120="Yes",F120="Yes",G120="No"),"Yes","No"))</f>
        <v/>
      </c>
      <c r="I120" s="32"/>
      <c r="J120" s="32"/>
    </row>
    <row r="121" customFormat="false" ht="15" hidden="false" customHeight="false" outlineLevel="0" collapsed="false">
      <c r="A121" s="32"/>
      <c r="B121" s="32"/>
      <c r="C121" s="32"/>
      <c r="D121" s="32"/>
      <c r="E121" s="32"/>
      <c r="F121" s="32"/>
      <c r="G121" s="32"/>
      <c r="H121" s="28" t="str">
        <f aca="false">IF(COUNTA(C121:G121)=0,"",IF(AND(C121="Yes",D121="Yes",E121="Yes",F121="Yes",G121="No"),"Yes","No"))</f>
        <v/>
      </c>
      <c r="I121" s="32"/>
      <c r="J121" s="32"/>
    </row>
    <row r="122" customFormat="false" ht="15" hidden="false" customHeight="false" outlineLevel="0" collapsed="false">
      <c r="A122" s="32"/>
      <c r="B122" s="32"/>
      <c r="C122" s="32"/>
      <c r="D122" s="32"/>
      <c r="E122" s="32"/>
      <c r="F122" s="32"/>
      <c r="G122" s="32"/>
      <c r="H122" s="28" t="str">
        <f aca="false">IF(COUNTA(C122:G122)=0,"",IF(AND(C122="Yes",D122="Yes",E122="Yes",F122="Yes",G122="No"),"Yes","No"))</f>
        <v/>
      </c>
      <c r="I122" s="32"/>
      <c r="J122" s="32"/>
    </row>
    <row r="123" customFormat="false" ht="15" hidden="false" customHeight="false" outlineLevel="0" collapsed="false">
      <c r="A123" s="32"/>
      <c r="B123" s="32"/>
      <c r="C123" s="32"/>
      <c r="D123" s="32"/>
      <c r="E123" s="32"/>
      <c r="F123" s="32"/>
      <c r="G123" s="32"/>
      <c r="H123" s="28" t="str">
        <f aca="false">IF(COUNTA(C123:G123)=0,"",IF(AND(C123="Yes",D123="Yes",E123="Yes",F123="Yes",G123="No"),"Yes","No"))</f>
        <v/>
      </c>
      <c r="I123" s="32"/>
      <c r="J123" s="32"/>
    </row>
    <row r="124" customFormat="false" ht="15" hidden="false" customHeight="false" outlineLevel="0" collapsed="false">
      <c r="A124" s="32"/>
      <c r="B124" s="32"/>
      <c r="C124" s="32"/>
      <c r="D124" s="32"/>
      <c r="E124" s="32"/>
      <c r="F124" s="32"/>
      <c r="G124" s="32"/>
      <c r="H124" s="28" t="str">
        <f aca="false">IF(COUNTA(C124:G124)=0,"",IF(AND(C124="Yes",D124="Yes",E124="Yes",F124="Yes",G124="No"),"Yes","No"))</f>
        <v/>
      </c>
      <c r="I124" s="32"/>
      <c r="J124" s="32"/>
    </row>
    <row r="125" customFormat="false" ht="15" hidden="false" customHeight="false" outlineLevel="0" collapsed="false">
      <c r="A125" s="32"/>
      <c r="B125" s="32"/>
      <c r="C125" s="32"/>
      <c r="D125" s="32"/>
      <c r="E125" s="32"/>
      <c r="F125" s="32"/>
      <c r="G125" s="32"/>
      <c r="H125" s="28" t="str">
        <f aca="false">IF(COUNTA(C125:G125)=0,"",IF(AND(C125="Yes",D125="Yes",E125="Yes",F125="Yes",G125="No"),"Yes","No"))</f>
        <v/>
      </c>
      <c r="I125" s="32"/>
      <c r="J125" s="32"/>
    </row>
    <row r="126" customFormat="false" ht="15" hidden="false" customHeight="false" outlineLevel="0" collapsed="false">
      <c r="A126" s="32"/>
      <c r="B126" s="32"/>
      <c r="C126" s="32"/>
      <c r="D126" s="32"/>
      <c r="E126" s="32"/>
      <c r="F126" s="32"/>
      <c r="G126" s="32"/>
      <c r="H126" s="28" t="str">
        <f aca="false">IF(COUNTA(C126:G126)=0,"",IF(AND(C126="Yes",D126="Yes",E126="Yes",F126="Yes",G126="No"),"Yes","No"))</f>
        <v/>
      </c>
      <c r="I126" s="32"/>
      <c r="J126" s="32"/>
    </row>
    <row r="127" customFormat="false" ht="15" hidden="false" customHeight="false" outlineLevel="0" collapsed="false">
      <c r="A127" s="32"/>
      <c r="B127" s="32"/>
      <c r="C127" s="32"/>
      <c r="D127" s="32"/>
      <c r="E127" s="32"/>
      <c r="F127" s="32"/>
      <c r="G127" s="32"/>
      <c r="H127" s="28" t="str">
        <f aca="false">IF(COUNTA(C127:G127)=0,"",IF(AND(C127="Yes",D127="Yes",E127="Yes",F127="Yes",G127="No"),"Yes","No"))</f>
        <v/>
      </c>
      <c r="I127" s="32"/>
      <c r="J127" s="32"/>
    </row>
    <row r="128" customFormat="false" ht="15" hidden="false" customHeight="false" outlineLevel="0" collapsed="false">
      <c r="A128" s="32"/>
      <c r="B128" s="32"/>
      <c r="C128" s="32"/>
      <c r="D128" s="32"/>
      <c r="E128" s="32"/>
      <c r="F128" s="32"/>
      <c r="G128" s="32"/>
      <c r="H128" s="28" t="str">
        <f aca="false">IF(COUNTA(C128:G128)=0,"",IF(AND(C128="Yes",D128="Yes",E128="Yes",F128="Yes",G128="No"),"Yes","No"))</f>
        <v/>
      </c>
      <c r="I128" s="32"/>
      <c r="J128" s="32"/>
    </row>
    <row r="129" customFormat="false" ht="15" hidden="false" customHeight="false" outlineLevel="0" collapsed="false">
      <c r="A129" s="32"/>
      <c r="B129" s="32"/>
      <c r="C129" s="32"/>
      <c r="D129" s="32"/>
      <c r="E129" s="32"/>
      <c r="F129" s="32"/>
      <c r="G129" s="32"/>
      <c r="H129" s="28" t="str">
        <f aca="false">IF(COUNTA(C129:G129)=0,"",IF(AND(C129="Yes",D129="Yes",E129="Yes",F129="Yes",G129="No"),"Yes","No"))</f>
        <v/>
      </c>
      <c r="I129" s="32"/>
      <c r="J129" s="32"/>
    </row>
    <row r="130" customFormat="false" ht="15" hidden="false" customHeight="false" outlineLevel="0" collapsed="false">
      <c r="A130" s="32"/>
      <c r="B130" s="32"/>
      <c r="C130" s="32"/>
      <c r="D130" s="32"/>
      <c r="E130" s="32"/>
      <c r="F130" s="32"/>
      <c r="G130" s="32"/>
      <c r="H130" s="28" t="str">
        <f aca="false">IF(COUNTA(C130:G130)=0,"",IF(AND(C130="Yes",D130="Yes",E130="Yes",F130="Yes",G130="No"),"Yes","No"))</f>
        <v/>
      </c>
      <c r="I130" s="32"/>
      <c r="J130" s="32"/>
    </row>
    <row r="131" customFormat="false" ht="15" hidden="false" customHeight="false" outlineLevel="0" collapsed="false">
      <c r="A131" s="32"/>
      <c r="B131" s="32"/>
      <c r="C131" s="32"/>
      <c r="D131" s="32"/>
      <c r="E131" s="32"/>
      <c r="F131" s="32"/>
      <c r="G131" s="32"/>
      <c r="H131" s="28" t="str">
        <f aca="false">IF(COUNTA(C131:G131)=0,"",IF(AND(C131="Yes",D131="Yes",E131="Yes",F131="Yes",G131="No"),"Yes","No"))</f>
        <v/>
      </c>
      <c r="I131" s="32"/>
      <c r="J131" s="32"/>
    </row>
    <row r="132" customFormat="false" ht="15" hidden="false" customHeight="false" outlineLevel="0" collapsed="false">
      <c r="A132" s="32"/>
      <c r="B132" s="32"/>
      <c r="C132" s="32"/>
      <c r="D132" s="32"/>
      <c r="E132" s="32"/>
      <c r="F132" s="32"/>
      <c r="G132" s="32"/>
      <c r="H132" s="28" t="str">
        <f aca="false">IF(COUNTA(C132:G132)=0,"",IF(AND(C132="Yes",D132="Yes",E132="Yes",F132="Yes",G132="No"),"Yes","No"))</f>
        <v/>
      </c>
      <c r="I132" s="32"/>
      <c r="J132" s="32"/>
    </row>
    <row r="133" customFormat="false" ht="15" hidden="false" customHeight="false" outlineLevel="0" collapsed="false">
      <c r="A133" s="32"/>
      <c r="B133" s="32"/>
      <c r="C133" s="32"/>
      <c r="D133" s="32"/>
      <c r="E133" s="32"/>
      <c r="F133" s="32"/>
      <c r="G133" s="32"/>
      <c r="H133" s="28" t="str">
        <f aca="false">IF(COUNTA(C133:G133)=0,"",IF(AND(C133="Yes",D133="Yes",E133="Yes",F133="Yes",G133="No"),"Yes","No"))</f>
        <v/>
      </c>
      <c r="I133" s="32"/>
      <c r="J133" s="32"/>
    </row>
    <row r="134" customFormat="false" ht="15" hidden="false" customHeight="false" outlineLevel="0" collapsed="false">
      <c r="A134" s="32"/>
      <c r="B134" s="32"/>
      <c r="C134" s="32"/>
      <c r="D134" s="32"/>
      <c r="E134" s="32"/>
      <c r="F134" s="32"/>
      <c r="G134" s="32"/>
      <c r="H134" s="28" t="str">
        <f aca="false">IF(COUNTA(C134:G134)=0,"",IF(AND(C134="Yes",D134="Yes",E134="Yes",F134="Yes",G134="No"),"Yes","No"))</f>
        <v/>
      </c>
      <c r="I134" s="32"/>
      <c r="J134" s="32"/>
    </row>
    <row r="135" customFormat="false" ht="15" hidden="false" customHeight="false" outlineLevel="0" collapsed="false">
      <c r="A135" s="32"/>
      <c r="B135" s="32"/>
      <c r="C135" s="32"/>
      <c r="D135" s="32"/>
      <c r="E135" s="32"/>
      <c r="F135" s="32"/>
      <c r="G135" s="32"/>
      <c r="H135" s="28" t="str">
        <f aca="false">IF(COUNTA(C135:G135)=0,"",IF(AND(C135="Yes",D135="Yes",E135="Yes",F135="Yes",G135="No"),"Yes","No"))</f>
        <v/>
      </c>
      <c r="I135" s="32"/>
      <c r="J135" s="32"/>
    </row>
    <row r="136" customFormat="false" ht="15" hidden="false" customHeight="false" outlineLevel="0" collapsed="false">
      <c r="A136" s="32"/>
      <c r="B136" s="32"/>
      <c r="C136" s="32"/>
      <c r="D136" s="32"/>
      <c r="E136" s="32"/>
      <c r="F136" s="32"/>
      <c r="G136" s="32"/>
      <c r="H136" s="28" t="str">
        <f aca="false">IF(COUNTA(C136:G136)=0,"",IF(AND(C136="Yes",D136="Yes",E136="Yes",F136="Yes",G136="No"),"Yes","No"))</f>
        <v/>
      </c>
      <c r="I136" s="32"/>
      <c r="J136" s="32"/>
    </row>
    <row r="137" customFormat="false" ht="15" hidden="false" customHeight="false" outlineLevel="0" collapsed="false">
      <c r="A137" s="32"/>
      <c r="B137" s="32"/>
      <c r="C137" s="32"/>
      <c r="D137" s="32"/>
      <c r="E137" s="32"/>
      <c r="F137" s="32"/>
      <c r="G137" s="32"/>
      <c r="H137" s="28" t="str">
        <f aca="false">IF(COUNTA(C137:G137)=0,"",IF(AND(C137="Yes",D137="Yes",E137="Yes",F137="Yes",G137="No"),"Yes","No"))</f>
        <v/>
      </c>
      <c r="I137" s="32"/>
      <c r="J137" s="32"/>
    </row>
    <row r="138" customFormat="false" ht="15" hidden="false" customHeight="false" outlineLevel="0" collapsed="false">
      <c r="A138" s="32"/>
      <c r="B138" s="32"/>
      <c r="C138" s="32"/>
      <c r="D138" s="32"/>
      <c r="E138" s="32"/>
      <c r="F138" s="32"/>
      <c r="G138" s="32"/>
      <c r="H138" s="28" t="str">
        <f aca="false">IF(COUNTA(C138:G138)=0,"",IF(AND(C138="Yes",D138="Yes",E138="Yes",F138="Yes",G138="No"),"Yes","No"))</f>
        <v/>
      </c>
      <c r="I138" s="32"/>
      <c r="J138" s="32"/>
    </row>
    <row r="139" customFormat="false" ht="15" hidden="false" customHeight="false" outlineLevel="0" collapsed="false">
      <c r="A139" s="32"/>
      <c r="B139" s="32"/>
      <c r="C139" s="32"/>
      <c r="D139" s="32"/>
      <c r="E139" s="32"/>
      <c r="F139" s="32"/>
      <c r="G139" s="32"/>
      <c r="H139" s="28" t="str">
        <f aca="false">IF(COUNTA(C139:G139)=0,"",IF(AND(C139="Yes",D139="Yes",E139="Yes",F139="Yes",G139="No"),"Yes","No"))</f>
        <v/>
      </c>
      <c r="I139" s="32"/>
      <c r="J139" s="32"/>
    </row>
    <row r="140" customFormat="false" ht="15" hidden="false" customHeight="false" outlineLevel="0" collapsed="false">
      <c r="A140" s="32"/>
      <c r="B140" s="32"/>
      <c r="C140" s="32"/>
      <c r="D140" s="32"/>
      <c r="E140" s="32"/>
      <c r="F140" s="32"/>
      <c r="G140" s="32"/>
      <c r="H140" s="28" t="str">
        <f aca="false">IF(COUNTA(C140:G140)=0,"",IF(AND(C140="Yes",D140="Yes",E140="Yes",F140="Yes",G140="No"),"Yes","No"))</f>
        <v/>
      </c>
      <c r="I140" s="32"/>
      <c r="J140" s="32"/>
    </row>
    <row r="141" customFormat="false" ht="15" hidden="false" customHeight="false" outlineLevel="0" collapsed="false">
      <c r="A141" s="32"/>
      <c r="B141" s="32"/>
      <c r="C141" s="32"/>
      <c r="D141" s="32"/>
      <c r="E141" s="32"/>
      <c r="F141" s="32"/>
      <c r="G141" s="32"/>
      <c r="H141" s="28" t="str">
        <f aca="false">IF(COUNTA(C141:G141)=0,"",IF(AND(C141="Yes",D141="Yes",E141="Yes",F141="Yes",G141="No"),"Yes","No"))</f>
        <v/>
      </c>
      <c r="I141" s="32"/>
      <c r="J141" s="32"/>
    </row>
    <row r="142" customFormat="false" ht="15" hidden="false" customHeight="false" outlineLevel="0" collapsed="false">
      <c r="A142" s="32"/>
      <c r="B142" s="32"/>
      <c r="C142" s="32"/>
      <c r="D142" s="32"/>
      <c r="E142" s="32"/>
      <c r="F142" s="32"/>
      <c r="G142" s="32"/>
      <c r="H142" s="28" t="str">
        <f aca="false">IF(COUNTA(C142:G142)=0,"",IF(AND(C142="Yes",D142="Yes",E142="Yes",F142="Yes",G142="No"),"Yes","No"))</f>
        <v/>
      </c>
      <c r="I142" s="32"/>
      <c r="J142" s="32"/>
    </row>
    <row r="143" customFormat="false" ht="15" hidden="false" customHeight="false" outlineLevel="0" collapsed="false">
      <c r="A143" s="32"/>
      <c r="B143" s="32"/>
      <c r="C143" s="32"/>
      <c r="D143" s="32"/>
      <c r="E143" s="32"/>
      <c r="F143" s="32"/>
      <c r="G143" s="32"/>
      <c r="H143" s="28" t="str">
        <f aca="false">IF(COUNTA(C143:G143)=0,"",IF(AND(C143="Yes",D143="Yes",E143="Yes",F143="Yes",G143="No"),"Yes","No"))</f>
        <v/>
      </c>
      <c r="I143" s="32"/>
      <c r="J143" s="32"/>
    </row>
    <row r="144" customFormat="false" ht="15" hidden="false" customHeight="false" outlineLevel="0" collapsed="false">
      <c r="A144" s="32"/>
      <c r="B144" s="32"/>
      <c r="C144" s="32"/>
      <c r="D144" s="32"/>
      <c r="E144" s="32"/>
      <c r="F144" s="32"/>
      <c r="G144" s="32"/>
      <c r="H144" s="28" t="str">
        <f aca="false">IF(COUNTA(C144:G144)=0,"",IF(AND(C144="Yes",D144="Yes",E144="Yes",F144="Yes",G144="No"),"Yes","No"))</f>
        <v/>
      </c>
      <c r="I144" s="32"/>
      <c r="J144" s="32"/>
    </row>
    <row r="145" customFormat="false" ht="15" hidden="false" customHeight="false" outlineLevel="0" collapsed="false">
      <c r="A145" s="32"/>
      <c r="B145" s="32"/>
      <c r="C145" s="32"/>
      <c r="D145" s="32"/>
      <c r="E145" s="32"/>
      <c r="F145" s="32"/>
      <c r="G145" s="32"/>
      <c r="H145" s="28" t="str">
        <f aca="false">IF(COUNTA(C145:G145)=0,"",IF(AND(C145="Yes",D145="Yes",E145="Yes",F145="Yes",G145="No"),"Yes","No"))</f>
        <v/>
      </c>
      <c r="I145" s="32"/>
      <c r="J145" s="32"/>
    </row>
    <row r="146" customFormat="false" ht="15" hidden="false" customHeight="false" outlineLevel="0" collapsed="false">
      <c r="A146" s="32"/>
      <c r="B146" s="32"/>
      <c r="C146" s="32"/>
      <c r="D146" s="32"/>
      <c r="E146" s="32"/>
      <c r="F146" s="32"/>
      <c r="G146" s="32"/>
      <c r="H146" s="28" t="str">
        <f aca="false">IF(COUNTA(C146:G146)=0,"",IF(AND(C146="Yes",D146="Yes",E146="Yes",F146="Yes",G146="No"),"Yes","No"))</f>
        <v/>
      </c>
      <c r="I146" s="32"/>
      <c r="J146" s="32"/>
    </row>
    <row r="147" customFormat="false" ht="15" hidden="false" customHeight="false" outlineLevel="0" collapsed="false">
      <c r="A147" s="32"/>
      <c r="B147" s="32"/>
      <c r="C147" s="32"/>
      <c r="D147" s="32"/>
      <c r="E147" s="32"/>
      <c r="F147" s="32"/>
      <c r="G147" s="32"/>
      <c r="H147" s="28" t="str">
        <f aca="false">IF(COUNTA(C147:G147)=0,"",IF(AND(C147="Yes",D147="Yes",E147="Yes",F147="Yes",G147="No"),"Yes","No"))</f>
        <v/>
      </c>
      <c r="I147" s="32"/>
      <c r="J147" s="32"/>
    </row>
    <row r="148" customFormat="false" ht="15" hidden="false" customHeight="false" outlineLevel="0" collapsed="false">
      <c r="A148" s="32"/>
      <c r="B148" s="32"/>
      <c r="C148" s="32"/>
      <c r="D148" s="32"/>
      <c r="E148" s="32"/>
      <c r="F148" s="32"/>
      <c r="G148" s="32"/>
      <c r="H148" s="28" t="str">
        <f aca="false">IF(COUNTA(C148:G148)=0,"",IF(AND(C148="Yes",D148="Yes",E148="Yes",F148="Yes",G148="No"),"Yes","No"))</f>
        <v/>
      </c>
      <c r="I148" s="32"/>
      <c r="J148" s="32"/>
    </row>
    <row r="149" customFormat="false" ht="15" hidden="false" customHeight="false" outlineLevel="0" collapsed="false">
      <c r="A149" s="32"/>
      <c r="B149" s="32"/>
      <c r="C149" s="32"/>
      <c r="D149" s="32"/>
      <c r="E149" s="32"/>
      <c r="F149" s="32"/>
      <c r="G149" s="32"/>
      <c r="H149" s="28" t="str">
        <f aca="false">IF(COUNTA(C149:G149)=0,"",IF(AND(C149="Yes",D149="Yes",E149="Yes",F149="Yes",G149="No"),"Yes","No"))</f>
        <v/>
      </c>
      <c r="I149" s="32"/>
      <c r="J149" s="32"/>
    </row>
    <row r="150" customFormat="false" ht="15" hidden="false" customHeight="false" outlineLevel="0" collapsed="false">
      <c r="A150" s="32"/>
      <c r="B150" s="32"/>
      <c r="C150" s="32"/>
      <c r="D150" s="32"/>
      <c r="E150" s="32"/>
      <c r="F150" s="32"/>
      <c r="G150" s="32"/>
      <c r="H150" s="28" t="str">
        <f aca="false">IF(COUNTA(C150:G150)=0,"",IF(AND(C150="Yes",D150="Yes",E150="Yes",F150="Yes",G150="No"),"Yes","No"))</f>
        <v/>
      </c>
      <c r="I150" s="32"/>
      <c r="J150" s="32"/>
    </row>
    <row r="151" customFormat="false" ht="15" hidden="false" customHeight="false" outlineLevel="0" collapsed="false">
      <c r="A151" s="32"/>
      <c r="B151" s="32"/>
      <c r="C151" s="32"/>
      <c r="D151" s="32"/>
      <c r="E151" s="32"/>
      <c r="F151" s="32"/>
      <c r="G151" s="32"/>
      <c r="H151" s="28" t="str">
        <f aca="false">IF(COUNTA(C151:G151)=0,"",IF(AND(C151="Yes",D151="Yes",E151="Yes",F151="Yes",G151="No"),"Yes","No"))</f>
        <v/>
      </c>
      <c r="I151" s="32"/>
      <c r="J151" s="32"/>
    </row>
    <row r="152" customFormat="false" ht="15" hidden="false" customHeight="false" outlineLevel="0" collapsed="false">
      <c r="A152" s="32"/>
      <c r="B152" s="32"/>
      <c r="C152" s="32"/>
      <c r="D152" s="32"/>
      <c r="E152" s="32"/>
      <c r="F152" s="32"/>
      <c r="G152" s="32"/>
      <c r="H152" s="28" t="str">
        <f aca="false">IF(COUNTA(C152:G152)=0,"",IF(AND(C152="Yes",D152="Yes",E152="Yes",F152="Yes",G152="No"),"Yes","No"))</f>
        <v/>
      </c>
      <c r="I152" s="32"/>
      <c r="J152" s="32"/>
    </row>
    <row r="153" customFormat="false" ht="15" hidden="false" customHeight="false" outlineLevel="0" collapsed="false">
      <c r="A153" s="32"/>
      <c r="B153" s="32"/>
      <c r="C153" s="32"/>
      <c r="D153" s="32"/>
      <c r="E153" s="32"/>
      <c r="F153" s="32"/>
      <c r="G153" s="32"/>
      <c r="H153" s="28" t="str">
        <f aca="false">IF(COUNTA(C153:G153)=0,"",IF(AND(C153="Yes",D153="Yes",E153="Yes",F153="Yes",G153="No"),"Yes","No"))</f>
        <v/>
      </c>
      <c r="I153" s="32"/>
      <c r="J153" s="32"/>
    </row>
    <row r="154" customFormat="false" ht="15" hidden="false" customHeight="false" outlineLevel="0" collapsed="false">
      <c r="A154" s="32"/>
      <c r="B154" s="32"/>
      <c r="C154" s="32"/>
      <c r="D154" s="32"/>
      <c r="E154" s="32"/>
      <c r="F154" s="32"/>
      <c r="G154" s="32"/>
      <c r="H154" s="28" t="str">
        <f aca="false">IF(COUNTA(C154:G154)=0,"",IF(AND(C154="Yes",D154="Yes",E154="Yes",F154="Yes",G154="No"),"Yes","No"))</f>
        <v/>
      </c>
      <c r="I154" s="32"/>
      <c r="J154" s="32"/>
    </row>
    <row r="155" customFormat="false" ht="15" hidden="false" customHeight="false" outlineLevel="0" collapsed="false">
      <c r="A155" s="32"/>
      <c r="B155" s="32"/>
      <c r="C155" s="32"/>
      <c r="D155" s="32"/>
      <c r="E155" s="32"/>
      <c r="F155" s="32"/>
      <c r="G155" s="32"/>
      <c r="H155" s="28" t="str">
        <f aca="false">IF(COUNTA(C155:G155)=0,"",IF(AND(C155="Yes",D155="Yes",E155="Yes",F155="Yes",G155="No"),"Yes","No"))</f>
        <v/>
      </c>
      <c r="I155" s="32"/>
      <c r="J155" s="32"/>
    </row>
    <row r="156" customFormat="false" ht="15" hidden="false" customHeight="false" outlineLevel="0" collapsed="false">
      <c r="A156" s="32"/>
      <c r="B156" s="32"/>
      <c r="C156" s="32"/>
      <c r="D156" s="32"/>
      <c r="E156" s="32"/>
      <c r="F156" s="32"/>
      <c r="G156" s="32"/>
      <c r="H156" s="28" t="str">
        <f aca="false">IF(COUNTA(C156:G156)=0,"",IF(AND(C156="Yes",D156="Yes",E156="Yes",F156="Yes",G156="No"),"Yes","No"))</f>
        <v/>
      </c>
      <c r="I156" s="32"/>
      <c r="J156" s="32"/>
    </row>
    <row r="157" customFormat="false" ht="15" hidden="false" customHeight="false" outlineLevel="0" collapsed="false">
      <c r="A157" s="32"/>
      <c r="B157" s="32"/>
      <c r="C157" s="32"/>
      <c r="D157" s="32"/>
      <c r="E157" s="32"/>
      <c r="F157" s="32"/>
      <c r="G157" s="32"/>
      <c r="H157" s="28" t="str">
        <f aca="false">IF(COUNTA(C157:G157)=0,"",IF(AND(C157="Yes",D157="Yes",E157="Yes",F157="Yes",G157="No"),"Yes","No"))</f>
        <v/>
      </c>
      <c r="I157" s="32"/>
      <c r="J157" s="32"/>
    </row>
    <row r="158" customFormat="false" ht="15" hidden="false" customHeight="false" outlineLevel="0" collapsed="false">
      <c r="A158" s="32"/>
      <c r="B158" s="32"/>
      <c r="C158" s="32"/>
      <c r="D158" s="32"/>
      <c r="E158" s="32"/>
      <c r="F158" s="32"/>
      <c r="G158" s="32"/>
      <c r="H158" s="28" t="str">
        <f aca="false">IF(COUNTA(C158:G158)=0,"",IF(AND(C158="Yes",D158="Yes",E158="Yes",F158="Yes",G158="No"),"Yes","No"))</f>
        <v/>
      </c>
      <c r="I158" s="32"/>
      <c r="J158" s="32"/>
    </row>
    <row r="159" customFormat="false" ht="15" hidden="false" customHeight="false" outlineLevel="0" collapsed="false">
      <c r="A159" s="32"/>
      <c r="B159" s="32"/>
      <c r="C159" s="32"/>
      <c r="D159" s="32"/>
      <c r="E159" s="32"/>
      <c r="F159" s="32"/>
      <c r="G159" s="32"/>
      <c r="H159" s="28" t="str">
        <f aca="false">IF(COUNTA(C159:G159)=0,"",IF(AND(C159="Yes",D159="Yes",E159="Yes",F159="Yes",G159="No"),"Yes","No"))</f>
        <v/>
      </c>
      <c r="I159" s="32"/>
      <c r="J159" s="32"/>
    </row>
    <row r="160" customFormat="false" ht="15" hidden="false" customHeight="false" outlineLevel="0" collapsed="false">
      <c r="A160" s="32"/>
      <c r="B160" s="32"/>
      <c r="C160" s="32"/>
      <c r="D160" s="32"/>
      <c r="E160" s="32"/>
      <c r="F160" s="32"/>
      <c r="G160" s="32"/>
      <c r="H160" s="28" t="str">
        <f aca="false">IF(COUNTA(C160:G160)=0,"",IF(AND(C160="Yes",D160="Yes",E160="Yes",F160="Yes",G160="No"),"Yes","No"))</f>
        <v/>
      </c>
      <c r="I160" s="32"/>
      <c r="J160" s="32"/>
    </row>
    <row r="161" customFormat="false" ht="15" hidden="false" customHeight="false" outlineLevel="0" collapsed="false">
      <c r="A161" s="32"/>
      <c r="B161" s="32"/>
      <c r="C161" s="32"/>
      <c r="D161" s="32"/>
      <c r="E161" s="32"/>
      <c r="F161" s="32"/>
      <c r="G161" s="32"/>
      <c r="H161" s="28" t="str">
        <f aca="false">IF(COUNTA(C161:G161)=0,"",IF(AND(C161="Yes",D161="Yes",E161="Yes",F161="Yes",G161="No"),"Yes","No"))</f>
        <v/>
      </c>
      <c r="I161" s="32"/>
      <c r="J161" s="32"/>
    </row>
    <row r="162" customFormat="false" ht="15" hidden="false" customHeight="false" outlineLevel="0" collapsed="false">
      <c r="A162" s="32"/>
      <c r="B162" s="32"/>
      <c r="C162" s="32"/>
      <c r="D162" s="32"/>
      <c r="E162" s="32"/>
      <c r="F162" s="32"/>
      <c r="G162" s="32"/>
      <c r="H162" s="28" t="str">
        <f aca="false">IF(COUNTA(C162:G162)=0,"",IF(AND(C162="Yes",D162="Yes",E162="Yes",F162="Yes",G162="No"),"Yes","No"))</f>
        <v/>
      </c>
      <c r="I162" s="32"/>
      <c r="J162" s="32"/>
    </row>
    <row r="163" customFormat="false" ht="15" hidden="false" customHeight="false" outlineLevel="0" collapsed="false">
      <c r="A163" s="32"/>
      <c r="B163" s="32"/>
      <c r="C163" s="32"/>
      <c r="D163" s="32"/>
      <c r="E163" s="32"/>
      <c r="F163" s="32"/>
      <c r="G163" s="32"/>
      <c r="H163" s="28" t="str">
        <f aca="false">IF(COUNTA(C163:G163)=0,"",IF(AND(C163="Yes",D163="Yes",E163="Yes",F163="Yes",G163="No"),"Yes","No"))</f>
        <v/>
      </c>
      <c r="I163" s="32"/>
      <c r="J163" s="32"/>
    </row>
    <row r="164" customFormat="false" ht="15" hidden="false" customHeight="false" outlineLevel="0" collapsed="false">
      <c r="A164" s="32"/>
      <c r="B164" s="32"/>
      <c r="C164" s="32"/>
      <c r="D164" s="32"/>
      <c r="E164" s="32"/>
      <c r="F164" s="32"/>
      <c r="G164" s="32"/>
      <c r="H164" s="28" t="str">
        <f aca="false">IF(COUNTA(C164:G164)=0,"",IF(AND(C164="Yes",D164="Yes",E164="Yes",F164="Yes",G164="No"),"Yes","No"))</f>
        <v/>
      </c>
      <c r="I164" s="32"/>
      <c r="J164" s="32"/>
    </row>
    <row r="165" customFormat="false" ht="15" hidden="false" customHeight="false" outlineLevel="0" collapsed="false">
      <c r="A165" s="32"/>
      <c r="B165" s="32"/>
      <c r="C165" s="32"/>
      <c r="D165" s="32"/>
      <c r="E165" s="32"/>
      <c r="F165" s="32"/>
      <c r="G165" s="32"/>
      <c r="H165" s="28" t="str">
        <f aca="false">IF(COUNTA(C165:G165)=0,"",IF(AND(C165="Yes",D165="Yes",E165="Yes",F165="Yes",G165="No"),"Yes","No"))</f>
        <v/>
      </c>
      <c r="I165" s="32"/>
      <c r="J165" s="32"/>
    </row>
    <row r="166" customFormat="false" ht="15" hidden="false" customHeight="false" outlineLevel="0" collapsed="false">
      <c r="A166" s="32"/>
      <c r="B166" s="32"/>
      <c r="C166" s="32"/>
      <c r="D166" s="32"/>
      <c r="E166" s="32"/>
      <c r="F166" s="32"/>
      <c r="G166" s="32"/>
      <c r="H166" s="28" t="str">
        <f aca="false">IF(COUNTA(C166:G166)=0,"",IF(AND(C166="Yes",D166="Yes",E166="Yes",F166="Yes",G166="No"),"Yes","No"))</f>
        <v/>
      </c>
      <c r="I166" s="32"/>
      <c r="J166" s="32"/>
    </row>
    <row r="167" customFormat="false" ht="15" hidden="false" customHeight="false" outlineLevel="0" collapsed="false">
      <c r="A167" s="32"/>
      <c r="B167" s="32"/>
      <c r="C167" s="32"/>
      <c r="D167" s="32"/>
      <c r="E167" s="32"/>
      <c r="F167" s="32"/>
      <c r="G167" s="32"/>
      <c r="H167" s="28" t="str">
        <f aca="false">IF(COUNTA(C167:G167)=0,"",IF(AND(C167="Yes",D167="Yes",E167="Yes",F167="Yes",G167="No"),"Yes","No"))</f>
        <v/>
      </c>
      <c r="I167" s="32"/>
      <c r="J167" s="32"/>
    </row>
    <row r="168" customFormat="false" ht="15" hidden="false" customHeight="false" outlineLevel="0" collapsed="false">
      <c r="A168" s="32"/>
      <c r="B168" s="32"/>
      <c r="C168" s="32"/>
      <c r="D168" s="32"/>
      <c r="E168" s="32"/>
      <c r="F168" s="32"/>
      <c r="G168" s="32"/>
      <c r="H168" s="28" t="str">
        <f aca="false">IF(COUNTA(C168:G168)=0,"",IF(AND(C168="Yes",D168="Yes",E168="Yes",F168="Yes",G168="No"),"Yes","No"))</f>
        <v/>
      </c>
      <c r="I168" s="32"/>
      <c r="J168" s="32"/>
    </row>
    <row r="169" customFormat="false" ht="15" hidden="false" customHeight="false" outlineLevel="0" collapsed="false">
      <c r="A169" s="32"/>
      <c r="B169" s="32"/>
      <c r="C169" s="32"/>
      <c r="D169" s="32"/>
      <c r="E169" s="32"/>
      <c r="F169" s="32"/>
      <c r="G169" s="32"/>
      <c r="H169" s="28" t="str">
        <f aca="false">IF(COUNTA(C169:G169)=0,"",IF(AND(C169="Yes",D169="Yes",E169="Yes",F169="Yes",G169="No"),"Yes","No"))</f>
        <v/>
      </c>
      <c r="I169" s="32"/>
      <c r="J169" s="32"/>
    </row>
    <row r="170" customFormat="false" ht="15" hidden="false" customHeight="false" outlineLevel="0" collapsed="false">
      <c r="A170" s="32"/>
      <c r="B170" s="32"/>
      <c r="C170" s="32"/>
      <c r="D170" s="32"/>
      <c r="E170" s="32"/>
      <c r="F170" s="32"/>
      <c r="G170" s="32"/>
      <c r="H170" s="28" t="str">
        <f aca="false">IF(COUNTA(C170:G170)=0,"",IF(AND(C170="Yes",D170="Yes",E170="Yes",F170="Yes",G170="No"),"Yes","No"))</f>
        <v/>
      </c>
      <c r="I170" s="32"/>
      <c r="J170" s="32"/>
    </row>
    <row r="171" customFormat="false" ht="15" hidden="false" customHeight="false" outlineLevel="0" collapsed="false">
      <c r="A171" s="32"/>
      <c r="B171" s="32"/>
      <c r="C171" s="32"/>
      <c r="D171" s="32"/>
      <c r="E171" s="32"/>
      <c r="F171" s="32"/>
      <c r="G171" s="32"/>
      <c r="H171" s="28" t="str">
        <f aca="false">IF(COUNTA(C171:G171)=0,"",IF(AND(C171="Yes",D171="Yes",E171="Yes",F171="Yes",G171="No"),"Yes","No"))</f>
        <v/>
      </c>
      <c r="I171" s="32"/>
      <c r="J171" s="32"/>
    </row>
    <row r="172" customFormat="false" ht="15" hidden="false" customHeight="false" outlineLevel="0" collapsed="false">
      <c r="A172" s="32"/>
      <c r="B172" s="32"/>
      <c r="C172" s="32"/>
      <c r="D172" s="32"/>
      <c r="E172" s="32"/>
      <c r="F172" s="32"/>
      <c r="G172" s="32"/>
      <c r="H172" s="28" t="str">
        <f aca="false">IF(COUNTA(C172:G172)=0,"",IF(AND(C172="Yes",D172="Yes",E172="Yes",F172="Yes",G172="No"),"Yes","No"))</f>
        <v/>
      </c>
      <c r="I172" s="32"/>
      <c r="J172" s="32"/>
    </row>
    <row r="173" customFormat="false" ht="15" hidden="false" customHeight="false" outlineLevel="0" collapsed="false">
      <c r="A173" s="32"/>
      <c r="B173" s="32"/>
      <c r="C173" s="32"/>
      <c r="D173" s="32"/>
      <c r="E173" s="32"/>
      <c r="F173" s="32"/>
      <c r="G173" s="32"/>
      <c r="H173" s="28" t="str">
        <f aca="false">IF(COUNTA(C173:G173)=0,"",IF(AND(C173="Yes",D173="Yes",E173="Yes",F173="Yes",G173="No"),"Yes","No"))</f>
        <v/>
      </c>
      <c r="I173" s="32"/>
      <c r="J173" s="32"/>
    </row>
    <row r="174" customFormat="false" ht="15" hidden="false" customHeight="false" outlineLevel="0" collapsed="false">
      <c r="A174" s="32"/>
      <c r="B174" s="32"/>
      <c r="C174" s="32"/>
      <c r="D174" s="32"/>
      <c r="E174" s="32"/>
      <c r="F174" s="32"/>
      <c r="G174" s="32"/>
      <c r="H174" s="28" t="str">
        <f aca="false">IF(COUNTA(C174:G174)=0,"",IF(AND(C174="Yes",D174="Yes",E174="Yes",F174="Yes",G174="No"),"Yes","No"))</f>
        <v/>
      </c>
      <c r="I174" s="32"/>
      <c r="J174" s="32"/>
    </row>
    <row r="175" customFormat="false" ht="15" hidden="false" customHeight="false" outlineLevel="0" collapsed="false">
      <c r="A175" s="32"/>
      <c r="B175" s="32"/>
      <c r="C175" s="32"/>
      <c r="D175" s="32"/>
      <c r="E175" s="32"/>
      <c r="F175" s="32"/>
      <c r="G175" s="32"/>
      <c r="H175" s="28" t="str">
        <f aca="false">IF(COUNTA(C175:G175)=0,"",IF(AND(C175="Yes",D175="Yes",E175="Yes",F175="Yes",G175="No"),"Yes","No"))</f>
        <v/>
      </c>
      <c r="I175" s="32"/>
      <c r="J175" s="32"/>
    </row>
    <row r="176" customFormat="false" ht="15" hidden="false" customHeight="false" outlineLevel="0" collapsed="false">
      <c r="A176" s="32"/>
      <c r="B176" s="32"/>
      <c r="C176" s="32"/>
      <c r="D176" s="32"/>
      <c r="E176" s="32"/>
      <c r="F176" s="32"/>
      <c r="G176" s="32"/>
      <c r="H176" s="28" t="str">
        <f aca="false">IF(COUNTA(C176:G176)=0,"",IF(AND(C176="Yes",D176="Yes",E176="Yes",F176="Yes",G176="No"),"Yes","No"))</f>
        <v/>
      </c>
      <c r="I176" s="32"/>
      <c r="J176" s="32"/>
    </row>
    <row r="177" customFormat="false" ht="15" hidden="false" customHeight="false" outlineLevel="0" collapsed="false">
      <c r="A177" s="32"/>
      <c r="B177" s="32"/>
      <c r="C177" s="32"/>
      <c r="D177" s="32"/>
      <c r="E177" s="32"/>
      <c r="F177" s="32"/>
      <c r="G177" s="32"/>
      <c r="H177" s="28" t="str">
        <f aca="false">IF(COUNTA(C177:G177)=0,"",IF(AND(C177="Yes",D177="Yes",E177="Yes",F177="Yes",G177="No"),"Yes","No"))</f>
        <v/>
      </c>
      <c r="I177" s="32"/>
      <c r="J177" s="32"/>
    </row>
    <row r="178" customFormat="false" ht="15" hidden="false" customHeight="false" outlineLevel="0" collapsed="false">
      <c r="A178" s="32"/>
      <c r="B178" s="32"/>
      <c r="C178" s="32"/>
      <c r="D178" s="32"/>
      <c r="E178" s="32"/>
      <c r="F178" s="32"/>
      <c r="G178" s="32"/>
      <c r="H178" s="28" t="str">
        <f aca="false">IF(COUNTA(C178:G178)=0,"",IF(AND(C178="Yes",D178="Yes",E178="Yes",F178="Yes",G178="No"),"Yes","No"))</f>
        <v/>
      </c>
      <c r="I178" s="32"/>
      <c r="J178" s="32"/>
    </row>
    <row r="179" customFormat="false" ht="15" hidden="false" customHeight="false" outlineLevel="0" collapsed="false">
      <c r="A179" s="32"/>
      <c r="B179" s="32"/>
      <c r="C179" s="32"/>
      <c r="D179" s="32"/>
      <c r="E179" s="32"/>
      <c r="F179" s="32"/>
      <c r="G179" s="32"/>
      <c r="H179" s="28" t="str">
        <f aca="false">IF(COUNTA(C179:G179)=0,"",IF(AND(C179="Yes",D179="Yes",E179="Yes",F179="Yes",G179="No"),"Yes","No"))</f>
        <v/>
      </c>
      <c r="I179" s="32"/>
      <c r="J179" s="32"/>
    </row>
    <row r="180" customFormat="false" ht="15" hidden="false" customHeight="false" outlineLevel="0" collapsed="false">
      <c r="A180" s="32"/>
      <c r="B180" s="32"/>
      <c r="C180" s="32"/>
      <c r="D180" s="32"/>
      <c r="E180" s="32"/>
      <c r="F180" s="32"/>
      <c r="G180" s="32"/>
      <c r="H180" s="28" t="str">
        <f aca="false">IF(COUNTA(C180:G180)=0,"",IF(AND(C180="Yes",D180="Yes",E180="Yes",F180="Yes",G180="No"),"Yes","No"))</f>
        <v/>
      </c>
      <c r="I180" s="32"/>
      <c r="J180" s="32"/>
    </row>
    <row r="181" customFormat="false" ht="15" hidden="false" customHeight="false" outlineLevel="0" collapsed="false">
      <c r="A181" s="32"/>
      <c r="B181" s="32"/>
      <c r="C181" s="32"/>
      <c r="D181" s="32"/>
      <c r="E181" s="32"/>
      <c r="F181" s="32"/>
      <c r="G181" s="32"/>
      <c r="H181" s="28" t="str">
        <f aca="false">IF(COUNTA(C181:G181)=0,"",IF(AND(C181="Yes",D181="Yes",E181="Yes",F181="Yes",G181="No"),"Yes","No"))</f>
        <v/>
      </c>
      <c r="I181" s="32"/>
      <c r="J181" s="32"/>
    </row>
    <row r="182" customFormat="false" ht="15" hidden="false" customHeight="false" outlineLevel="0" collapsed="false">
      <c r="A182" s="32"/>
      <c r="B182" s="32"/>
      <c r="C182" s="32"/>
      <c r="D182" s="32"/>
      <c r="E182" s="32"/>
      <c r="F182" s="32"/>
      <c r="G182" s="32"/>
      <c r="H182" s="28" t="str">
        <f aca="false">IF(COUNTA(C182:G182)=0,"",IF(AND(C182="Yes",D182="Yes",E182="Yes",F182="Yes",G182="No"),"Yes","No"))</f>
        <v/>
      </c>
      <c r="I182" s="32"/>
      <c r="J182" s="32"/>
    </row>
    <row r="183" customFormat="false" ht="15" hidden="false" customHeight="false" outlineLevel="0" collapsed="false">
      <c r="A183" s="32"/>
      <c r="B183" s="32"/>
      <c r="C183" s="32"/>
      <c r="D183" s="32"/>
      <c r="E183" s="32"/>
      <c r="F183" s="32"/>
      <c r="G183" s="32"/>
      <c r="H183" s="28" t="str">
        <f aca="false">IF(COUNTA(C183:G183)=0,"",IF(AND(C183="Yes",D183="Yes",E183="Yes",F183="Yes",G183="No"),"Yes","No"))</f>
        <v/>
      </c>
      <c r="I183" s="32"/>
      <c r="J183" s="32"/>
    </row>
    <row r="184" customFormat="false" ht="15" hidden="false" customHeight="false" outlineLevel="0" collapsed="false">
      <c r="A184" s="32"/>
      <c r="B184" s="32"/>
      <c r="C184" s="32"/>
      <c r="D184" s="32"/>
      <c r="E184" s="32"/>
      <c r="F184" s="32"/>
      <c r="G184" s="32"/>
      <c r="H184" s="28" t="str">
        <f aca="false">IF(COUNTA(C184:G184)=0,"",IF(AND(C184="Yes",D184="Yes",E184="Yes",F184="Yes",G184="No"),"Yes","No"))</f>
        <v/>
      </c>
      <c r="I184" s="32"/>
      <c r="J184" s="32"/>
    </row>
    <row r="185" customFormat="false" ht="15" hidden="false" customHeight="false" outlineLevel="0" collapsed="false">
      <c r="A185" s="32"/>
      <c r="B185" s="32"/>
      <c r="C185" s="32"/>
      <c r="D185" s="32"/>
      <c r="E185" s="32"/>
      <c r="F185" s="32"/>
      <c r="G185" s="32"/>
      <c r="H185" s="28" t="str">
        <f aca="false">IF(COUNTA(C185:G185)=0,"",IF(AND(C185="Yes",D185="Yes",E185="Yes",F185="Yes",G185="No"),"Yes","No"))</f>
        <v/>
      </c>
      <c r="I185" s="32"/>
      <c r="J185" s="32"/>
    </row>
    <row r="186" customFormat="false" ht="15" hidden="false" customHeight="false" outlineLevel="0" collapsed="false">
      <c r="A186" s="32"/>
      <c r="B186" s="32"/>
      <c r="C186" s="32"/>
      <c r="D186" s="32"/>
      <c r="E186" s="32"/>
      <c r="F186" s="32"/>
      <c r="G186" s="32"/>
      <c r="H186" s="28" t="str">
        <f aca="false">IF(COUNTA(C186:G186)=0,"",IF(AND(C186="Yes",D186="Yes",E186="Yes",F186="Yes",G186="No"),"Yes","No"))</f>
        <v/>
      </c>
      <c r="I186" s="32"/>
      <c r="J186" s="32"/>
    </row>
    <row r="187" customFormat="false" ht="15" hidden="false" customHeight="false" outlineLevel="0" collapsed="false">
      <c r="A187" s="32"/>
      <c r="B187" s="32"/>
      <c r="C187" s="32"/>
      <c r="D187" s="32"/>
      <c r="E187" s="32"/>
      <c r="F187" s="32"/>
      <c r="G187" s="32"/>
      <c r="H187" s="28" t="str">
        <f aca="false">IF(COUNTA(C187:G187)=0,"",IF(AND(C187="Yes",D187="Yes",E187="Yes",F187="Yes",G187="No"),"Yes","No"))</f>
        <v/>
      </c>
      <c r="I187" s="32"/>
      <c r="J187" s="32"/>
    </row>
    <row r="188" customFormat="false" ht="15" hidden="false" customHeight="false" outlineLevel="0" collapsed="false">
      <c r="A188" s="32"/>
      <c r="B188" s="32"/>
      <c r="C188" s="32"/>
      <c r="D188" s="32"/>
      <c r="E188" s="32"/>
      <c r="F188" s="32"/>
      <c r="G188" s="32"/>
      <c r="H188" s="28" t="str">
        <f aca="false">IF(COUNTA(C188:G188)=0,"",IF(AND(C188="Yes",D188="Yes",E188="Yes",F188="Yes",G188="No"),"Yes","No"))</f>
        <v/>
      </c>
      <c r="I188" s="32"/>
      <c r="J188" s="32"/>
    </row>
    <row r="189" customFormat="false" ht="15" hidden="false" customHeight="false" outlineLevel="0" collapsed="false">
      <c r="A189" s="32"/>
      <c r="B189" s="32"/>
      <c r="C189" s="32"/>
      <c r="D189" s="32"/>
      <c r="E189" s="32"/>
      <c r="F189" s="32"/>
      <c r="G189" s="32"/>
      <c r="H189" s="28" t="str">
        <f aca="false">IF(COUNTA(C189:G189)=0,"",IF(AND(C189="Yes",D189="Yes",E189="Yes",F189="Yes",G189="No"),"Yes","No"))</f>
        <v/>
      </c>
      <c r="I189" s="32"/>
      <c r="J189" s="32"/>
    </row>
    <row r="190" customFormat="false" ht="15" hidden="false" customHeight="false" outlineLevel="0" collapsed="false">
      <c r="A190" s="32"/>
      <c r="B190" s="32"/>
      <c r="C190" s="32"/>
      <c r="D190" s="32"/>
      <c r="E190" s="32"/>
      <c r="F190" s="32"/>
      <c r="G190" s="32"/>
      <c r="H190" s="28" t="str">
        <f aca="false">IF(COUNTA(C190:G190)=0,"",IF(AND(C190="Yes",D190="Yes",E190="Yes",F190="Yes",G190="No"),"Yes","No"))</f>
        <v/>
      </c>
      <c r="I190" s="32"/>
      <c r="J190" s="32"/>
    </row>
    <row r="191" customFormat="false" ht="15" hidden="false" customHeight="false" outlineLevel="0" collapsed="false">
      <c r="A191" s="32"/>
      <c r="B191" s="32"/>
      <c r="C191" s="32"/>
      <c r="D191" s="32"/>
      <c r="E191" s="32"/>
      <c r="F191" s="32"/>
      <c r="G191" s="32"/>
      <c r="H191" s="28" t="str">
        <f aca="false">IF(COUNTA(C191:G191)=0,"",IF(AND(C191="Yes",D191="Yes",E191="Yes",F191="Yes",G191="No"),"Yes","No"))</f>
        <v/>
      </c>
      <c r="I191" s="32"/>
      <c r="J191" s="32"/>
    </row>
    <row r="192" customFormat="false" ht="15" hidden="false" customHeight="false" outlineLevel="0" collapsed="false">
      <c r="A192" s="32"/>
      <c r="B192" s="32"/>
      <c r="C192" s="32"/>
      <c r="D192" s="32"/>
      <c r="E192" s="32"/>
      <c r="F192" s="32"/>
      <c r="G192" s="32"/>
      <c r="H192" s="28" t="str">
        <f aca="false">IF(COUNTA(C192:G192)=0,"",IF(AND(C192="Yes",D192="Yes",E192="Yes",F192="Yes",G192="No"),"Yes","No"))</f>
        <v/>
      </c>
      <c r="I192" s="32"/>
      <c r="J192" s="32"/>
    </row>
    <row r="193" customFormat="false" ht="15" hidden="false" customHeight="false" outlineLevel="0" collapsed="false">
      <c r="A193" s="32"/>
      <c r="B193" s="32"/>
      <c r="C193" s="32"/>
      <c r="D193" s="32"/>
      <c r="E193" s="32"/>
      <c r="F193" s="32"/>
      <c r="G193" s="32"/>
      <c r="H193" s="28" t="str">
        <f aca="false">IF(COUNTA(C193:G193)=0,"",IF(AND(C193="Yes",D193="Yes",E193="Yes",F193="Yes",G193="No"),"Yes","No"))</f>
        <v/>
      </c>
      <c r="I193" s="32"/>
      <c r="J193" s="32"/>
    </row>
    <row r="194" customFormat="false" ht="15" hidden="false" customHeight="false" outlineLevel="0" collapsed="false">
      <c r="A194" s="32"/>
      <c r="B194" s="32"/>
      <c r="C194" s="32"/>
      <c r="D194" s="32"/>
      <c r="E194" s="32"/>
      <c r="F194" s="32"/>
      <c r="G194" s="32"/>
      <c r="H194" s="28" t="str">
        <f aca="false">IF(COUNTA(C194:G194)=0,"",IF(AND(C194="Yes",D194="Yes",E194="Yes",F194="Yes",G194="No"),"Yes","No"))</f>
        <v/>
      </c>
      <c r="I194" s="32"/>
      <c r="J194" s="32"/>
    </row>
    <row r="195" customFormat="false" ht="15" hidden="false" customHeight="false" outlineLevel="0" collapsed="false">
      <c r="A195" s="32"/>
      <c r="B195" s="32"/>
      <c r="C195" s="32"/>
      <c r="D195" s="32"/>
      <c r="E195" s="32"/>
      <c r="F195" s="32"/>
      <c r="G195" s="32"/>
      <c r="H195" s="28" t="str">
        <f aca="false">IF(COUNTA(C195:G195)=0,"",IF(AND(C195="Yes",D195="Yes",E195="Yes",F195="Yes",G195="No"),"Yes","No"))</f>
        <v/>
      </c>
      <c r="I195" s="32"/>
      <c r="J195" s="32"/>
    </row>
    <row r="196" customFormat="false" ht="15" hidden="false" customHeight="false" outlineLevel="0" collapsed="false">
      <c r="A196" s="32"/>
      <c r="B196" s="32"/>
      <c r="C196" s="32"/>
      <c r="D196" s="32"/>
      <c r="E196" s="32"/>
      <c r="F196" s="32"/>
      <c r="G196" s="32"/>
      <c r="H196" s="28" t="str">
        <f aca="false">IF(COUNTA(C196:G196)=0,"",IF(AND(C196="Yes",D196="Yes",E196="Yes",F196="Yes",G196="No"),"Yes","No"))</f>
        <v/>
      </c>
      <c r="I196" s="32"/>
      <c r="J196" s="32"/>
    </row>
    <row r="197" customFormat="false" ht="15" hidden="false" customHeight="false" outlineLevel="0" collapsed="false">
      <c r="A197" s="32"/>
      <c r="B197" s="32"/>
      <c r="C197" s="32"/>
      <c r="D197" s="32"/>
      <c r="E197" s="32"/>
      <c r="F197" s="32"/>
      <c r="G197" s="32"/>
      <c r="H197" s="28" t="str">
        <f aca="false">IF(COUNTA(C197:G197)=0,"",IF(AND(C197="Yes",D197="Yes",E197="Yes",F197="Yes",G197="No"),"Yes","No"))</f>
        <v/>
      </c>
      <c r="I197" s="32"/>
      <c r="J197" s="32"/>
    </row>
    <row r="198" customFormat="false" ht="15" hidden="false" customHeight="false" outlineLevel="0" collapsed="false">
      <c r="A198" s="32"/>
      <c r="B198" s="32"/>
      <c r="C198" s="32"/>
      <c r="D198" s="32"/>
      <c r="E198" s="32"/>
      <c r="F198" s="32"/>
      <c r="G198" s="32"/>
      <c r="H198" s="28" t="str">
        <f aca="false">IF(COUNTA(C198:G198)=0,"",IF(AND(C198="Yes",D198="Yes",E198="Yes",F198="Yes",G198="No"),"Yes","No"))</f>
        <v/>
      </c>
      <c r="I198" s="32"/>
      <c r="J198" s="32"/>
    </row>
    <row r="199" customFormat="false" ht="15" hidden="false" customHeight="false" outlineLevel="0" collapsed="false">
      <c r="A199" s="32"/>
      <c r="B199" s="32"/>
      <c r="C199" s="32"/>
      <c r="D199" s="32"/>
      <c r="E199" s="32"/>
      <c r="F199" s="32"/>
      <c r="G199" s="32"/>
      <c r="H199" s="28" t="str">
        <f aca="false">IF(COUNTA(C199:G199)=0,"",IF(AND(C199="Yes",D199="Yes",E199="Yes",F199="Yes",G199="No"),"Yes","No"))</f>
        <v/>
      </c>
      <c r="I199" s="32"/>
      <c r="J199" s="32"/>
    </row>
    <row r="200" customFormat="false" ht="15" hidden="false" customHeight="false" outlineLevel="0" collapsed="false">
      <c r="A200" s="32"/>
      <c r="B200" s="32"/>
      <c r="C200" s="32"/>
      <c r="D200" s="32"/>
      <c r="E200" s="32"/>
      <c r="F200" s="32"/>
      <c r="G200" s="32"/>
      <c r="H200" s="28" t="str">
        <f aca="false">IF(COUNTA(C200:G200)=0,"",IF(AND(C200="Yes",D200="Yes",E200="Yes",F200="Yes",G200="No"),"Yes","No"))</f>
        <v/>
      </c>
      <c r="I200" s="32"/>
      <c r="J200" s="32"/>
    </row>
    <row r="201" customFormat="false" ht="15" hidden="false" customHeight="false" outlineLevel="0" collapsed="false">
      <c r="A201" s="32"/>
      <c r="B201" s="32"/>
      <c r="C201" s="32"/>
      <c r="D201" s="32"/>
      <c r="E201" s="32"/>
      <c r="F201" s="32"/>
      <c r="G201" s="32"/>
      <c r="H201" s="28" t="str">
        <f aca="false">IF(COUNTA(C201:G201)=0,"",IF(AND(C201="Yes",D201="Yes",E201="Yes",F201="Yes",G201="No"),"Yes","No"))</f>
        <v/>
      </c>
      <c r="I201" s="32"/>
      <c r="J201" s="32"/>
    </row>
    <row r="202" customFormat="false" ht="15" hidden="false" customHeight="false" outlineLevel="0" collapsed="false">
      <c r="A202" s="32"/>
      <c r="B202" s="32"/>
      <c r="C202" s="32"/>
      <c r="D202" s="32"/>
      <c r="E202" s="32"/>
      <c r="F202" s="32"/>
      <c r="G202" s="32"/>
      <c r="H202" s="28" t="str">
        <f aca="false">IF(COUNTA(C202:G202)=0,"",IF(AND(C202="Yes",D202="Yes",E202="Yes",F202="Yes",G202="No"),"Yes","No"))</f>
        <v/>
      </c>
      <c r="I202" s="32"/>
      <c r="J202" s="32"/>
    </row>
    <row r="203" customFormat="false" ht="15" hidden="false" customHeight="false" outlineLevel="0" collapsed="false">
      <c r="A203" s="32"/>
      <c r="B203" s="32"/>
      <c r="C203" s="32"/>
      <c r="D203" s="32"/>
      <c r="E203" s="32"/>
      <c r="F203" s="32"/>
      <c r="G203" s="32"/>
      <c r="H203" s="28" t="str">
        <f aca="false">IF(COUNTA(C203:G203)=0,"",IF(AND(C203="Yes",D203="Yes",E203="Yes",F203="Yes",G203="No"),"Yes","No"))</f>
        <v/>
      </c>
      <c r="I203" s="32"/>
      <c r="J203" s="32"/>
    </row>
    <row r="204" customFormat="false" ht="15" hidden="false" customHeight="false" outlineLevel="0" collapsed="false">
      <c r="A204" s="32"/>
      <c r="B204" s="32"/>
      <c r="C204" s="32"/>
      <c r="D204" s="32"/>
      <c r="E204" s="32"/>
      <c r="F204" s="32"/>
      <c r="G204" s="32"/>
      <c r="H204" s="28" t="str">
        <f aca="false">IF(COUNTA(C204:G204)=0,"",IF(AND(C204="Yes",D204="Yes",E204="Yes",F204="Yes",G204="No"),"Yes","No"))</f>
        <v/>
      </c>
      <c r="I204" s="32"/>
      <c r="J204" s="32"/>
    </row>
    <row r="205" customFormat="false" ht="15" hidden="false" customHeight="false" outlineLevel="0" collapsed="false">
      <c r="A205" s="32"/>
      <c r="B205" s="32"/>
      <c r="C205" s="32"/>
      <c r="D205" s="32"/>
      <c r="E205" s="32"/>
      <c r="F205" s="32"/>
      <c r="G205" s="32"/>
      <c r="H205" s="28" t="str">
        <f aca="false">IF(COUNTA(C205:G205)=0,"",IF(AND(C205="Yes",D205="Yes",E205="Yes",F205="Yes",G205="No"),"Yes","No"))</f>
        <v/>
      </c>
      <c r="I205" s="32"/>
      <c r="J205" s="32"/>
    </row>
    <row r="206" customFormat="false" ht="15" hidden="false" customHeight="false" outlineLevel="0" collapsed="false">
      <c r="A206" s="32"/>
      <c r="B206" s="32"/>
      <c r="C206" s="32"/>
      <c r="D206" s="32"/>
      <c r="E206" s="32"/>
      <c r="F206" s="32"/>
      <c r="G206" s="32"/>
      <c r="H206" s="28" t="str">
        <f aca="false">IF(COUNTA(C206:G206)=0,"",IF(AND(C206="Yes",D206="Yes",E206="Yes",F206="Yes",G206="No"),"Yes","No"))</f>
        <v/>
      </c>
      <c r="I206" s="32"/>
      <c r="J206" s="32"/>
    </row>
    <row r="207" customFormat="false" ht="15" hidden="false" customHeight="false" outlineLevel="0" collapsed="false">
      <c r="A207" s="32"/>
      <c r="B207" s="32"/>
      <c r="C207" s="32"/>
      <c r="D207" s="32"/>
      <c r="E207" s="32"/>
      <c r="F207" s="32"/>
      <c r="G207" s="32"/>
      <c r="H207" s="28" t="str">
        <f aca="false">IF(COUNTA(C207:G207)=0,"",IF(AND(C207="Yes",D207="Yes",E207="Yes",F207="Yes",G207="No"),"Yes","No"))</f>
        <v/>
      </c>
      <c r="I207" s="32"/>
      <c r="J207" s="32"/>
    </row>
    <row r="208" customFormat="false" ht="15" hidden="false" customHeight="false" outlineLevel="0" collapsed="false">
      <c r="A208" s="32"/>
      <c r="B208" s="32"/>
      <c r="C208" s="32"/>
      <c r="D208" s="32"/>
      <c r="E208" s="32"/>
      <c r="F208" s="32"/>
      <c r="G208" s="32"/>
      <c r="H208" s="28" t="str">
        <f aca="false">IF(COUNTA(C208:G208)=0,"",IF(AND(C208="Yes",D208="Yes",E208="Yes",F208="Yes",G208="No"),"Yes","No"))</f>
        <v/>
      </c>
      <c r="I208" s="32"/>
      <c r="J208" s="32"/>
    </row>
    <row r="209" customFormat="false" ht="15" hidden="false" customHeight="false" outlineLevel="0" collapsed="false">
      <c r="A209" s="32"/>
      <c r="B209" s="32"/>
      <c r="C209" s="32"/>
      <c r="D209" s="32"/>
      <c r="E209" s="32"/>
      <c r="F209" s="32"/>
      <c r="G209" s="32"/>
      <c r="H209" s="28" t="str">
        <f aca="false">IF(COUNTA(C209:G209)=0,"",IF(AND(C209="Yes",D209="Yes",E209="Yes",F209="Yes",G209="No"),"Yes","No"))</f>
        <v/>
      </c>
      <c r="I209" s="32"/>
      <c r="J209" s="32"/>
    </row>
    <row r="210" customFormat="false" ht="15" hidden="false" customHeight="false" outlineLevel="0" collapsed="false">
      <c r="A210" s="32"/>
      <c r="B210" s="32"/>
      <c r="C210" s="32"/>
      <c r="D210" s="32"/>
      <c r="E210" s="32"/>
      <c r="F210" s="32"/>
      <c r="G210" s="32"/>
      <c r="H210" s="28" t="str">
        <f aca="false">IF(COUNTA(C210:G210)=0,"",IF(AND(C210="Yes",D210="Yes",E210="Yes",F210="Yes",G210="No"),"Yes","No"))</f>
        <v/>
      </c>
      <c r="I210" s="32"/>
      <c r="J210" s="32"/>
    </row>
    <row r="211" customFormat="false" ht="15" hidden="false" customHeight="false" outlineLevel="0" collapsed="false">
      <c r="A211" s="32"/>
      <c r="B211" s="32"/>
      <c r="C211" s="32"/>
      <c r="D211" s="32"/>
      <c r="E211" s="32"/>
      <c r="F211" s="32"/>
      <c r="G211" s="32"/>
      <c r="H211" s="28" t="str">
        <f aca="false">IF(COUNTA(C211:G211)=0,"",IF(AND(C211="Yes",D211="Yes",E211="Yes",F211="Yes",G211="No"),"Yes","No"))</f>
        <v/>
      </c>
      <c r="I211" s="32"/>
      <c r="J211" s="32"/>
    </row>
    <row r="212" customFormat="false" ht="15" hidden="false" customHeight="false" outlineLevel="0" collapsed="false">
      <c r="A212" s="32"/>
      <c r="B212" s="32"/>
      <c r="C212" s="32"/>
      <c r="D212" s="32"/>
      <c r="E212" s="32"/>
      <c r="F212" s="32"/>
      <c r="G212" s="32"/>
      <c r="H212" s="28" t="str">
        <f aca="false">IF(COUNTA(C212:G212)=0,"",IF(AND(C212="Yes",D212="Yes",E212="Yes",F212="Yes",G212="No"),"Yes","No"))</f>
        <v/>
      </c>
      <c r="I212" s="32"/>
      <c r="J212" s="32"/>
    </row>
    <row r="213" customFormat="false" ht="15" hidden="false" customHeight="false" outlineLevel="0" collapsed="false">
      <c r="A213" s="32"/>
      <c r="B213" s="32"/>
      <c r="C213" s="32"/>
      <c r="D213" s="32"/>
      <c r="E213" s="32"/>
      <c r="F213" s="32"/>
      <c r="G213" s="32"/>
      <c r="H213" s="28" t="str">
        <f aca="false">IF(COUNTA(C213:G213)=0,"",IF(AND(C213="Yes",D213="Yes",E213="Yes",F213="Yes",G213="No"),"Yes","No"))</f>
        <v/>
      </c>
      <c r="I213" s="32"/>
      <c r="J213" s="32"/>
    </row>
    <row r="214" customFormat="false" ht="15" hidden="false" customHeight="false" outlineLevel="0" collapsed="false">
      <c r="A214" s="32"/>
      <c r="B214" s="32"/>
      <c r="C214" s="32"/>
      <c r="D214" s="32"/>
      <c r="E214" s="32"/>
      <c r="F214" s="32"/>
      <c r="G214" s="32"/>
      <c r="H214" s="28" t="str">
        <f aca="false">IF(COUNTA(C214:G214)=0,"",IF(AND(C214="Yes",D214="Yes",E214="Yes",F214="Yes",G214="No"),"Yes","No"))</f>
        <v/>
      </c>
      <c r="I214" s="32"/>
      <c r="J214" s="32"/>
    </row>
    <row r="215" customFormat="false" ht="15" hidden="false" customHeight="false" outlineLevel="0" collapsed="false">
      <c r="A215" s="32"/>
      <c r="B215" s="32"/>
      <c r="C215" s="32"/>
      <c r="D215" s="32"/>
      <c r="E215" s="32"/>
      <c r="F215" s="32"/>
      <c r="G215" s="32"/>
      <c r="H215" s="28" t="str">
        <f aca="false">IF(COUNTA(C215:G215)=0,"",IF(AND(C215="Yes",D215="Yes",E215="Yes",F215="Yes",G215="No"),"Yes","No"))</f>
        <v/>
      </c>
      <c r="I215" s="32"/>
      <c r="J215" s="32"/>
    </row>
    <row r="216" customFormat="false" ht="15" hidden="false" customHeight="false" outlineLevel="0" collapsed="false">
      <c r="A216" s="32"/>
      <c r="B216" s="32"/>
      <c r="C216" s="32"/>
      <c r="D216" s="32"/>
      <c r="E216" s="32"/>
      <c r="F216" s="32"/>
      <c r="G216" s="32"/>
      <c r="H216" s="28" t="str">
        <f aca="false">IF(COUNTA(C216:G216)=0,"",IF(AND(C216="Yes",D216="Yes",E216="Yes",F216="Yes",G216="No"),"Yes","No"))</f>
        <v/>
      </c>
      <c r="I216" s="32"/>
      <c r="J216" s="32"/>
    </row>
    <row r="217" customFormat="false" ht="15" hidden="false" customHeight="false" outlineLevel="0" collapsed="false">
      <c r="A217" s="32"/>
      <c r="B217" s="32"/>
      <c r="C217" s="32"/>
      <c r="D217" s="32"/>
      <c r="E217" s="32"/>
      <c r="F217" s="32"/>
      <c r="G217" s="32"/>
      <c r="H217" s="28" t="str">
        <f aca="false">IF(COUNTA(C217:G217)=0,"",IF(AND(C217="Yes",D217="Yes",E217="Yes",F217="Yes",G217="No"),"Yes","No"))</f>
        <v/>
      </c>
      <c r="I217" s="32"/>
      <c r="J217" s="32"/>
    </row>
    <row r="218" customFormat="false" ht="15" hidden="false" customHeight="false" outlineLevel="0" collapsed="false">
      <c r="A218" s="32"/>
      <c r="B218" s="32"/>
      <c r="C218" s="32"/>
      <c r="D218" s="32"/>
      <c r="E218" s="32"/>
      <c r="F218" s="32"/>
      <c r="G218" s="32"/>
      <c r="H218" s="28" t="str">
        <f aca="false">IF(COUNTA(C218:G218)=0,"",IF(AND(C218="Yes",D218="Yes",E218="Yes",F218="Yes",G218="No"),"Yes","No"))</f>
        <v/>
      </c>
      <c r="I218" s="32"/>
      <c r="J218" s="32"/>
    </row>
    <row r="219" customFormat="false" ht="15" hidden="false" customHeight="false" outlineLevel="0" collapsed="false">
      <c r="A219" s="32"/>
      <c r="B219" s="32"/>
      <c r="C219" s="32"/>
      <c r="D219" s="32"/>
      <c r="E219" s="32"/>
      <c r="F219" s="32"/>
      <c r="G219" s="32"/>
      <c r="H219" s="28" t="str">
        <f aca="false">IF(COUNTA(C219:G219)=0,"",IF(AND(C219="Yes",D219="Yes",E219="Yes",F219="Yes",G219="No"),"Yes","No"))</f>
        <v/>
      </c>
      <c r="I219" s="32"/>
      <c r="J219" s="32"/>
    </row>
    <row r="220" customFormat="false" ht="15" hidden="false" customHeight="false" outlineLevel="0" collapsed="false">
      <c r="A220" s="32"/>
      <c r="B220" s="32"/>
      <c r="C220" s="32"/>
      <c r="D220" s="32"/>
      <c r="E220" s="32"/>
      <c r="F220" s="32"/>
      <c r="G220" s="32"/>
      <c r="H220" s="28" t="str">
        <f aca="false">IF(COUNTA(C220:G220)=0,"",IF(AND(C220="Yes",D220="Yes",E220="Yes",F220="Yes",G220="No"),"Yes","No"))</f>
        <v/>
      </c>
      <c r="I220" s="32"/>
      <c r="J220" s="32"/>
    </row>
    <row r="221" customFormat="false" ht="15" hidden="false" customHeight="false" outlineLevel="0" collapsed="false">
      <c r="A221" s="32"/>
      <c r="B221" s="32"/>
      <c r="C221" s="32"/>
      <c r="D221" s="32"/>
      <c r="E221" s="32"/>
      <c r="F221" s="32"/>
      <c r="G221" s="32"/>
      <c r="H221" s="28" t="str">
        <f aca="false">IF(COUNTA(C221:G221)=0,"",IF(AND(C221="Yes",D221="Yes",E221="Yes",F221="Yes",G221="No"),"Yes","No"))</f>
        <v/>
      </c>
      <c r="I221" s="32"/>
      <c r="J221" s="32"/>
    </row>
    <row r="222" customFormat="false" ht="15" hidden="false" customHeight="false" outlineLevel="0" collapsed="false">
      <c r="A222" s="32"/>
      <c r="B222" s="32"/>
      <c r="C222" s="32"/>
      <c r="D222" s="32"/>
      <c r="E222" s="32"/>
      <c r="F222" s="32"/>
      <c r="G222" s="32"/>
      <c r="H222" s="28" t="str">
        <f aca="false">IF(COUNTA(C222:G222)=0,"",IF(AND(C222="Yes",D222="Yes",E222="Yes",F222="Yes",G222="No"),"Yes","No"))</f>
        <v/>
      </c>
      <c r="I222" s="32"/>
      <c r="J222" s="32"/>
    </row>
    <row r="223" customFormat="false" ht="15" hidden="false" customHeight="false" outlineLevel="0" collapsed="false">
      <c r="A223" s="32"/>
      <c r="B223" s="32"/>
      <c r="C223" s="32"/>
      <c r="D223" s="32"/>
      <c r="E223" s="32"/>
      <c r="F223" s="32"/>
      <c r="G223" s="32"/>
      <c r="H223" s="28" t="str">
        <f aca="false">IF(COUNTA(C223:G223)=0,"",IF(AND(C223="Yes",D223="Yes",E223="Yes",F223="Yes",G223="No"),"Yes","No"))</f>
        <v/>
      </c>
      <c r="I223" s="32"/>
      <c r="J223" s="32"/>
    </row>
    <row r="224" customFormat="false" ht="15" hidden="false" customHeight="false" outlineLevel="0" collapsed="false">
      <c r="A224" s="32"/>
      <c r="B224" s="32"/>
      <c r="C224" s="32"/>
      <c r="D224" s="32"/>
      <c r="E224" s="32"/>
      <c r="F224" s="32"/>
      <c r="G224" s="32"/>
      <c r="H224" s="28" t="str">
        <f aca="false">IF(COUNTA(C224:G224)=0,"",IF(AND(C224="Yes",D224="Yes",E224="Yes",F224="Yes",G224="No"),"Yes","No"))</f>
        <v/>
      </c>
      <c r="I224" s="32"/>
      <c r="J224" s="32"/>
    </row>
    <row r="225" customFormat="false" ht="15" hidden="false" customHeight="false" outlineLevel="0" collapsed="false">
      <c r="A225" s="32"/>
      <c r="B225" s="32"/>
      <c r="C225" s="32"/>
      <c r="D225" s="32"/>
      <c r="E225" s="32"/>
      <c r="F225" s="32"/>
      <c r="G225" s="32"/>
      <c r="H225" s="28" t="str">
        <f aca="false">IF(COUNTA(C225:G225)=0,"",IF(AND(C225="Yes",D225="Yes",E225="Yes",F225="Yes",G225="No"),"Yes","No"))</f>
        <v/>
      </c>
      <c r="I225" s="32"/>
      <c r="J225" s="32"/>
    </row>
    <row r="226" customFormat="false" ht="15" hidden="false" customHeight="false" outlineLevel="0" collapsed="false">
      <c r="A226" s="32"/>
      <c r="B226" s="32"/>
      <c r="C226" s="32"/>
      <c r="D226" s="32"/>
      <c r="E226" s="32"/>
      <c r="F226" s="32"/>
      <c r="G226" s="32"/>
      <c r="H226" s="28" t="str">
        <f aca="false">IF(COUNTA(C226:G226)=0,"",IF(AND(C226="Yes",D226="Yes",E226="Yes",F226="Yes",G226="No"),"Yes","No"))</f>
        <v/>
      </c>
      <c r="I226" s="32"/>
      <c r="J226" s="32"/>
    </row>
    <row r="227" customFormat="false" ht="15" hidden="false" customHeight="false" outlineLevel="0" collapsed="false">
      <c r="A227" s="32"/>
      <c r="B227" s="32"/>
      <c r="C227" s="32"/>
      <c r="D227" s="32"/>
      <c r="E227" s="32"/>
      <c r="F227" s="32"/>
      <c r="G227" s="32"/>
      <c r="H227" s="28" t="str">
        <f aca="false">IF(COUNTA(C227:G227)=0,"",IF(AND(C227="Yes",D227="Yes",E227="Yes",F227="Yes",G227="No"),"Yes","No"))</f>
        <v/>
      </c>
      <c r="I227" s="32"/>
      <c r="J227" s="32"/>
    </row>
    <row r="228" customFormat="false" ht="15" hidden="false" customHeight="false" outlineLevel="0" collapsed="false">
      <c r="A228" s="32"/>
      <c r="B228" s="32"/>
      <c r="C228" s="32"/>
      <c r="D228" s="32"/>
      <c r="E228" s="32"/>
      <c r="F228" s="32"/>
      <c r="G228" s="32"/>
      <c r="H228" s="28" t="str">
        <f aca="false">IF(COUNTA(C228:G228)=0,"",IF(AND(C228="Yes",D228="Yes",E228="Yes",F228="Yes",G228="No"),"Yes","No"))</f>
        <v/>
      </c>
      <c r="I228" s="32"/>
      <c r="J228" s="32"/>
    </row>
    <row r="229" customFormat="false" ht="15" hidden="false" customHeight="false" outlineLevel="0" collapsed="false">
      <c r="A229" s="32"/>
      <c r="B229" s="32"/>
      <c r="C229" s="32"/>
      <c r="D229" s="32"/>
      <c r="E229" s="32"/>
      <c r="F229" s="32"/>
      <c r="G229" s="32"/>
      <c r="H229" s="28" t="str">
        <f aca="false">IF(COUNTA(C229:G229)=0,"",IF(AND(C229="Yes",D229="Yes",E229="Yes",F229="Yes",G229="No"),"Yes","No"))</f>
        <v/>
      </c>
      <c r="I229" s="32"/>
      <c r="J229" s="32"/>
    </row>
    <row r="230" customFormat="false" ht="15" hidden="false" customHeight="false" outlineLevel="0" collapsed="false">
      <c r="A230" s="32"/>
      <c r="B230" s="32"/>
      <c r="C230" s="32"/>
      <c r="D230" s="32"/>
      <c r="E230" s="32"/>
      <c r="F230" s="32"/>
      <c r="G230" s="32"/>
      <c r="H230" s="28" t="str">
        <f aca="false">IF(COUNTA(C230:G230)=0,"",IF(AND(C230="Yes",D230="Yes",E230="Yes",F230="Yes",G230="No"),"Yes","No"))</f>
        <v/>
      </c>
      <c r="I230" s="32"/>
      <c r="J230" s="32"/>
    </row>
    <row r="231" customFormat="false" ht="15" hidden="false" customHeight="false" outlineLevel="0" collapsed="false">
      <c r="A231" s="32"/>
      <c r="B231" s="32"/>
      <c r="C231" s="32"/>
      <c r="D231" s="32"/>
      <c r="E231" s="32"/>
      <c r="F231" s="32"/>
      <c r="G231" s="32"/>
      <c r="H231" s="28" t="str">
        <f aca="false">IF(COUNTA(C231:G231)=0,"",IF(AND(C231="Yes",D231="Yes",E231="Yes",F231="Yes",G231="No"),"Yes","No"))</f>
        <v/>
      </c>
      <c r="I231" s="32"/>
      <c r="J231" s="32"/>
    </row>
    <row r="232" customFormat="false" ht="15" hidden="false" customHeight="false" outlineLevel="0" collapsed="false">
      <c r="A232" s="32"/>
      <c r="B232" s="32"/>
      <c r="C232" s="32"/>
      <c r="D232" s="32"/>
      <c r="E232" s="32"/>
      <c r="F232" s="32"/>
      <c r="G232" s="32"/>
      <c r="H232" s="28" t="str">
        <f aca="false">IF(COUNTA(C232:G232)=0,"",IF(AND(C232="Yes",D232="Yes",E232="Yes",F232="Yes",G232="No"),"Yes","No"))</f>
        <v/>
      </c>
      <c r="I232" s="32"/>
      <c r="J232" s="32"/>
    </row>
    <row r="233" customFormat="false" ht="15" hidden="false" customHeight="false" outlineLevel="0" collapsed="false">
      <c r="A233" s="32"/>
      <c r="B233" s="32"/>
      <c r="C233" s="32"/>
      <c r="D233" s="32"/>
      <c r="E233" s="32"/>
      <c r="F233" s="32"/>
      <c r="G233" s="32"/>
      <c r="H233" s="28" t="str">
        <f aca="false">IF(COUNTA(C233:G233)=0,"",IF(AND(C233="Yes",D233="Yes",E233="Yes",F233="Yes",G233="No"),"Yes","No"))</f>
        <v/>
      </c>
      <c r="I233" s="32"/>
      <c r="J233" s="32"/>
    </row>
    <row r="234" customFormat="false" ht="15" hidden="false" customHeight="false" outlineLevel="0" collapsed="false">
      <c r="A234" s="32"/>
      <c r="B234" s="32"/>
      <c r="C234" s="32"/>
      <c r="D234" s="32"/>
      <c r="E234" s="32"/>
      <c r="F234" s="32"/>
      <c r="G234" s="32"/>
      <c r="H234" s="28" t="str">
        <f aca="false">IF(COUNTA(C234:G234)=0,"",IF(AND(C234="Yes",D234="Yes",E234="Yes",F234="Yes",G234="No"),"Yes","No"))</f>
        <v/>
      </c>
      <c r="I234" s="32"/>
      <c r="J234" s="32"/>
    </row>
    <row r="235" customFormat="false" ht="15" hidden="false" customHeight="false" outlineLevel="0" collapsed="false">
      <c r="A235" s="32"/>
      <c r="B235" s="32"/>
      <c r="C235" s="32"/>
      <c r="D235" s="32"/>
      <c r="E235" s="32"/>
      <c r="F235" s="32"/>
      <c r="G235" s="32"/>
      <c r="H235" s="28" t="str">
        <f aca="false">IF(COUNTA(C235:G235)=0,"",IF(AND(C235="Yes",D235="Yes",E235="Yes",F235="Yes",G235="No"),"Yes","No"))</f>
        <v/>
      </c>
      <c r="I235" s="32"/>
      <c r="J235" s="32"/>
    </row>
    <row r="236" customFormat="false" ht="15" hidden="false" customHeight="false" outlineLevel="0" collapsed="false">
      <c r="A236" s="32"/>
      <c r="B236" s="32"/>
      <c r="C236" s="32"/>
      <c r="D236" s="32"/>
      <c r="E236" s="32"/>
      <c r="F236" s="32"/>
      <c r="G236" s="32"/>
      <c r="H236" s="28" t="str">
        <f aca="false">IF(COUNTA(C236:G236)=0,"",IF(AND(C236="Yes",D236="Yes",E236="Yes",F236="Yes",G236="No"),"Yes","No"))</f>
        <v/>
      </c>
      <c r="I236" s="32"/>
      <c r="J236" s="32"/>
    </row>
    <row r="237" customFormat="false" ht="15" hidden="false" customHeight="false" outlineLevel="0" collapsed="false">
      <c r="A237" s="32"/>
      <c r="B237" s="32"/>
      <c r="C237" s="32"/>
      <c r="D237" s="32"/>
      <c r="E237" s="32"/>
      <c r="F237" s="32"/>
      <c r="G237" s="32"/>
      <c r="H237" s="28" t="str">
        <f aca="false">IF(COUNTA(C237:G237)=0,"",IF(AND(C237="Yes",D237="Yes",E237="Yes",F237="Yes",G237="No"),"Yes","No"))</f>
        <v/>
      </c>
      <c r="I237" s="32"/>
      <c r="J237" s="32"/>
    </row>
    <row r="238" customFormat="false" ht="15" hidden="false" customHeight="false" outlineLevel="0" collapsed="false">
      <c r="A238" s="32"/>
      <c r="B238" s="32"/>
      <c r="C238" s="32"/>
      <c r="D238" s="32"/>
      <c r="E238" s="32"/>
      <c r="F238" s="32"/>
      <c r="G238" s="32"/>
      <c r="H238" s="28" t="str">
        <f aca="false">IF(COUNTA(C238:G238)=0,"",IF(AND(C238="Yes",D238="Yes",E238="Yes",F238="Yes",G238="No"),"Yes","No"))</f>
        <v/>
      </c>
      <c r="I238" s="32"/>
      <c r="J238" s="32"/>
    </row>
    <row r="239" customFormat="false" ht="15" hidden="false" customHeight="false" outlineLevel="0" collapsed="false">
      <c r="A239" s="32"/>
      <c r="B239" s="32"/>
      <c r="C239" s="32"/>
      <c r="D239" s="32"/>
      <c r="E239" s="32"/>
      <c r="F239" s="32"/>
      <c r="G239" s="32"/>
      <c r="H239" s="28" t="str">
        <f aca="false">IF(COUNTA(C239:G239)=0,"",IF(AND(C239="Yes",D239="Yes",E239="Yes",F239="Yes",G239="No"),"Yes","No"))</f>
        <v/>
      </c>
      <c r="I239" s="32"/>
      <c r="J239" s="32"/>
    </row>
    <row r="240" customFormat="false" ht="15" hidden="false" customHeight="false" outlineLevel="0" collapsed="false">
      <c r="A240" s="32"/>
      <c r="B240" s="32"/>
      <c r="C240" s="32"/>
      <c r="D240" s="32"/>
      <c r="E240" s="32"/>
      <c r="F240" s="32"/>
      <c r="G240" s="32"/>
      <c r="H240" s="28" t="str">
        <f aca="false">IF(COUNTA(C240:G240)=0,"",IF(AND(C240="Yes",D240="Yes",E240="Yes",F240="Yes",G240="No"),"Yes","No"))</f>
        <v/>
      </c>
      <c r="I240" s="32"/>
      <c r="J240" s="32"/>
    </row>
    <row r="241" customFormat="false" ht="15" hidden="false" customHeight="false" outlineLevel="0" collapsed="false">
      <c r="A241" s="32"/>
      <c r="B241" s="32"/>
      <c r="C241" s="32"/>
      <c r="D241" s="32"/>
      <c r="E241" s="32"/>
      <c r="F241" s="32"/>
      <c r="G241" s="32"/>
      <c r="H241" s="28" t="str">
        <f aca="false">IF(COUNTA(C241:G241)=0,"",IF(AND(C241="Yes",D241="Yes",E241="Yes",F241="Yes",G241="No"),"Yes","No"))</f>
        <v/>
      </c>
      <c r="I241" s="32"/>
      <c r="J241" s="32"/>
    </row>
    <row r="242" customFormat="false" ht="15" hidden="false" customHeight="false" outlineLevel="0" collapsed="false">
      <c r="A242" s="32"/>
      <c r="B242" s="32"/>
      <c r="C242" s="32"/>
      <c r="D242" s="32"/>
      <c r="E242" s="32"/>
      <c r="F242" s="32"/>
      <c r="G242" s="32"/>
      <c r="H242" s="28" t="str">
        <f aca="false">IF(COUNTA(C242:G242)=0,"",IF(AND(C242="Yes",D242="Yes",E242="Yes",F242="Yes",G242="No"),"Yes","No"))</f>
        <v/>
      </c>
      <c r="I242" s="32"/>
      <c r="J242" s="32"/>
    </row>
    <row r="243" customFormat="false" ht="15" hidden="false" customHeight="false" outlineLevel="0" collapsed="false">
      <c r="A243" s="32"/>
      <c r="B243" s="32"/>
      <c r="C243" s="32"/>
      <c r="D243" s="32"/>
      <c r="E243" s="32"/>
      <c r="F243" s="32"/>
      <c r="G243" s="32"/>
      <c r="H243" s="28" t="str">
        <f aca="false">IF(COUNTA(C243:G243)=0,"",IF(AND(C243="Yes",D243="Yes",E243="Yes",F243="Yes",G243="No"),"Yes","No"))</f>
        <v/>
      </c>
      <c r="I243" s="32"/>
      <c r="J243" s="32"/>
    </row>
    <row r="244" customFormat="false" ht="15" hidden="false" customHeight="false" outlineLevel="0" collapsed="false">
      <c r="A244" s="32"/>
      <c r="B244" s="32"/>
      <c r="C244" s="32"/>
      <c r="D244" s="32"/>
      <c r="E244" s="32"/>
      <c r="F244" s="32"/>
      <c r="G244" s="32"/>
      <c r="H244" s="28" t="str">
        <f aca="false">IF(COUNTA(C244:G244)=0,"",IF(AND(C244="Yes",D244="Yes",E244="Yes",F244="Yes",G244="No"),"Yes","No"))</f>
        <v/>
      </c>
      <c r="I244" s="32"/>
      <c r="J244" s="32"/>
    </row>
    <row r="245" customFormat="false" ht="15" hidden="false" customHeight="false" outlineLevel="0" collapsed="false">
      <c r="A245" s="32"/>
      <c r="B245" s="32"/>
      <c r="C245" s="32"/>
      <c r="D245" s="32"/>
      <c r="E245" s="32"/>
      <c r="F245" s="32"/>
      <c r="G245" s="32"/>
      <c r="H245" s="28" t="str">
        <f aca="false">IF(COUNTA(C245:G245)=0,"",IF(AND(C245="Yes",D245="Yes",E245="Yes",F245="Yes",G245="No"),"Yes","No"))</f>
        <v/>
      </c>
      <c r="I245" s="32"/>
      <c r="J245" s="32"/>
    </row>
    <row r="246" customFormat="false" ht="15" hidden="false" customHeight="false" outlineLevel="0" collapsed="false">
      <c r="A246" s="32"/>
      <c r="B246" s="32"/>
      <c r="C246" s="32"/>
      <c r="D246" s="32"/>
      <c r="E246" s="32"/>
      <c r="F246" s="32"/>
      <c r="G246" s="32"/>
      <c r="H246" s="28" t="str">
        <f aca="false">IF(COUNTA(C246:G246)=0,"",IF(AND(C246="Yes",D246="Yes",E246="Yes",F246="Yes",G246="No"),"Yes","No"))</f>
        <v/>
      </c>
      <c r="I246" s="32"/>
      <c r="J246" s="32"/>
    </row>
    <row r="247" customFormat="false" ht="15" hidden="false" customHeight="false" outlineLevel="0" collapsed="false">
      <c r="A247" s="32"/>
      <c r="B247" s="32"/>
      <c r="C247" s="32"/>
      <c r="D247" s="32"/>
      <c r="E247" s="32"/>
      <c r="F247" s="32"/>
      <c r="G247" s="32"/>
      <c r="H247" s="28" t="str">
        <f aca="false">IF(COUNTA(C247:G247)=0,"",IF(AND(C247="Yes",D247="Yes",E247="Yes",F247="Yes",G247="No"),"Yes","No"))</f>
        <v/>
      </c>
      <c r="I247" s="32"/>
      <c r="J247" s="32"/>
    </row>
    <row r="248" customFormat="false" ht="15" hidden="false" customHeight="false" outlineLevel="0" collapsed="false">
      <c r="A248" s="32"/>
      <c r="B248" s="32"/>
      <c r="C248" s="32"/>
      <c r="D248" s="32"/>
      <c r="E248" s="32"/>
      <c r="F248" s="32"/>
      <c r="G248" s="32"/>
      <c r="H248" s="28" t="str">
        <f aca="false">IF(COUNTA(C248:G248)=0,"",IF(AND(C248="Yes",D248="Yes",E248="Yes",F248="Yes",G248="No"),"Yes","No"))</f>
        <v/>
      </c>
      <c r="I248" s="32"/>
      <c r="J248" s="32"/>
    </row>
    <row r="249" customFormat="false" ht="15" hidden="false" customHeight="false" outlineLevel="0" collapsed="false">
      <c r="A249" s="32"/>
      <c r="B249" s="32"/>
      <c r="C249" s="32"/>
      <c r="D249" s="32"/>
      <c r="E249" s="32"/>
      <c r="F249" s="32"/>
      <c r="G249" s="32"/>
      <c r="H249" s="28" t="str">
        <f aca="false">IF(COUNTA(C249:G249)=0,"",IF(AND(C249="Yes",D249="Yes",E249="Yes",F249="Yes",G249="No"),"Yes","No"))</f>
        <v/>
      </c>
      <c r="I249" s="32"/>
      <c r="J249" s="32"/>
    </row>
    <row r="250" customFormat="false" ht="15" hidden="false" customHeight="false" outlineLevel="0" collapsed="false">
      <c r="A250" s="32"/>
      <c r="B250" s="32"/>
      <c r="C250" s="32"/>
      <c r="D250" s="32"/>
      <c r="E250" s="32"/>
      <c r="F250" s="32"/>
      <c r="G250" s="32"/>
      <c r="H250" s="28" t="str">
        <f aca="false">IF(COUNTA(C250:G250)=0,"",IF(AND(C250="Yes",D250="Yes",E250="Yes",F250="Yes",G250="No"),"Yes","No"))</f>
        <v/>
      </c>
      <c r="I250" s="32"/>
      <c r="J250" s="32"/>
    </row>
    <row r="251" customFormat="false" ht="15" hidden="false" customHeight="false" outlineLevel="0" collapsed="false">
      <c r="A251" s="32"/>
      <c r="B251" s="32"/>
      <c r="C251" s="32"/>
      <c r="D251" s="32"/>
      <c r="E251" s="32"/>
      <c r="F251" s="32"/>
      <c r="G251" s="32"/>
      <c r="H251" s="28" t="str">
        <f aca="false">IF(COUNTA(C251:G251)=0,"",IF(AND(C251="Yes",D251="Yes",E251="Yes",F251="Yes",G251="No"),"Yes","No"))</f>
        <v/>
      </c>
      <c r="I251" s="32"/>
      <c r="J251" s="32"/>
    </row>
    <row r="252" customFormat="false" ht="15" hidden="false" customHeight="false" outlineLevel="0" collapsed="false">
      <c r="A252" s="32"/>
      <c r="B252" s="32"/>
      <c r="C252" s="32"/>
      <c r="D252" s="32"/>
      <c r="E252" s="32"/>
      <c r="F252" s="32"/>
      <c r="G252" s="32"/>
      <c r="H252" s="28" t="str">
        <f aca="false">IF(COUNTA(C252:G252)=0,"",IF(AND(C252="Yes",D252="Yes",E252="Yes",F252="Yes",G252="No"),"Yes","No"))</f>
        <v/>
      </c>
      <c r="I252" s="32"/>
      <c r="J252" s="32"/>
    </row>
    <row r="253" customFormat="false" ht="15" hidden="false" customHeight="false" outlineLevel="0" collapsed="false">
      <c r="A253" s="32"/>
      <c r="B253" s="32"/>
      <c r="C253" s="32"/>
      <c r="D253" s="32"/>
      <c r="E253" s="32"/>
      <c r="F253" s="32"/>
      <c r="G253" s="32"/>
      <c r="H253" s="28" t="str">
        <f aca="false">IF(COUNTA(C253:G253)=0,"",IF(AND(C253="Yes",D253="Yes",E253="Yes",F253="Yes",G253="No"),"Yes","No"))</f>
        <v/>
      </c>
      <c r="I253" s="32"/>
      <c r="J253" s="32"/>
    </row>
    <row r="254" customFormat="false" ht="15" hidden="false" customHeight="false" outlineLevel="0" collapsed="false">
      <c r="A254" s="32"/>
      <c r="B254" s="32"/>
      <c r="C254" s="32"/>
      <c r="D254" s="32"/>
      <c r="E254" s="32"/>
      <c r="F254" s="32"/>
      <c r="G254" s="32"/>
      <c r="H254" s="28" t="str">
        <f aca="false">IF(COUNTA(C254:G254)=0,"",IF(AND(C254="Yes",D254="Yes",E254="Yes",F254="Yes",G254="No"),"Yes","No"))</f>
        <v/>
      </c>
      <c r="I254" s="32"/>
      <c r="J254" s="32"/>
    </row>
    <row r="255" customFormat="false" ht="15" hidden="false" customHeight="false" outlineLevel="0" collapsed="false">
      <c r="A255" s="32"/>
      <c r="B255" s="32"/>
      <c r="C255" s="32"/>
      <c r="D255" s="32"/>
      <c r="E255" s="32"/>
      <c r="F255" s="32"/>
      <c r="G255" s="32"/>
      <c r="H255" s="28" t="str">
        <f aca="false">IF(COUNTA(C255:G255)=0,"",IF(AND(C255="Yes",D255="Yes",E255="Yes",F255="Yes",G255="No"),"Yes","No"))</f>
        <v/>
      </c>
      <c r="I255" s="32"/>
      <c r="J255" s="32"/>
    </row>
    <row r="256" customFormat="false" ht="15" hidden="false" customHeight="false" outlineLevel="0" collapsed="false">
      <c r="A256" s="32"/>
      <c r="B256" s="32"/>
      <c r="C256" s="32"/>
      <c r="D256" s="32"/>
      <c r="E256" s="32"/>
      <c r="F256" s="32"/>
      <c r="G256" s="32"/>
      <c r="H256" s="28" t="str">
        <f aca="false">IF(COUNTA(C256:G256)=0,"",IF(AND(C256="Yes",D256="Yes",E256="Yes",F256="Yes",G256="No"),"Yes","No"))</f>
        <v/>
      </c>
      <c r="I256" s="32"/>
      <c r="J256" s="32"/>
    </row>
    <row r="257" customFormat="false" ht="15" hidden="false" customHeight="false" outlineLevel="0" collapsed="false">
      <c r="A257" s="32"/>
      <c r="B257" s="32"/>
      <c r="C257" s="32"/>
      <c r="D257" s="32"/>
      <c r="E257" s="32"/>
      <c r="F257" s="32"/>
      <c r="G257" s="32"/>
      <c r="H257" s="28" t="str">
        <f aca="false">IF(COUNTA(C257:G257)=0,"",IF(AND(C257="Yes",D257="Yes",E257="Yes",F257="Yes",G257="No"),"Yes","No"))</f>
        <v/>
      </c>
      <c r="I257" s="32"/>
      <c r="J257" s="32"/>
    </row>
    <row r="258" customFormat="false" ht="15" hidden="false" customHeight="false" outlineLevel="0" collapsed="false">
      <c r="A258" s="32"/>
      <c r="B258" s="32"/>
      <c r="C258" s="32"/>
      <c r="D258" s="32"/>
      <c r="E258" s="32"/>
      <c r="F258" s="32"/>
      <c r="G258" s="32"/>
      <c r="H258" s="28" t="str">
        <f aca="false">IF(COUNTA(C258:G258)=0,"",IF(AND(C258="Yes",D258="Yes",E258="Yes",F258="Yes",G258="No"),"Yes","No"))</f>
        <v/>
      </c>
      <c r="I258" s="32"/>
      <c r="J258" s="32"/>
    </row>
    <row r="259" customFormat="false" ht="15" hidden="false" customHeight="false" outlineLevel="0" collapsed="false">
      <c r="A259" s="32"/>
      <c r="B259" s="32"/>
      <c r="C259" s="32"/>
      <c r="D259" s="32"/>
      <c r="E259" s="32"/>
      <c r="F259" s="32"/>
      <c r="G259" s="32"/>
      <c r="H259" s="28" t="str">
        <f aca="false">IF(COUNTA(C259:G259)=0,"",IF(AND(C259="Yes",D259="Yes",E259="Yes",F259="Yes",G259="No"),"Yes","No"))</f>
        <v/>
      </c>
      <c r="I259" s="32"/>
      <c r="J259" s="32"/>
    </row>
    <row r="260" customFormat="false" ht="15" hidden="false" customHeight="false" outlineLevel="0" collapsed="false">
      <c r="A260" s="32"/>
      <c r="B260" s="32"/>
      <c r="C260" s="32"/>
      <c r="D260" s="32"/>
      <c r="E260" s="32"/>
      <c r="F260" s="32"/>
      <c r="G260" s="32"/>
      <c r="H260" s="28" t="str">
        <f aca="false">IF(COUNTA(C260:G260)=0,"",IF(AND(C260="Yes",D260="Yes",E260="Yes",F260="Yes",G260="No"),"Yes","No"))</f>
        <v/>
      </c>
      <c r="I260" s="32"/>
      <c r="J260" s="32"/>
    </row>
    <row r="261" customFormat="false" ht="15" hidden="false" customHeight="false" outlineLevel="0" collapsed="false">
      <c r="A261" s="32"/>
      <c r="B261" s="32"/>
      <c r="C261" s="32"/>
      <c r="D261" s="32"/>
      <c r="E261" s="32"/>
      <c r="F261" s="32"/>
      <c r="G261" s="32"/>
      <c r="H261" s="28" t="str">
        <f aca="false">IF(COUNTA(C261:G261)=0,"",IF(AND(C261="Yes",D261="Yes",E261="Yes",F261="Yes",G261="No"),"Yes","No"))</f>
        <v/>
      </c>
      <c r="I261" s="32"/>
      <c r="J261" s="32"/>
    </row>
    <row r="262" customFormat="false" ht="15" hidden="false" customHeight="false" outlineLevel="0" collapsed="false">
      <c r="A262" s="32"/>
      <c r="B262" s="32"/>
      <c r="C262" s="32"/>
      <c r="D262" s="32"/>
      <c r="E262" s="32"/>
      <c r="F262" s="32"/>
      <c r="G262" s="32"/>
      <c r="H262" s="28" t="str">
        <f aca="false">IF(COUNTA(C262:G262)=0,"",IF(AND(C262="Yes",D262="Yes",E262="Yes",F262="Yes",G262="No"),"Yes","No"))</f>
        <v/>
      </c>
      <c r="I262" s="32"/>
      <c r="J262" s="32"/>
    </row>
    <row r="263" customFormat="false" ht="15" hidden="false" customHeight="false" outlineLevel="0" collapsed="false">
      <c r="A263" s="32"/>
      <c r="B263" s="32"/>
      <c r="C263" s="32"/>
      <c r="D263" s="32"/>
      <c r="E263" s="32"/>
      <c r="F263" s="32"/>
      <c r="G263" s="32"/>
      <c r="H263" s="28" t="str">
        <f aca="false">IF(COUNTA(C263:G263)=0,"",IF(AND(C263="Yes",D263="Yes",E263="Yes",F263="Yes",G263="No"),"Yes","No"))</f>
        <v/>
      </c>
      <c r="I263" s="32"/>
      <c r="J263" s="32"/>
    </row>
    <row r="264" customFormat="false" ht="15" hidden="false" customHeight="false" outlineLevel="0" collapsed="false">
      <c r="A264" s="32"/>
      <c r="B264" s="32"/>
      <c r="C264" s="32"/>
      <c r="D264" s="32"/>
      <c r="E264" s="32"/>
      <c r="F264" s="32"/>
      <c r="G264" s="32"/>
      <c r="H264" s="28" t="str">
        <f aca="false">IF(COUNTA(C264:G264)=0,"",IF(AND(C264="Yes",D264="Yes",E264="Yes",F264="Yes",G264="No"),"Yes","No"))</f>
        <v/>
      </c>
      <c r="I264" s="32"/>
      <c r="J264" s="32"/>
    </row>
    <row r="265" customFormat="false" ht="15" hidden="false" customHeight="false" outlineLevel="0" collapsed="false">
      <c r="A265" s="32"/>
      <c r="B265" s="32"/>
      <c r="C265" s="32"/>
      <c r="D265" s="32"/>
      <c r="E265" s="32"/>
      <c r="F265" s="32"/>
      <c r="G265" s="32"/>
      <c r="H265" s="28" t="str">
        <f aca="false">IF(COUNTA(C265:G265)=0,"",IF(AND(C265="Yes",D265="Yes",E265="Yes",F265="Yes",G265="No"),"Yes","No"))</f>
        <v/>
      </c>
      <c r="I265" s="32"/>
      <c r="J265" s="32"/>
    </row>
    <row r="266" customFormat="false" ht="15" hidden="false" customHeight="false" outlineLevel="0" collapsed="false">
      <c r="A266" s="32"/>
      <c r="B266" s="32"/>
      <c r="C266" s="32"/>
      <c r="D266" s="32"/>
      <c r="E266" s="32"/>
      <c r="F266" s="32"/>
      <c r="G266" s="32"/>
      <c r="H266" s="28" t="str">
        <f aca="false">IF(COUNTA(C266:G266)=0,"",IF(AND(C266="Yes",D266="Yes",E266="Yes",F266="Yes",G266="No"),"Yes","No"))</f>
        <v/>
      </c>
      <c r="I266" s="32"/>
      <c r="J266" s="32"/>
    </row>
    <row r="267" customFormat="false" ht="15" hidden="false" customHeight="false" outlineLevel="0" collapsed="false">
      <c r="A267" s="32"/>
      <c r="B267" s="32"/>
      <c r="C267" s="32"/>
      <c r="D267" s="32"/>
      <c r="E267" s="32"/>
      <c r="F267" s="32"/>
      <c r="G267" s="32"/>
      <c r="H267" s="28" t="str">
        <f aca="false">IF(COUNTA(C267:G267)=0,"",IF(AND(C267="Yes",D267="Yes",E267="Yes",F267="Yes",G267="No"),"Yes","No"))</f>
        <v/>
      </c>
      <c r="I267" s="32"/>
      <c r="J267" s="32"/>
    </row>
    <row r="268" customFormat="false" ht="15" hidden="false" customHeight="false" outlineLevel="0" collapsed="false">
      <c r="A268" s="32"/>
      <c r="B268" s="32"/>
      <c r="C268" s="32"/>
      <c r="D268" s="32"/>
      <c r="E268" s="32"/>
      <c r="F268" s="32"/>
      <c r="G268" s="32"/>
      <c r="H268" s="28" t="str">
        <f aca="false">IF(COUNTA(C268:G268)=0,"",IF(AND(C268="Yes",D268="Yes",E268="Yes",F268="Yes",G268="No"),"Yes","No"))</f>
        <v/>
      </c>
      <c r="I268" s="32"/>
      <c r="J268" s="32"/>
    </row>
    <row r="269" customFormat="false" ht="15" hidden="false" customHeight="false" outlineLevel="0" collapsed="false">
      <c r="A269" s="32"/>
      <c r="B269" s="32"/>
      <c r="C269" s="32"/>
      <c r="D269" s="32"/>
      <c r="E269" s="32"/>
      <c r="F269" s="32"/>
      <c r="G269" s="32"/>
      <c r="H269" s="28" t="str">
        <f aca="false">IF(COUNTA(C269:G269)=0,"",IF(AND(C269="Yes",D269="Yes",E269="Yes",F269="Yes",G269="No"),"Yes","No"))</f>
        <v/>
      </c>
      <c r="I269" s="32"/>
      <c r="J269" s="32"/>
    </row>
    <row r="270" customFormat="false" ht="15" hidden="false" customHeight="false" outlineLevel="0" collapsed="false">
      <c r="A270" s="32"/>
      <c r="B270" s="32"/>
      <c r="C270" s="32"/>
      <c r="D270" s="32"/>
      <c r="E270" s="32"/>
      <c r="F270" s="32"/>
      <c r="G270" s="32"/>
      <c r="H270" s="28" t="str">
        <f aca="false">IF(COUNTA(C270:G270)=0,"",IF(AND(C270="Yes",D270="Yes",E270="Yes",F270="Yes",G270="No"),"Yes","No"))</f>
        <v/>
      </c>
      <c r="I270" s="32"/>
      <c r="J270" s="32"/>
    </row>
    <row r="271" customFormat="false" ht="15" hidden="false" customHeight="false" outlineLevel="0" collapsed="false">
      <c r="A271" s="32"/>
      <c r="B271" s="32"/>
      <c r="C271" s="32"/>
      <c r="D271" s="32"/>
      <c r="E271" s="32"/>
      <c r="F271" s="32"/>
      <c r="G271" s="32"/>
      <c r="H271" s="28" t="str">
        <f aca="false">IF(COUNTA(C271:G271)=0,"",IF(AND(C271="Yes",D271="Yes",E271="Yes",F271="Yes",G271="No"),"Yes","No"))</f>
        <v/>
      </c>
      <c r="I271" s="32"/>
      <c r="J271" s="32"/>
    </row>
    <row r="272" customFormat="false" ht="15" hidden="false" customHeight="false" outlineLevel="0" collapsed="false">
      <c r="A272" s="32"/>
      <c r="B272" s="32"/>
      <c r="C272" s="32"/>
      <c r="D272" s="32"/>
      <c r="E272" s="32"/>
      <c r="F272" s="32"/>
      <c r="G272" s="32"/>
      <c r="H272" s="28" t="str">
        <f aca="false">IF(COUNTA(C272:G272)=0,"",IF(AND(C272="Yes",D272="Yes",E272="Yes",F272="Yes",G272="No"),"Yes","No"))</f>
        <v/>
      </c>
      <c r="I272" s="32"/>
      <c r="J272" s="32"/>
    </row>
    <row r="273" customFormat="false" ht="15" hidden="false" customHeight="false" outlineLevel="0" collapsed="false">
      <c r="A273" s="32"/>
      <c r="B273" s="32"/>
      <c r="C273" s="32"/>
      <c r="D273" s="32"/>
      <c r="E273" s="32"/>
      <c r="F273" s="32"/>
      <c r="G273" s="32"/>
      <c r="H273" s="28" t="str">
        <f aca="false">IF(COUNTA(C273:G273)=0,"",IF(AND(C273="Yes",D273="Yes",E273="Yes",F273="Yes",G273="No"),"Yes","No"))</f>
        <v/>
      </c>
      <c r="I273" s="32"/>
      <c r="J273" s="32"/>
    </row>
    <row r="274" customFormat="false" ht="15" hidden="false" customHeight="false" outlineLevel="0" collapsed="false">
      <c r="A274" s="32"/>
      <c r="B274" s="32"/>
      <c r="C274" s="32"/>
      <c r="D274" s="32"/>
      <c r="E274" s="32"/>
      <c r="F274" s="32"/>
      <c r="G274" s="32"/>
      <c r="H274" s="28" t="str">
        <f aca="false">IF(COUNTA(C274:G274)=0,"",IF(AND(C274="Yes",D274="Yes",E274="Yes",F274="Yes",G274="No"),"Yes","No"))</f>
        <v/>
      </c>
      <c r="I274" s="32"/>
      <c r="J274" s="32"/>
    </row>
    <row r="275" customFormat="false" ht="15" hidden="false" customHeight="false" outlineLevel="0" collapsed="false">
      <c r="A275" s="32"/>
      <c r="B275" s="32"/>
      <c r="C275" s="32"/>
      <c r="D275" s="32"/>
      <c r="E275" s="32"/>
      <c r="F275" s="32"/>
      <c r="G275" s="32"/>
      <c r="H275" s="28" t="str">
        <f aca="false">IF(COUNTA(C275:G275)=0,"",IF(AND(C275="Yes",D275="Yes",E275="Yes",F275="Yes",G275="No"),"Yes","No"))</f>
        <v/>
      </c>
      <c r="I275" s="32"/>
      <c r="J275" s="32"/>
    </row>
    <row r="276" customFormat="false" ht="15" hidden="false" customHeight="false" outlineLevel="0" collapsed="false">
      <c r="A276" s="32"/>
      <c r="B276" s="32"/>
      <c r="C276" s="32"/>
      <c r="D276" s="32"/>
      <c r="E276" s="32"/>
      <c r="F276" s="32"/>
      <c r="G276" s="32"/>
      <c r="H276" s="28" t="str">
        <f aca="false">IF(COUNTA(C276:G276)=0,"",IF(AND(C276="Yes",D276="Yes",E276="Yes",F276="Yes",G276="No"),"Yes","No"))</f>
        <v/>
      </c>
      <c r="I276" s="32"/>
      <c r="J276" s="32"/>
    </row>
    <row r="277" customFormat="false" ht="15" hidden="false" customHeight="false" outlineLevel="0" collapsed="false">
      <c r="A277" s="32"/>
      <c r="B277" s="32"/>
      <c r="C277" s="32"/>
      <c r="D277" s="32"/>
      <c r="E277" s="32"/>
      <c r="F277" s="32"/>
      <c r="G277" s="32"/>
      <c r="H277" s="28" t="str">
        <f aca="false">IF(COUNTA(C277:G277)=0,"",IF(AND(C277="Yes",D277="Yes",E277="Yes",F277="Yes",G277="No"),"Yes","No"))</f>
        <v/>
      </c>
      <c r="I277" s="32"/>
      <c r="J277" s="32"/>
    </row>
    <row r="278" customFormat="false" ht="15" hidden="false" customHeight="false" outlineLevel="0" collapsed="false">
      <c r="A278" s="32"/>
      <c r="B278" s="32"/>
      <c r="C278" s="32"/>
      <c r="D278" s="32"/>
      <c r="E278" s="32"/>
      <c r="F278" s="32"/>
      <c r="G278" s="32"/>
      <c r="H278" s="28" t="str">
        <f aca="false">IF(COUNTA(C278:G278)=0,"",IF(AND(C278="Yes",D278="Yes",E278="Yes",F278="Yes",G278="No"),"Yes","No"))</f>
        <v/>
      </c>
      <c r="I278" s="32"/>
      <c r="J278" s="32"/>
    </row>
    <row r="279" customFormat="false" ht="15" hidden="false" customHeight="false" outlineLevel="0" collapsed="false">
      <c r="A279" s="32"/>
      <c r="B279" s="32"/>
      <c r="C279" s="32"/>
      <c r="D279" s="32"/>
      <c r="E279" s="32"/>
      <c r="F279" s="32"/>
      <c r="G279" s="32"/>
      <c r="H279" s="28" t="str">
        <f aca="false">IF(COUNTA(C279:G279)=0,"",IF(AND(C279="Yes",D279="Yes",E279="Yes",F279="Yes",G279="No"),"Yes","No"))</f>
        <v/>
      </c>
      <c r="I279" s="32"/>
      <c r="J279" s="32"/>
    </row>
    <row r="280" customFormat="false" ht="15" hidden="false" customHeight="false" outlineLevel="0" collapsed="false">
      <c r="A280" s="32"/>
      <c r="B280" s="32"/>
      <c r="C280" s="32"/>
      <c r="D280" s="32"/>
      <c r="E280" s="32"/>
      <c r="F280" s="32"/>
      <c r="G280" s="32"/>
      <c r="H280" s="28" t="str">
        <f aca="false">IF(COUNTA(C280:G280)=0,"",IF(AND(C280="Yes",D280="Yes",E280="Yes",F280="Yes",G280="No"),"Yes","No"))</f>
        <v/>
      </c>
      <c r="I280" s="32"/>
      <c r="J280" s="32"/>
    </row>
    <row r="281" customFormat="false" ht="15" hidden="false" customHeight="false" outlineLevel="0" collapsed="false">
      <c r="A281" s="32"/>
      <c r="B281" s="32"/>
      <c r="C281" s="32"/>
      <c r="D281" s="32"/>
      <c r="E281" s="32"/>
      <c r="F281" s="32"/>
      <c r="G281" s="32"/>
      <c r="H281" s="28" t="str">
        <f aca="false">IF(COUNTA(C281:G281)=0,"",IF(AND(C281="Yes",D281="Yes",E281="Yes",F281="Yes",G281="No"),"Yes","No"))</f>
        <v/>
      </c>
      <c r="I281" s="32"/>
      <c r="J281" s="32"/>
    </row>
    <row r="282" customFormat="false" ht="15" hidden="false" customHeight="false" outlineLevel="0" collapsed="false">
      <c r="A282" s="32"/>
      <c r="B282" s="32"/>
      <c r="C282" s="32"/>
      <c r="D282" s="32"/>
      <c r="E282" s="32"/>
      <c r="F282" s="32"/>
      <c r="G282" s="32"/>
      <c r="H282" s="28" t="str">
        <f aca="false">IF(COUNTA(C282:G282)=0,"",IF(AND(C282="Yes",D282="Yes",E282="Yes",F282="Yes",G282="No"),"Yes","No"))</f>
        <v/>
      </c>
      <c r="I282" s="32"/>
      <c r="J282" s="32"/>
    </row>
    <row r="283" customFormat="false" ht="15" hidden="false" customHeight="false" outlineLevel="0" collapsed="false">
      <c r="A283" s="32"/>
      <c r="B283" s="32"/>
      <c r="C283" s="32"/>
      <c r="D283" s="32"/>
      <c r="E283" s="32"/>
      <c r="F283" s="32"/>
      <c r="G283" s="32"/>
      <c r="H283" s="28" t="str">
        <f aca="false">IF(COUNTA(C283:G283)=0,"",IF(AND(C283="Yes",D283="Yes",E283="Yes",F283="Yes",G283="No"),"Yes","No"))</f>
        <v/>
      </c>
      <c r="I283" s="32"/>
      <c r="J283" s="32"/>
    </row>
    <row r="284" customFormat="false" ht="15" hidden="false" customHeight="false" outlineLevel="0" collapsed="false">
      <c r="A284" s="32"/>
      <c r="B284" s="32"/>
      <c r="C284" s="32"/>
      <c r="D284" s="32"/>
      <c r="E284" s="32"/>
      <c r="F284" s="32"/>
      <c r="G284" s="32"/>
      <c r="H284" s="28" t="str">
        <f aca="false">IF(COUNTA(C284:G284)=0,"",IF(AND(C284="Yes",D284="Yes",E284="Yes",F284="Yes",G284="No"),"Yes","No"))</f>
        <v/>
      </c>
      <c r="I284" s="32"/>
      <c r="J284" s="32"/>
    </row>
    <row r="285" customFormat="false" ht="15" hidden="false" customHeight="false" outlineLevel="0" collapsed="false">
      <c r="A285" s="32"/>
      <c r="B285" s="32"/>
      <c r="C285" s="32"/>
      <c r="D285" s="32"/>
      <c r="E285" s="32"/>
      <c r="F285" s="32"/>
      <c r="G285" s="32"/>
      <c r="H285" s="28" t="str">
        <f aca="false">IF(COUNTA(C285:G285)=0,"",IF(AND(C285="Yes",D285="Yes",E285="Yes",F285="Yes",G285="No"),"Yes","No"))</f>
        <v/>
      </c>
      <c r="I285" s="32"/>
      <c r="J285" s="32"/>
    </row>
    <row r="286" customFormat="false" ht="15" hidden="false" customHeight="false" outlineLevel="0" collapsed="false">
      <c r="A286" s="32"/>
      <c r="B286" s="32"/>
      <c r="C286" s="32"/>
      <c r="D286" s="32"/>
      <c r="E286" s="32"/>
      <c r="F286" s="32"/>
      <c r="G286" s="32"/>
      <c r="H286" s="28" t="str">
        <f aca="false">IF(COUNTA(C286:G286)=0,"",IF(AND(C286="Yes",D286="Yes",E286="Yes",F286="Yes",G286="No"),"Yes","No"))</f>
        <v/>
      </c>
      <c r="I286" s="32"/>
      <c r="J286" s="32"/>
    </row>
    <row r="287" customFormat="false" ht="15" hidden="false" customHeight="false" outlineLevel="0" collapsed="false">
      <c r="A287" s="32"/>
      <c r="B287" s="32"/>
      <c r="C287" s="32"/>
      <c r="D287" s="32"/>
      <c r="E287" s="32"/>
      <c r="F287" s="32"/>
      <c r="G287" s="32"/>
      <c r="H287" s="28" t="str">
        <f aca="false">IF(COUNTA(C287:G287)=0,"",IF(AND(C287="Yes",D287="Yes",E287="Yes",F287="Yes",G287="No"),"Yes","No"))</f>
        <v/>
      </c>
      <c r="I287" s="32"/>
      <c r="J287" s="32"/>
    </row>
    <row r="288" customFormat="false" ht="15" hidden="false" customHeight="false" outlineLevel="0" collapsed="false">
      <c r="A288" s="32"/>
      <c r="B288" s="32"/>
      <c r="C288" s="32"/>
      <c r="D288" s="32"/>
      <c r="E288" s="32"/>
      <c r="F288" s="32"/>
      <c r="G288" s="32"/>
      <c r="H288" s="28" t="str">
        <f aca="false">IF(COUNTA(C288:G288)=0,"",IF(AND(C288="Yes",D288="Yes",E288="Yes",F288="Yes",G288="No"),"Yes","No"))</f>
        <v/>
      </c>
      <c r="I288" s="32"/>
      <c r="J288" s="32"/>
    </row>
    <row r="289" customFormat="false" ht="15" hidden="false" customHeight="false" outlineLevel="0" collapsed="false">
      <c r="A289" s="32"/>
      <c r="B289" s="32"/>
      <c r="C289" s="32"/>
      <c r="D289" s="32"/>
      <c r="E289" s="32"/>
      <c r="F289" s="32"/>
      <c r="G289" s="32"/>
      <c r="H289" s="28" t="str">
        <f aca="false">IF(COUNTA(C289:G289)=0,"",IF(AND(C289="Yes",D289="Yes",E289="Yes",F289="Yes",G289="No"),"Yes","No"))</f>
        <v/>
      </c>
      <c r="I289" s="32"/>
      <c r="J289" s="32"/>
    </row>
    <row r="290" customFormat="false" ht="15" hidden="false" customHeight="false" outlineLevel="0" collapsed="false">
      <c r="A290" s="32"/>
      <c r="B290" s="32"/>
      <c r="C290" s="32"/>
      <c r="D290" s="32"/>
      <c r="E290" s="32"/>
      <c r="F290" s="32"/>
      <c r="G290" s="32"/>
      <c r="H290" s="28" t="str">
        <f aca="false">IF(COUNTA(C290:G290)=0,"",IF(AND(C290="Yes",D290="Yes",E290="Yes",F290="Yes",G290="No"),"Yes","No"))</f>
        <v/>
      </c>
      <c r="I290" s="32"/>
      <c r="J290" s="32"/>
    </row>
    <row r="291" customFormat="false" ht="15" hidden="false" customHeight="false" outlineLevel="0" collapsed="false">
      <c r="A291" s="32"/>
      <c r="B291" s="32"/>
      <c r="C291" s="32"/>
      <c r="D291" s="32"/>
      <c r="E291" s="32"/>
      <c r="F291" s="32"/>
      <c r="G291" s="32"/>
      <c r="H291" s="28" t="str">
        <f aca="false">IF(COUNTA(C291:G291)=0,"",IF(AND(C291="Yes",D291="Yes",E291="Yes",F291="Yes",G291="No"),"Yes","No"))</f>
        <v/>
      </c>
      <c r="I291" s="32"/>
      <c r="J291" s="32"/>
    </row>
    <row r="292" customFormat="false" ht="15" hidden="false" customHeight="false" outlineLevel="0" collapsed="false">
      <c r="A292" s="32"/>
      <c r="B292" s="32"/>
      <c r="C292" s="32"/>
      <c r="D292" s="32"/>
      <c r="E292" s="32"/>
      <c r="F292" s="32"/>
      <c r="G292" s="32"/>
      <c r="H292" s="28" t="str">
        <f aca="false">IF(COUNTA(C292:G292)=0,"",IF(AND(C292="Yes",D292="Yes",E292="Yes",F292="Yes",G292="No"),"Yes","No"))</f>
        <v/>
      </c>
      <c r="I292" s="32"/>
      <c r="J292" s="32"/>
    </row>
    <row r="293" customFormat="false" ht="15" hidden="false" customHeight="false" outlineLevel="0" collapsed="false">
      <c r="A293" s="32"/>
      <c r="B293" s="32"/>
      <c r="C293" s="32"/>
      <c r="D293" s="32"/>
      <c r="E293" s="32"/>
      <c r="F293" s="32"/>
      <c r="G293" s="32"/>
      <c r="H293" s="28" t="str">
        <f aca="false">IF(COUNTA(C293:G293)=0,"",IF(AND(C293="Yes",D293="Yes",E293="Yes",F293="Yes",G293="No"),"Yes","No"))</f>
        <v/>
      </c>
      <c r="I293" s="32"/>
      <c r="J293" s="32"/>
    </row>
    <row r="294" customFormat="false" ht="15" hidden="false" customHeight="false" outlineLevel="0" collapsed="false">
      <c r="A294" s="32"/>
      <c r="B294" s="32"/>
      <c r="C294" s="32"/>
      <c r="D294" s="32"/>
      <c r="E294" s="32"/>
      <c r="F294" s="32"/>
      <c r="G294" s="32"/>
      <c r="H294" s="28" t="str">
        <f aca="false">IF(COUNTA(C294:G294)=0,"",IF(AND(C294="Yes",D294="Yes",E294="Yes",F294="Yes",G294="No"),"Yes","No"))</f>
        <v/>
      </c>
      <c r="I294" s="32"/>
      <c r="J294" s="32"/>
    </row>
    <row r="295" customFormat="false" ht="15" hidden="false" customHeight="false" outlineLevel="0" collapsed="false">
      <c r="A295" s="32"/>
      <c r="B295" s="32"/>
      <c r="C295" s="32"/>
      <c r="D295" s="32"/>
      <c r="E295" s="32"/>
      <c r="F295" s="32"/>
      <c r="G295" s="32"/>
      <c r="H295" s="28" t="str">
        <f aca="false">IF(COUNTA(C295:G295)=0,"",IF(AND(C295="Yes",D295="Yes",E295="Yes",F295="Yes",G295="No"),"Yes","No"))</f>
        <v/>
      </c>
      <c r="I295" s="32"/>
      <c r="J295" s="32"/>
    </row>
    <row r="296" customFormat="false" ht="15" hidden="false" customHeight="false" outlineLevel="0" collapsed="false">
      <c r="A296" s="32"/>
      <c r="B296" s="32"/>
      <c r="C296" s="32"/>
      <c r="D296" s="32"/>
      <c r="E296" s="32"/>
      <c r="F296" s="32"/>
      <c r="G296" s="32"/>
      <c r="H296" s="28" t="str">
        <f aca="false">IF(COUNTA(C296:G296)=0,"",IF(AND(C296="Yes",D296="Yes",E296="Yes",F296="Yes",G296="No"),"Yes","No"))</f>
        <v/>
      </c>
      <c r="I296" s="32"/>
      <c r="J296" s="32"/>
    </row>
    <row r="297" customFormat="false" ht="15" hidden="false" customHeight="false" outlineLevel="0" collapsed="false">
      <c r="A297" s="32"/>
      <c r="B297" s="32"/>
      <c r="C297" s="32"/>
      <c r="D297" s="32"/>
      <c r="E297" s="32"/>
      <c r="F297" s="32"/>
      <c r="G297" s="32"/>
      <c r="H297" s="28" t="str">
        <f aca="false">IF(COUNTA(C297:G297)=0,"",IF(AND(C297="Yes",D297="Yes",E297="Yes",F297="Yes",G297="No"),"Yes","No"))</f>
        <v/>
      </c>
      <c r="I297" s="32"/>
      <c r="J297" s="32"/>
    </row>
    <row r="298" customFormat="false" ht="15" hidden="false" customHeight="false" outlineLevel="0" collapsed="false">
      <c r="A298" s="32"/>
      <c r="B298" s="32"/>
      <c r="C298" s="32"/>
      <c r="D298" s="32"/>
      <c r="E298" s="32"/>
      <c r="F298" s="32"/>
      <c r="G298" s="32"/>
      <c r="H298" s="28" t="str">
        <f aca="false">IF(COUNTA(C298:G298)=0,"",IF(AND(C298="Yes",D298="Yes",E298="Yes",F298="Yes",G298="No"),"Yes","No"))</f>
        <v/>
      </c>
      <c r="I298" s="32"/>
      <c r="J298" s="32"/>
    </row>
    <row r="299" customFormat="false" ht="15" hidden="false" customHeight="false" outlineLevel="0" collapsed="false">
      <c r="A299" s="32"/>
      <c r="B299" s="32"/>
      <c r="C299" s="32"/>
      <c r="D299" s="32"/>
      <c r="E299" s="32"/>
      <c r="F299" s="32"/>
      <c r="G299" s="32"/>
      <c r="H299" s="28" t="str">
        <f aca="false">IF(COUNTA(C299:G299)=0,"",IF(AND(C299="Yes",D299="Yes",E299="Yes",F299="Yes",G299="No"),"Yes","No"))</f>
        <v/>
      </c>
      <c r="I299" s="32"/>
      <c r="J299" s="32"/>
    </row>
    <row r="300" customFormat="false" ht="15" hidden="false" customHeight="false" outlineLevel="0" collapsed="false">
      <c r="A300" s="32"/>
      <c r="B300" s="32"/>
      <c r="C300" s="32"/>
      <c r="D300" s="32"/>
      <c r="E300" s="32"/>
      <c r="F300" s="32"/>
      <c r="G300" s="32"/>
      <c r="H300" s="28" t="str">
        <f aca="false">IF(COUNTA(C300:G300)=0,"",IF(AND(C300="Yes",D300="Yes",E300="Yes",F300="Yes",G300="No"),"Yes","No"))</f>
        <v/>
      </c>
      <c r="I300" s="32"/>
      <c r="J300" s="32"/>
    </row>
    <row r="301" customFormat="false" ht="15" hidden="false" customHeight="false" outlineLevel="0" collapsed="false">
      <c r="A301" s="32"/>
      <c r="B301" s="32"/>
      <c r="C301" s="32"/>
      <c r="D301" s="32"/>
      <c r="E301" s="32"/>
      <c r="F301" s="32"/>
      <c r="G301" s="32"/>
      <c r="H301" s="28" t="str">
        <f aca="false">IF(COUNTA(C301:G301)=0,"",IF(AND(C301="Yes",D301="Yes",E301="Yes",F301="Yes",G301="No"),"Yes","No"))</f>
        <v/>
      </c>
      <c r="I301" s="32"/>
      <c r="J301" s="32"/>
    </row>
    <row r="302" customFormat="false" ht="15" hidden="false" customHeight="false" outlineLevel="0" collapsed="false">
      <c r="A302" s="32"/>
      <c r="B302" s="32"/>
      <c r="C302" s="32"/>
      <c r="D302" s="32"/>
      <c r="E302" s="32"/>
      <c r="F302" s="32"/>
      <c r="G302" s="32"/>
      <c r="H302" s="28" t="str">
        <f aca="false">IF(COUNTA(C302:G302)=0,"",IF(AND(C302="Yes",D302="Yes",E302="Yes",F302="Yes",G302="No"),"Yes","No"))</f>
        <v/>
      </c>
      <c r="I302" s="32"/>
      <c r="J302" s="32"/>
    </row>
    <row r="303" customFormat="false" ht="15" hidden="false" customHeight="false" outlineLevel="0" collapsed="false">
      <c r="A303" s="32"/>
      <c r="B303" s="32"/>
      <c r="C303" s="32"/>
      <c r="D303" s="32"/>
      <c r="E303" s="32"/>
      <c r="F303" s="32"/>
      <c r="G303" s="32"/>
      <c r="H303" s="28" t="str">
        <f aca="false">IF(COUNTA(C303:G303)=0,"",IF(AND(C303="Yes",D303="Yes",E303="Yes",F303="Yes",G303="No"),"Yes","No"))</f>
        <v/>
      </c>
      <c r="I303" s="32"/>
      <c r="J303" s="32"/>
    </row>
    <row r="304" customFormat="false" ht="15" hidden="false" customHeight="false" outlineLevel="0" collapsed="false">
      <c r="A304" s="32"/>
      <c r="B304" s="32"/>
      <c r="C304" s="32"/>
      <c r="D304" s="32"/>
      <c r="E304" s="32"/>
      <c r="F304" s="32"/>
      <c r="G304" s="32"/>
      <c r="H304" s="28" t="str">
        <f aca="false">IF(COUNTA(C304:G304)=0,"",IF(AND(C304="Yes",D304="Yes",E304="Yes",F304="Yes",G304="No"),"Yes","No"))</f>
        <v/>
      </c>
      <c r="I304" s="32"/>
      <c r="J304" s="32"/>
    </row>
    <row r="305" customFormat="false" ht="15" hidden="false" customHeight="false" outlineLevel="0" collapsed="false">
      <c r="A305" s="32"/>
      <c r="B305" s="32"/>
      <c r="C305" s="32"/>
      <c r="D305" s="32"/>
      <c r="E305" s="32"/>
      <c r="F305" s="32"/>
      <c r="G305" s="32"/>
      <c r="H305" s="28" t="str">
        <f aca="false">IF(COUNTA(C305:G305)=0,"",IF(AND(C305="Yes",D305="Yes",E305="Yes",F305="Yes",G305="No"),"Yes","No"))</f>
        <v/>
      </c>
      <c r="I305" s="32"/>
      <c r="J305" s="32"/>
    </row>
    <row r="306" customFormat="false" ht="15" hidden="false" customHeight="false" outlineLevel="0" collapsed="false">
      <c r="A306" s="32"/>
      <c r="B306" s="32"/>
      <c r="C306" s="32"/>
      <c r="D306" s="32"/>
      <c r="E306" s="32"/>
      <c r="F306" s="32"/>
      <c r="G306" s="32"/>
      <c r="H306" s="28" t="str">
        <f aca="false">IF(COUNTA(C306:G306)=0,"",IF(AND(C306="Yes",D306="Yes",E306="Yes",F306="Yes",G306="No"),"Yes","No"))</f>
        <v/>
      </c>
      <c r="I306" s="32"/>
      <c r="J306" s="32"/>
    </row>
    <row r="307" customFormat="false" ht="15" hidden="false" customHeight="false" outlineLevel="0" collapsed="false">
      <c r="A307" s="32"/>
      <c r="B307" s="32"/>
      <c r="C307" s="32"/>
      <c r="D307" s="32"/>
      <c r="E307" s="32"/>
      <c r="F307" s="32"/>
      <c r="G307" s="32"/>
      <c r="H307" s="28" t="str">
        <f aca="false">IF(COUNTA(C307:G307)=0,"",IF(AND(C307="Yes",D307="Yes",E307="Yes",F307="Yes",G307="No"),"Yes","No"))</f>
        <v/>
      </c>
      <c r="I307" s="32"/>
      <c r="J307" s="32"/>
    </row>
    <row r="308" customFormat="false" ht="15" hidden="false" customHeight="false" outlineLevel="0" collapsed="false">
      <c r="A308" s="32"/>
      <c r="B308" s="32"/>
      <c r="C308" s="32"/>
      <c r="D308" s="32"/>
      <c r="E308" s="32"/>
      <c r="F308" s="32"/>
      <c r="G308" s="32"/>
      <c r="H308" s="28" t="str">
        <f aca="false">IF(COUNTA(C308:G308)=0,"",IF(AND(C308="Yes",D308="Yes",E308="Yes",F308="Yes",G308="No"),"Yes","No"))</f>
        <v/>
      </c>
      <c r="I308" s="32"/>
      <c r="J308" s="32"/>
    </row>
    <row r="309" customFormat="false" ht="15" hidden="false" customHeight="false" outlineLevel="0" collapsed="false">
      <c r="A309" s="32"/>
      <c r="B309" s="32"/>
      <c r="C309" s="32"/>
      <c r="D309" s="32"/>
      <c r="E309" s="32"/>
      <c r="F309" s="32"/>
      <c r="G309" s="32"/>
      <c r="H309" s="28" t="str">
        <f aca="false">IF(COUNTA(C309:G309)=0,"",IF(AND(C309="Yes",D309="Yes",E309="Yes",F309="Yes",G309="No"),"Yes","No"))</f>
        <v/>
      </c>
      <c r="I309" s="32"/>
      <c r="J309" s="32"/>
    </row>
    <row r="310" customFormat="false" ht="15" hidden="false" customHeight="false" outlineLevel="0" collapsed="false">
      <c r="A310" s="32"/>
      <c r="B310" s="32"/>
      <c r="C310" s="32"/>
      <c r="D310" s="32"/>
      <c r="E310" s="32"/>
      <c r="F310" s="32"/>
      <c r="G310" s="32"/>
      <c r="H310" s="28" t="str">
        <f aca="false">IF(COUNTA(C310:G310)=0,"",IF(AND(C310="Yes",D310="Yes",E310="Yes",F310="Yes",G310="No"),"Yes","No"))</f>
        <v/>
      </c>
      <c r="I310" s="32"/>
      <c r="J310" s="32"/>
    </row>
    <row r="311" customFormat="false" ht="15" hidden="false" customHeight="false" outlineLevel="0" collapsed="false">
      <c r="A311" s="32"/>
      <c r="B311" s="32"/>
      <c r="C311" s="32"/>
      <c r="D311" s="32"/>
      <c r="E311" s="32"/>
      <c r="F311" s="32"/>
      <c r="G311" s="32"/>
      <c r="H311" s="28" t="str">
        <f aca="false">IF(COUNTA(C311:G311)=0,"",IF(AND(C311="Yes",D311="Yes",E311="Yes",F311="Yes",G311="No"),"Yes","No"))</f>
        <v/>
      </c>
      <c r="I311" s="32"/>
      <c r="J311" s="32"/>
    </row>
    <row r="312" customFormat="false" ht="15" hidden="false" customHeight="false" outlineLevel="0" collapsed="false">
      <c r="A312" s="32"/>
      <c r="B312" s="32"/>
      <c r="C312" s="32"/>
      <c r="D312" s="32"/>
      <c r="E312" s="32"/>
      <c r="F312" s="32"/>
      <c r="G312" s="32"/>
      <c r="H312" s="28" t="str">
        <f aca="false">IF(COUNTA(C312:G312)=0,"",IF(AND(C312="Yes",D312="Yes",E312="Yes",F312="Yes",G312="No"),"Yes","No"))</f>
        <v/>
      </c>
      <c r="I312" s="32"/>
      <c r="J312" s="32"/>
    </row>
    <row r="313" customFormat="false" ht="15" hidden="false" customHeight="false" outlineLevel="0" collapsed="false">
      <c r="A313" s="32"/>
      <c r="B313" s="32"/>
      <c r="C313" s="32"/>
      <c r="D313" s="32"/>
      <c r="E313" s="32"/>
      <c r="F313" s="32"/>
      <c r="G313" s="32"/>
      <c r="H313" s="28" t="str">
        <f aca="false">IF(COUNTA(C313:G313)=0,"",IF(AND(C313="Yes",D313="Yes",E313="Yes",F313="Yes",G313="No"),"Yes","No"))</f>
        <v/>
      </c>
      <c r="I313" s="32"/>
      <c r="J313" s="32"/>
    </row>
    <row r="314" customFormat="false" ht="15" hidden="false" customHeight="false" outlineLevel="0" collapsed="false">
      <c r="A314" s="32"/>
      <c r="B314" s="32"/>
      <c r="C314" s="32"/>
      <c r="D314" s="32"/>
      <c r="E314" s="32"/>
      <c r="F314" s="32"/>
      <c r="G314" s="32"/>
      <c r="H314" s="28" t="str">
        <f aca="false">IF(COUNTA(C314:G314)=0,"",IF(AND(C314="Yes",D314="Yes",E314="Yes",F314="Yes",G314="No"),"Yes","No"))</f>
        <v/>
      </c>
      <c r="I314" s="32"/>
      <c r="J314" s="32"/>
    </row>
    <row r="315" customFormat="false" ht="15" hidden="false" customHeight="false" outlineLevel="0" collapsed="false">
      <c r="A315" s="32"/>
      <c r="B315" s="32"/>
      <c r="C315" s="32"/>
      <c r="D315" s="32"/>
      <c r="E315" s="32"/>
      <c r="F315" s="32"/>
      <c r="G315" s="32"/>
      <c r="H315" s="28" t="str">
        <f aca="false">IF(COUNTA(C315:G315)=0,"",IF(AND(C315="Yes",D315="Yes",E315="Yes",F315="Yes",G315="No"),"Yes","No"))</f>
        <v/>
      </c>
      <c r="I315" s="32"/>
      <c r="J315" s="32"/>
    </row>
    <row r="316" customFormat="false" ht="15" hidden="false" customHeight="false" outlineLevel="0" collapsed="false">
      <c r="A316" s="32"/>
      <c r="B316" s="32"/>
      <c r="C316" s="32"/>
      <c r="D316" s="32"/>
      <c r="E316" s="32"/>
      <c r="F316" s="32"/>
      <c r="G316" s="32"/>
      <c r="H316" s="28" t="str">
        <f aca="false">IF(COUNTA(C316:G316)=0,"",IF(AND(C316="Yes",D316="Yes",E316="Yes",F316="Yes",G316="No"),"Yes","No"))</f>
        <v/>
      </c>
      <c r="I316" s="32"/>
      <c r="J316" s="32"/>
    </row>
    <row r="317" customFormat="false" ht="15" hidden="false" customHeight="false" outlineLevel="0" collapsed="false">
      <c r="A317" s="32"/>
      <c r="B317" s="32"/>
      <c r="C317" s="32"/>
      <c r="D317" s="32"/>
      <c r="E317" s="32"/>
      <c r="F317" s="32"/>
      <c r="G317" s="32"/>
      <c r="H317" s="28" t="str">
        <f aca="false">IF(COUNTA(C317:G317)=0,"",IF(AND(C317="Yes",D317="Yes",E317="Yes",F317="Yes",G317="No"),"Yes","No"))</f>
        <v/>
      </c>
      <c r="I317" s="32"/>
      <c r="J317" s="32"/>
    </row>
    <row r="318" customFormat="false" ht="15" hidden="false" customHeight="false" outlineLevel="0" collapsed="false">
      <c r="A318" s="32"/>
      <c r="B318" s="32"/>
      <c r="C318" s="32"/>
      <c r="D318" s="32"/>
      <c r="E318" s="32"/>
      <c r="F318" s="32"/>
      <c r="G318" s="32"/>
      <c r="H318" s="28" t="str">
        <f aca="false">IF(COUNTA(C318:G318)=0,"",IF(AND(C318="Yes",D318="Yes",E318="Yes",F318="Yes",G318="No"),"Yes","No"))</f>
        <v/>
      </c>
      <c r="I318" s="32"/>
      <c r="J318" s="32"/>
    </row>
    <row r="319" customFormat="false" ht="15" hidden="false" customHeight="false" outlineLevel="0" collapsed="false">
      <c r="A319" s="32"/>
      <c r="B319" s="32"/>
      <c r="C319" s="32"/>
      <c r="D319" s="32"/>
      <c r="E319" s="32"/>
      <c r="F319" s="32"/>
      <c r="G319" s="32"/>
      <c r="H319" s="28" t="str">
        <f aca="false">IF(COUNTA(C319:G319)=0,"",IF(AND(C319="Yes",D319="Yes",E319="Yes",F319="Yes",G319="No"),"Yes","No"))</f>
        <v/>
      </c>
      <c r="I319" s="32"/>
      <c r="J319" s="32"/>
    </row>
    <row r="320" customFormat="false" ht="15" hidden="false" customHeight="false" outlineLevel="0" collapsed="false">
      <c r="A320" s="32"/>
      <c r="B320" s="32"/>
      <c r="C320" s="32"/>
      <c r="D320" s="32"/>
      <c r="E320" s="32"/>
      <c r="F320" s="32"/>
      <c r="G320" s="32"/>
      <c r="H320" s="28" t="str">
        <f aca="false">IF(COUNTA(C320:G320)=0,"",IF(AND(C320="Yes",D320="Yes",E320="Yes",F320="Yes",G320="No"),"Yes","No"))</f>
        <v/>
      </c>
      <c r="I320" s="32"/>
      <c r="J320" s="32"/>
    </row>
    <row r="321" customFormat="false" ht="15" hidden="false" customHeight="false" outlineLevel="0" collapsed="false">
      <c r="A321" s="32"/>
      <c r="B321" s="32"/>
      <c r="C321" s="32"/>
      <c r="D321" s="32"/>
      <c r="E321" s="32"/>
      <c r="F321" s="32"/>
      <c r="G321" s="32"/>
      <c r="H321" s="28" t="str">
        <f aca="false">IF(COUNTA(C321:G321)=0,"",IF(AND(C321="Yes",D321="Yes",E321="Yes",F321="Yes",G321="No"),"Yes","No"))</f>
        <v/>
      </c>
      <c r="I321" s="32"/>
      <c r="J321" s="32"/>
    </row>
    <row r="322" customFormat="false" ht="15" hidden="false" customHeight="false" outlineLevel="0" collapsed="false">
      <c r="A322" s="32"/>
      <c r="B322" s="32"/>
      <c r="C322" s="32"/>
      <c r="D322" s="32"/>
      <c r="E322" s="32"/>
      <c r="F322" s="32"/>
      <c r="G322" s="32"/>
      <c r="H322" s="28" t="str">
        <f aca="false">IF(COUNTA(C322:G322)=0,"",IF(AND(C322="Yes",D322="Yes",E322="Yes",F322="Yes",G322="No"),"Yes","No"))</f>
        <v/>
      </c>
      <c r="I322" s="32"/>
      <c r="J322" s="32"/>
    </row>
    <row r="323" customFormat="false" ht="15" hidden="false" customHeight="false" outlineLevel="0" collapsed="false">
      <c r="A323" s="32"/>
      <c r="B323" s="32"/>
      <c r="C323" s="32"/>
      <c r="D323" s="32"/>
      <c r="E323" s="32"/>
      <c r="F323" s="32"/>
      <c r="G323" s="32"/>
      <c r="H323" s="28" t="str">
        <f aca="false">IF(COUNTA(C323:G323)=0,"",IF(AND(C323="Yes",D323="Yes",E323="Yes",F323="Yes",G323="No"),"Yes","No"))</f>
        <v/>
      </c>
      <c r="I323" s="32"/>
      <c r="J323" s="32"/>
    </row>
    <row r="324" customFormat="false" ht="15" hidden="false" customHeight="false" outlineLevel="0" collapsed="false">
      <c r="A324" s="32"/>
      <c r="B324" s="32"/>
      <c r="C324" s="32"/>
      <c r="D324" s="32"/>
      <c r="E324" s="32"/>
      <c r="F324" s="32"/>
      <c r="G324" s="32"/>
      <c r="H324" s="28" t="str">
        <f aca="false">IF(COUNTA(C324:G324)=0,"",IF(AND(C324="Yes",D324="Yes",E324="Yes",F324="Yes",G324="No"),"Yes","No"))</f>
        <v/>
      </c>
      <c r="I324" s="32"/>
      <c r="J324" s="32"/>
    </row>
    <row r="325" customFormat="false" ht="15" hidden="false" customHeight="false" outlineLevel="0" collapsed="false">
      <c r="A325" s="32"/>
      <c r="B325" s="32"/>
      <c r="C325" s="32"/>
      <c r="D325" s="32"/>
      <c r="E325" s="32"/>
      <c r="F325" s="32"/>
      <c r="G325" s="32"/>
      <c r="H325" s="28" t="str">
        <f aca="false">IF(COUNTA(C325:G325)=0,"",IF(AND(C325="Yes",D325="Yes",E325="Yes",F325="Yes",G325="No"),"Yes","No"))</f>
        <v/>
      </c>
      <c r="I325" s="32"/>
      <c r="J325" s="32"/>
    </row>
    <row r="326" customFormat="false" ht="15" hidden="false" customHeight="false" outlineLevel="0" collapsed="false">
      <c r="A326" s="32"/>
      <c r="B326" s="32"/>
      <c r="C326" s="32"/>
      <c r="D326" s="32"/>
      <c r="E326" s="32"/>
      <c r="F326" s="32"/>
      <c r="G326" s="32"/>
      <c r="H326" s="28" t="str">
        <f aca="false">IF(COUNTA(C326:G326)=0,"",IF(AND(C326="Yes",D326="Yes",E326="Yes",F326="Yes",G326="No"),"Yes","No"))</f>
        <v/>
      </c>
      <c r="I326" s="32"/>
      <c r="J326" s="32"/>
    </row>
    <row r="327" customFormat="false" ht="15" hidden="false" customHeight="false" outlineLevel="0" collapsed="false">
      <c r="A327" s="32"/>
      <c r="B327" s="32"/>
      <c r="C327" s="32"/>
      <c r="D327" s="32"/>
      <c r="E327" s="32"/>
      <c r="F327" s="32"/>
      <c r="G327" s="32"/>
      <c r="H327" s="28" t="str">
        <f aca="false">IF(COUNTA(C327:G327)=0,"",IF(AND(C327="Yes",D327="Yes",E327="Yes",F327="Yes",G327="No"),"Yes","No"))</f>
        <v/>
      </c>
      <c r="I327" s="32"/>
      <c r="J327" s="32"/>
    </row>
    <row r="328" customFormat="false" ht="15" hidden="false" customHeight="false" outlineLevel="0" collapsed="false">
      <c r="A328" s="32"/>
      <c r="B328" s="32"/>
      <c r="C328" s="32"/>
      <c r="D328" s="32"/>
      <c r="E328" s="32"/>
      <c r="F328" s="32"/>
      <c r="G328" s="32"/>
      <c r="H328" s="28" t="str">
        <f aca="false">IF(COUNTA(C328:G328)=0,"",IF(AND(C328="Yes",D328="Yes",E328="Yes",F328="Yes",G328="No"),"Yes","No"))</f>
        <v/>
      </c>
      <c r="I328" s="32"/>
      <c r="J328" s="32"/>
    </row>
    <row r="329" customFormat="false" ht="15" hidden="false" customHeight="false" outlineLevel="0" collapsed="false">
      <c r="A329" s="32"/>
      <c r="B329" s="32"/>
      <c r="C329" s="32"/>
      <c r="D329" s="32"/>
      <c r="E329" s="32"/>
      <c r="F329" s="32"/>
      <c r="G329" s="32"/>
      <c r="H329" s="28" t="str">
        <f aca="false">IF(COUNTA(C329:G329)=0,"",IF(AND(C329="Yes",D329="Yes",E329="Yes",F329="Yes",G329="No"),"Yes","No"))</f>
        <v/>
      </c>
      <c r="I329" s="32"/>
      <c r="J329" s="32"/>
    </row>
    <row r="330" customFormat="false" ht="15" hidden="false" customHeight="false" outlineLevel="0" collapsed="false">
      <c r="A330" s="32"/>
      <c r="B330" s="32"/>
      <c r="C330" s="32"/>
      <c r="D330" s="32"/>
      <c r="E330" s="32"/>
      <c r="F330" s="32"/>
      <c r="G330" s="32"/>
      <c r="H330" s="28" t="str">
        <f aca="false">IF(COUNTA(C330:G330)=0,"",IF(AND(C330="Yes",D330="Yes",E330="Yes",F330="Yes",G330="No"),"Yes","No"))</f>
        <v/>
      </c>
      <c r="I330" s="32"/>
      <c r="J330" s="32"/>
    </row>
    <row r="331" customFormat="false" ht="15" hidden="false" customHeight="false" outlineLevel="0" collapsed="false">
      <c r="A331" s="32"/>
      <c r="B331" s="32"/>
      <c r="C331" s="32"/>
      <c r="D331" s="32"/>
      <c r="E331" s="32"/>
      <c r="F331" s="32"/>
      <c r="G331" s="32"/>
      <c r="H331" s="28" t="str">
        <f aca="false">IF(COUNTA(C331:G331)=0,"",IF(AND(C331="Yes",D331="Yes",E331="Yes",F331="Yes",G331="No"),"Yes","No"))</f>
        <v/>
      </c>
      <c r="I331" s="32"/>
      <c r="J331" s="32"/>
    </row>
    <row r="332" customFormat="false" ht="15" hidden="false" customHeight="false" outlineLevel="0" collapsed="false">
      <c r="A332" s="32"/>
      <c r="B332" s="32"/>
      <c r="C332" s="32"/>
      <c r="D332" s="32"/>
      <c r="E332" s="32"/>
      <c r="F332" s="32"/>
      <c r="G332" s="32"/>
      <c r="H332" s="28" t="str">
        <f aca="false">IF(COUNTA(C332:G332)=0,"",IF(AND(C332="Yes",D332="Yes",E332="Yes",F332="Yes",G332="No"),"Yes","No"))</f>
        <v/>
      </c>
      <c r="I332" s="32"/>
      <c r="J332" s="32"/>
    </row>
    <row r="333" customFormat="false" ht="15" hidden="false" customHeight="false" outlineLevel="0" collapsed="false">
      <c r="A333" s="32"/>
      <c r="B333" s="32"/>
      <c r="C333" s="32"/>
      <c r="D333" s="32"/>
      <c r="E333" s="32"/>
      <c r="F333" s="32"/>
      <c r="G333" s="32"/>
      <c r="H333" s="28" t="str">
        <f aca="false">IF(COUNTA(C333:G333)=0,"",IF(AND(C333="Yes",D333="Yes",E333="Yes",F333="Yes",G333="No"),"Yes","No"))</f>
        <v/>
      </c>
      <c r="I333" s="32"/>
      <c r="J333" s="32"/>
    </row>
    <row r="334" customFormat="false" ht="15" hidden="false" customHeight="false" outlineLevel="0" collapsed="false">
      <c r="A334" s="32"/>
      <c r="B334" s="32"/>
      <c r="C334" s="32"/>
      <c r="D334" s="32"/>
      <c r="E334" s="32"/>
      <c r="F334" s="32"/>
      <c r="G334" s="32"/>
      <c r="H334" s="28" t="str">
        <f aca="false">IF(COUNTA(C334:G334)=0,"",IF(AND(C334="Yes",D334="Yes",E334="Yes",F334="Yes",G334="No"),"Yes","No"))</f>
        <v/>
      </c>
      <c r="I334" s="32"/>
      <c r="J334" s="32"/>
    </row>
    <row r="335" customFormat="false" ht="15" hidden="false" customHeight="false" outlineLevel="0" collapsed="false">
      <c r="A335" s="32"/>
      <c r="B335" s="32"/>
      <c r="C335" s="32"/>
      <c r="D335" s="32"/>
      <c r="E335" s="32"/>
      <c r="F335" s="32"/>
      <c r="G335" s="32"/>
      <c r="H335" s="28" t="str">
        <f aca="false">IF(COUNTA(C335:G335)=0,"",IF(AND(C335="Yes",D335="Yes",E335="Yes",F335="Yes",G335="No"),"Yes","No"))</f>
        <v/>
      </c>
      <c r="I335" s="32"/>
      <c r="J335" s="32"/>
    </row>
    <row r="336" customFormat="false" ht="15" hidden="false" customHeight="false" outlineLevel="0" collapsed="false">
      <c r="A336" s="32"/>
      <c r="B336" s="32"/>
      <c r="C336" s="32"/>
      <c r="D336" s="32"/>
      <c r="E336" s="32"/>
      <c r="F336" s="32"/>
      <c r="G336" s="32"/>
      <c r="H336" s="28" t="str">
        <f aca="false">IF(COUNTA(C336:G336)=0,"",IF(AND(C336="Yes",D336="Yes",E336="Yes",F336="Yes",G336="No"),"Yes","No"))</f>
        <v/>
      </c>
      <c r="I336" s="32"/>
      <c r="J336" s="32"/>
    </row>
    <row r="337" customFormat="false" ht="15" hidden="false" customHeight="false" outlineLevel="0" collapsed="false">
      <c r="A337" s="32"/>
      <c r="B337" s="32"/>
      <c r="C337" s="32"/>
      <c r="D337" s="32"/>
      <c r="E337" s="32"/>
      <c r="F337" s="32"/>
      <c r="G337" s="32"/>
      <c r="H337" s="28" t="str">
        <f aca="false">IF(COUNTA(C337:G337)=0,"",IF(AND(C337="Yes",D337="Yes",E337="Yes",F337="Yes",G337="No"),"Yes","No"))</f>
        <v/>
      </c>
      <c r="I337" s="32"/>
      <c r="J337" s="32"/>
    </row>
    <row r="338" customFormat="false" ht="15" hidden="false" customHeight="false" outlineLevel="0" collapsed="false">
      <c r="A338" s="32"/>
      <c r="B338" s="32"/>
      <c r="C338" s="32"/>
      <c r="D338" s="32"/>
      <c r="E338" s="32"/>
      <c r="F338" s="32"/>
      <c r="G338" s="32"/>
      <c r="H338" s="28" t="str">
        <f aca="false">IF(COUNTA(C338:G338)=0,"",IF(AND(C338="Yes",D338="Yes",E338="Yes",F338="Yes",G338="No"),"Yes","No"))</f>
        <v/>
      </c>
      <c r="I338" s="32"/>
      <c r="J338" s="32"/>
    </row>
    <row r="339" customFormat="false" ht="15" hidden="false" customHeight="false" outlineLevel="0" collapsed="false">
      <c r="A339" s="32"/>
      <c r="B339" s="32"/>
      <c r="C339" s="32"/>
      <c r="D339" s="32"/>
      <c r="E339" s="32"/>
      <c r="F339" s="32"/>
      <c r="G339" s="32"/>
      <c r="H339" s="28" t="str">
        <f aca="false">IF(COUNTA(C339:G339)=0,"",IF(AND(C339="Yes",D339="Yes",E339="Yes",F339="Yes",G339="No"),"Yes","No"))</f>
        <v/>
      </c>
      <c r="I339" s="32"/>
      <c r="J339" s="32"/>
    </row>
    <row r="340" customFormat="false" ht="15" hidden="false" customHeight="false" outlineLevel="0" collapsed="false">
      <c r="A340" s="32"/>
      <c r="B340" s="32"/>
      <c r="C340" s="32"/>
      <c r="D340" s="32"/>
      <c r="E340" s="32"/>
      <c r="F340" s="32"/>
      <c r="G340" s="32"/>
      <c r="H340" s="28" t="str">
        <f aca="false">IF(COUNTA(C340:G340)=0,"",IF(AND(C340="Yes",D340="Yes",E340="Yes",F340="Yes",G340="No"),"Yes","No"))</f>
        <v/>
      </c>
      <c r="I340" s="32"/>
      <c r="J340" s="32"/>
    </row>
    <row r="341" customFormat="false" ht="15" hidden="false" customHeight="false" outlineLevel="0" collapsed="false">
      <c r="A341" s="32"/>
      <c r="B341" s="32"/>
      <c r="C341" s="32"/>
      <c r="D341" s="32"/>
      <c r="E341" s="32"/>
      <c r="F341" s="32"/>
      <c r="G341" s="32"/>
      <c r="H341" s="28" t="str">
        <f aca="false">IF(COUNTA(C341:G341)=0,"",IF(AND(C341="Yes",D341="Yes",E341="Yes",F341="Yes",G341="No"),"Yes","No"))</f>
        <v/>
      </c>
      <c r="I341" s="32"/>
      <c r="J341" s="32"/>
    </row>
    <row r="342" customFormat="false" ht="15" hidden="false" customHeight="false" outlineLevel="0" collapsed="false">
      <c r="A342" s="32"/>
      <c r="B342" s="32"/>
      <c r="C342" s="32"/>
      <c r="D342" s="32"/>
      <c r="E342" s="32"/>
      <c r="F342" s="32"/>
      <c r="G342" s="32"/>
      <c r="H342" s="28" t="str">
        <f aca="false">IF(COUNTA(C342:G342)=0,"",IF(AND(C342="Yes",D342="Yes",E342="Yes",F342="Yes",G342="No"),"Yes","No"))</f>
        <v/>
      </c>
      <c r="I342" s="32"/>
      <c r="J342" s="32"/>
    </row>
    <row r="343" customFormat="false" ht="15" hidden="false" customHeight="false" outlineLevel="0" collapsed="false">
      <c r="A343" s="32"/>
      <c r="B343" s="32"/>
      <c r="C343" s="32"/>
      <c r="D343" s="32"/>
      <c r="E343" s="32"/>
      <c r="F343" s="32"/>
      <c r="G343" s="32"/>
      <c r="H343" s="28" t="str">
        <f aca="false">IF(COUNTA(C343:G343)=0,"",IF(AND(C343="Yes",D343="Yes",E343="Yes",F343="Yes",G343="No"),"Yes","No"))</f>
        <v/>
      </c>
      <c r="I343" s="32"/>
      <c r="J343" s="32"/>
    </row>
    <row r="344" customFormat="false" ht="15" hidden="false" customHeight="false" outlineLevel="0" collapsed="false">
      <c r="A344" s="32"/>
      <c r="B344" s="32"/>
      <c r="C344" s="32"/>
      <c r="D344" s="32"/>
      <c r="E344" s="32"/>
      <c r="F344" s="32"/>
      <c r="G344" s="32"/>
      <c r="H344" s="28" t="str">
        <f aca="false">IF(COUNTA(C344:G344)=0,"",IF(AND(C344="Yes",D344="Yes",E344="Yes",F344="Yes",G344="No"),"Yes","No"))</f>
        <v/>
      </c>
      <c r="I344" s="32"/>
      <c r="J344" s="32"/>
    </row>
    <row r="345" customFormat="false" ht="15" hidden="false" customHeight="false" outlineLevel="0" collapsed="false">
      <c r="A345" s="32"/>
      <c r="B345" s="32"/>
      <c r="C345" s="32"/>
      <c r="D345" s="32"/>
      <c r="E345" s="32"/>
      <c r="F345" s="32"/>
      <c r="G345" s="32"/>
      <c r="H345" s="28" t="str">
        <f aca="false">IF(COUNTA(C345:G345)=0,"",IF(AND(C345="Yes",D345="Yes",E345="Yes",F345="Yes",G345="No"),"Yes","No"))</f>
        <v/>
      </c>
      <c r="I345" s="32"/>
      <c r="J345" s="32"/>
    </row>
    <row r="346" customFormat="false" ht="15" hidden="false" customHeight="false" outlineLevel="0" collapsed="false">
      <c r="A346" s="32"/>
      <c r="B346" s="32"/>
      <c r="C346" s="32"/>
      <c r="D346" s="32"/>
      <c r="E346" s="32"/>
      <c r="F346" s="32"/>
      <c r="G346" s="32"/>
      <c r="H346" s="28" t="str">
        <f aca="false">IF(COUNTA(C346:G346)=0,"",IF(AND(C346="Yes",D346="Yes",E346="Yes",F346="Yes",G346="No"),"Yes","No"))</f>
        <v/>
      </c>
      <c r="I346" s="32"/>
      <c r="J346" s="32"/>
    </row>
    <row r="347" customFormat="false" ht="15" hidden="false" customHeight="false" outlineLevel="0" collapsed="false">
      <c r="A347" s="32"/>
      <c r="B347" s="32"/>
      <c r="C347" s="32"/>
      <c r="D347" s="32"/>
      <c r="E347" s="32"/>
      <c r="F347" s="32"/>
      <c r="G347" s="32"/>
      <c r="H347" s="28" t="str">
        <f aca="false">IF(COUNTA(C347:G347)=0,"",IF(AND(C347="Yes",D347="Yes",E347="Yes",F347="Yes",G347="No"),"Yes","No"))</f>
        <v/>
      </c>
      <c r="I347" s="32"/>
      <c r="J347" s="32"/>
    </row>
    <row r="348" customFormat="false" ht="15" hidden="false" customHeight="false" outlineLevel="0" collapsed="false">
      <c r="A348" s="32"/>
      <c r="B348" s="32"/>
      <c r="C348" s="32"/>
      <c r="D348" s="32"/>
      <c r="E348" s="32"/>
      <c r="F348" s="32"/>
      <c r="G348" s="32"/>
      <c r="H348" s="28" t="str">
        <f aca="false">IF(COUNTA(C348:G348)=0,"",IF(AND(C348="Yes",D348="Yes",E348="Yes",F348="Yes",G348="No"),"Yes","No"))</f>
        <v/>
      </c>
      <c r="I348" s="32"/>
      <c r="J348" s="32"/>
    </row>
    <row r="349" customFormat="false" ht="15" hidden="false" customHeight="false" outlineLevel="0" collapsed="false">
      <c r="A349" s="32"/>
      <c r="B349" s="32"/>
      <c r="C349" s="32"/>
      <c r="D349" s="32"/>
      <c r="E349" s="32"/>
      <c r="F349" s="32"/>
      <c r="G349" s="32"/>
      <c r="H349" s="28" t="str">
        <f aca="false">IF(COUNTA(C349:G349)=0,"",IF(AND(C349="Yes",D349="Yes",E349="Yes",F349="Yes",G349="No"),"Yes","No"))</f>
        <v/>
      </c>
      <c r="I349" s="32"/>
      <c r="J349" s="32"/>
    </row>
    <row r="350" customFormat="false" ht="15" hidden="false" customHeight="false" outlineLevel="0" collapsed="false">
      <c r="A350" s="32"/>
      <c r="B350" s="32"/>
      <c r="C350" s="32"/>
      <c r="D350" s="32"/>
      <c r="E350" s="32"/>
      <c r="F350" s="32"/>
      <c r="G350" s="32"/>
      <c r="H350" s="28" t="str">
        <f aca="false">IF(COUNTA(C350:G350)=0,"",IF(AND(C350="Yes",D350="Yes",E350="Yes",F350="Yes",G350="No"),"Yes","No"))</f>
        <v/>
      </c>
      <c r="I350" s="32"/>
      <c r="J350" s="32"/>
    </row>
    <row r="351" customFormat="false" ht="15" hidden="false" customHeight="false" outlineLevel="0" collapsed="false">
      <c r="A351" s="32"/>
      <c r="B351" s="32"/>
      <c r="C351" s="32"/>
      <c r="D351" s="32"/>
      <c r="E351" s="32"/>
      <c r="F351" s="32"/>
      <c r="G351" s="32"/>
      <c r="H351" s="28" t="str">
        <f aca="false">IF(COUNTA(C351:G351)=0,"",IF(AND(C351="Yes",D351="Yes",E351="Yes",F351="Yes",G351="No"),"Yes","No"))</f>
        <v/>
      </c>
      <c r="I351" s="32"/>
      <c r="J351" s="32"/>
    </row>
    <row r="352" customFormat="false" ht="15" hidden="false" customHeight="false" outlineLevel="0" collapsed="false">
      <c r="A352" s="32"/>
      <c r="B352" s="32"/>
      <c r="C352" s="32"/>
      <c r="D352" s="32"/>
      <c r="E352" s="32"/>
      <c r="F352" s="32"/>
      <c r="G352" s="32"/>
      <c r="H352" s="28" t="str">
        <f aca="false">IF(COUNTA(C352:G352)=0,"",IF(AND(C352="Yes",D352="Yes",E352="Yes",F352="Yes",G352="No"),"Yes","No"))</f>
        <v/>
      </c>
      <c r="I352" s="32"/>
      <c r="J352" s="32"/>
    </row>
    <row r="353" customFormat="false" ht="15" hidden="false" customHeight="false" outlineLevel="0" collapsed="false">
      <c r="A353" s="32"/>
      <c r="B353" s="32"/>
      <c r="C353" s="32"/>
      <c r="D353" s="32"/>
      <c r="E353" s="32"/>
      <c r="F353" s="32"/>
      <c r="G353" s="32"/>
      <c r="H353" s="28" t="str">
        <f aca="false">IF(COUNTA(C353:G353)=0,"",IF(AND(C353="Yes",D353="Yes",E353="Yes",F353="Yes",G353="No"),"Yes","No"))</f>
        <v/>
      </c>
      <c r="I353" s="32"/>
      <c r="J353" s="32"/>
    </row>
    <row r="354" customFormat="false" ht="15" hidden="false" customHeight="false" outlineLevel="0" collapsed="false">
      <c r="A354" s="32"/>
      <c r="B354" s="32"/>
      <c r="C354" s="32"/>
      <c r="D354" s="32"/>
      <c r="E354" s="32"/>
      <c r="F354" s="32"/>
      <c r="G354" s="32"/>
      <c r="H354" s="28" t="str">
        <f aca="false">IF(COUNTA(C354:G354)=0,"",IF(AND(C354="Yes",D354="Yes",E354="Yes",F354="Yes",G354="No"),"Yes","No"))</f>
        <v/>
      </c>
      <c r="I354" s="32"/>
      <c r="J354" s="32"/>
    </row>
    <row r="355" customFormat="false" ht="15" hidden="false" customHeight="false" outlineLevel="0" collapsed="false">
      <c r="A355" s="32"/>
      <c r="B355" s="32"/>
      <c r="C355" s="32"/>
      <c r="D355" s="32"/>
      <c r="E355" s="32"/>
      <c r="F355" s="32"/>
      <c r="G355" s="32"/>
      <c r="H355" s="28" t="str">
        <f aca="false">IF(COUNTA(C355:G355)=0,"",IF(AND(C355="Yes",D355="Yes",E355="Yes",F355="Yes",G355="No"),"Yes","No"))</f>
        <v/>
      </c>
      <c r="I355" s="32"/>
      <c r="J355" s="32"/>
    </row>
    <row r="356" customFormat="false" ht="15" hidden="false" customHeight="false" outlineLevel="0" collapsed="false">
      <c r="A356" s="32"/>
      <c r="B356" s="32"/>
      <c r="C356" s="32"/>
      <c r="D356" s="32"/>
      <c r="E356" s="32"/>
      <c r="F356" s="32"/>
      <c r="G356" s="32"/>
      <c r="H356" s="28" t="str">
        <f aca="false">IF(COUNTA(C356:G356)=0,"",IF(AND(C356="Yes",D356="Yes",E356="Yes",F356="Yes",G356="No"),"Yes","No"))</f>
        <v/>
      </c>
      <c r="I356" s="32"/>
      <c r="J356" s="32"/>
    </row>
    <row r="357" customFormat="false" ht="15" hidden="false" customHeight="false" outlineLevel="0" collapsed="false">
      <c r="A357" s="32"/>
      <c r="B357" s="32"/>
      <c r="C357" s="32"/>
      <c r="D357" s="32"/>
      <c r="E357" s="32"/>
      <c r="F357" s="32"/>
      <c r="G357" s="32"/>
      <c r="H357" s="28" t="str">
        <f aca="false">IF(COUNTA(C357:G357)=0,"",IF(AND(C357="Yes",D357="Yes",E357="Yes",F357="Yes",G357="No"),"Yes","No"))</f>
        <v/>
      </c>
      <c r="I357" s="32"/>
      <c r="J357" s="32"/>
    </row>
    <row r="358" customFormat="false" ht="15" hidden="false" customHeight="false" outlineLevel="0" collapsed="false">
      <c r="A358" s="32"/>
      <c r="B358" s="32"/>
      <c r="C358" s="32"/>
      <c r="D358" s="32"/>
      <c r="E358" s="32"/>
      <c r="F358" s="32"/>
      <c r="G358" s="32"/>
      <c r="H358" s="28" t="str">
        <f aca="false">IF(COUNTA(C358:G358)=0,"",IF(AND(C358="Yes",D358="Yes",E358="Yes",F358="Yes",G358="No"),"Yes","No"))</f>
        <v/>
      </c>
      <c r="I358" s="32"/>
      <c r="J358" s="32"/>
    </row>
    <row r="359" customFormat="false" ht="15" hidden="false" customHeight="false" outlineLevel="0" collapsed="false">
      <c r="A359" s="32"/>
      <c r="B359" s="32"/>
      <c r="C359" s="32"/>
      <c r="D359" s="32"/>
      <c r="E359" s="32"/>
      <c r="F359" s="32"/>
      <c r="G359" s="32"/>
      <c r="H359" s="28" t="str">
        <f aca="false">IF(COUNTA(C359:G359)=0,"",IF(AND(C359="Yes",D359="Yes",E359="Yes",F359="Yes",G359="No"),"Yes","No"))</f>
        <v/>
      </c>
      <c r="I359" s="32"/>
      <c r="J359" s="32"/>
    </row>
    <row r="360" customFormat="false" ht="15" hidden="false" customHeight="false" outlineLevel="0" collapsed="false">
      <c r="A360" s="32"/>
      <c r="B360" s="32"/>
      <c r="C360" s="32"/>
      <c r="D360" s="32"/>
      <c r="E360" s="32"/>
      <c r="F360" s="32"/>
      <c r="G360" s="32"/>
      <c r="H360" s="28" t="str">
        <f aca="false">IF(COUNTA(C360:G360)=0,"",IF(AND(C360="Yes",D360="Yes",E360="Yes",F360="Yes",G360="No"),"Yes","No"))</f>
        <v/>
      </c>
      <c r="I360" s="32"/>
      <c r="J360" s="32"/>
    </row>
    <row r="361" customFormat="false" ht="15" hidden="false" customHeight="false" outlineLevel="0" collapsed="false">
      <c r="A361" s="32"/>
      <c r="B361" s="32"/>
      <c r="C361" s="32"/>
      <c r="D361" s="32"/>
      <c r="E361" s="32"/>
      <c r="F361" s="32"/>
      <c r="G361" s="32"/>
      <c r="H361" s="28" t="str">
        <f aca="false">IF(COUNTA(C361:G361)=0,"",IF(AND(C361="Yes",D361="Yes",E361="Yes",F361="Yes",G361="No"),"Yes","No"))</f>
        <v/>
      </c>
      <c r="I361" s="32"/>
      <c r="J361" s="32"/>
    </row>
    <row r="362" customFormat="false" ht="15" hidden="false" customHeight="false" outlineLevel="0" collapsed="false">
      <c r="A362" s="32"/>
      <c r="B362" s="32"/>
      <c r="C362" s="32"/>
      <c r="D362" s="32"/>
      <c r="E362" s="32"/>
      <c r="F362" s="32"/>
      <c r="G362" s="32"/>
      <c r="H362" s="28" t="str">
        <f aca="false">IF(COUNTA(C362:G362)=0,"",IF(AND(C362="Yes",D362="Yes",E362="Yes",F362="Yes",G362="No"),"Yes","No"))</f>
        <v/>
      </c>
      <c r="I362" s="32"/>
      <c r="J362" s="32"/>
    </row>
    <row r="363" customFormat="false" ht="15" hidden="false" customHeight="false" outlineLevel="0" collapsed="false">
      <c r="A363" s="32"/>
      <c r="B363" s="32"/>
      <c r="C363" s="32"/>
      <c r="D363" s="32"/>
      <c r="E363" s="32"/>
      <c r="F363" s="32"/>
      <c r="G363" s="32"/>
      <c r="H363" s="28" t="str">
        <f aca="false">IF(COUNTA(C363:G363)=0,"",IF(AND(C363="Yes",D363="Yes",E363="Yes",F363="Yes",G363="No"),"Yes","No"))</f>
        <v/>
      </c>
      <c r="I363" s="32"/>
      <c r="J363" s="32"/>
    </row>
    <row r="364" customFormat="false" ht="15" hidden="false" customHeight="false" outlineLevel="0" collapsed="false">
      <c r="A364" s="32"/>
      <c r="B364" s="32"/>
      <c r="C364" s="32"/>
      <c r="D364" s="32"/>
      <c r="E364" s="32"/>
      <c r="F364" s="32"/>
      <c r="G364" s="32"/>
      <c r="H364" s="28" t="str">
        <f aca="false">IF(COUNTA(C364:G364)=0,"",IF(AND(C364="Yes",D364="Yes",E364="Yes",F364="Yes",G364="No"),"Yes","No"))</f>
        <v/>
      </c>
      <c r="I364" s="32"/>
      <c r="J364" s="32"/>
    </row>
    <row r="365" customFormat="false" ht="15" hidden="false" customHeight="false" outlineLevel="0" collapsed="false">
      <c r="A365" s="32"/>
      <c r="B365" s="32"/>
      <c r="C365" s="32"/>
      <c r="D365" s="32"/>
      <c r="E365" s="32"/>
      <c r="F365" s="32"/>
      <c r="G365" s="32"/>
      <c r="H365" s="28" t="str">
        <f aca="false">IF(COUNTA(C365:G365)=0,"",IF(AND(C365="Yes",D365="Yes",E365="Yes",F365="Yes",G365="No"),"Yes","No"))</f>
        <v/>
      </c>
      <c r="I365" s="32"/>
      <c r="J365" s="32"/>
    </row>
    <row r="366" customFormat="false" ht="15" hidden="false" customHeight="false" outlineLevel="0" collapsed="false">
      <c r="A366" s="32"/>
      <c r="B366" s="32"/>
      <c r="C366" s="32"/>
      <c r="D366" s="32"/>
      <c r="E366" s="32"/>
      <c r="F366" s="32"/>
      <c r="G366" s="32"/>
      <c r="H366" s="28" t="str">
        <f aca="false">IF(COUNTA(C366:G366)=0,"",IF(AND(C366="Yes",D366="Yes",E366="Yes",F366="Yes",G366="No"),"Yes","No"))</f>
        <v/>
      </c>
      <c r="I366" s="32"/>
      <c r="J366" s="32"/>
    </row>
    <row r="367" customFormat="false" ht="15" hidden="false" customHeight="false" outlineLevel="0" collapsed="false">
      <c r="A367" s="32"/>
      <c r="B367" s="32"/>
      <c r="C367" s="32"/>
      <c r="D367" s="32"/>
      <c r="E367" s="32"/>
      <c r="F367" s="32"/>
      <c r="G367" s="32"/>
      <c r="H367" s="28" t="str">
        <f aca="false">IF(COUNTA(C367:G367)=0,"",IF(AND(C367="Yes",D367="Yes",E367="Yes",F367="Yes",G367="No"),"Yes","No"))</f>
        <v/>
      </c>
      <c r="I367" s="32"/>
      <c r="J367" s="32"/>
    </row>
    <row r="368" customFormat="false" ht="15" hidden="false" customHeight="false" outlineLevel="0" collapsed="false">
      <c r="A368" s="32"/>
      <c r="B368" s="32"/>
      <c r="C368" s="32"/>
      <c r="D368" s="32"/>
      <c r="E368" s="32"/>
      <c r="F368" s="32"/>
      <c r="G368" s="32"/>
      <c r="H368" s="28" t="str">
        <f aca="false">IF(COUNTA(C368:G368)=0,"",IF(AND(C368="Yes",D368="Yes",E368="Yes",F368="Yes",G368="No"),"Yes","No"))</f>
        <v/>
      </c>
      <c r="I368" s="32"/>
      <c r="J368" s="32"/>
    </row>
    <row r="369" customFormat="false" ht="15" hidden="false" customHeight="false" outlineLevel="0" collapsed="false">
      <c r="A369" s="32"/>
      <c r="B369" s="32"/>
      <c r="C369" s="32"/>
      <c r="D369" s="32"/>
      <c r="E369" s="32"/>
      <c r="F369" s="32"/>
      <c r="G369" s="32"/>
      <c r="H369" s="28" t="str">
        <f aca="false">IF(COUNTA(C369:G369)=0,"",IF(AND(C369="Yes",D369="Yes",E369="Yes",F369="Yes",G369="No"),"Yes","No"))</f>
        <v/>
      </c>
      <c r="I369" s="32"/>
      <c r="J369" s="32"/>
    </row>
    <row r="370" customFormat="false" ht="15" hidden="false" customHeight="false" outlineLevel="0" collapsed="false">
      <c r="A370" s="32"/>
      <c r="B370" s="32"/>
      <c r="C370" s="32"/>
      <c r="D370" s="32"/>
      <c r="E370" s="32"/>
      <c r="F370" s="32"/>
      <c r="G370" s="32"/>
      <c r="H370" s="28" t="str">
        <f aca="false">IF(COUNTA(C370:G370)=0,"",IF(AND(C370="Yes",D370="Yes",E370="Yes",F370="Yes",G370="No"),"Yes","No"))</f>
        <v/>
      </c>
      <c r="I370" s="32"/>
      <c r="J370" s="32"/>
    </row>
    <row r="371" customFormat="false" ht="15" hidden="false" customHeight="false" outlineLevel="0" collapsed="false">
      <c r="A371" s="32"/>
      <c r="B371" s="32"/>
      <c r="C371" s="32"/>
      <c r="D371" s="32"/>
      <c r="E371" s="32"/>
      <c r="F371" s="32"/>
      <c r="G371" s="32"/>
      <c r="H371" s="28" t="str">
        <f aca="false">IF(COUNTA(C371:G371)=0,"",IF(AND(C371="Yes",D371="Yes",E371="Yes",F371="Yes",G371="No"),"Yes","No"))</f>
        <v/>
      </c>
      <c r="I371" s="32"/>
      <c r="J371" s="32"/>
    </row>
    <row r="372" customFormat="false" ht="15" hidden="false" customHeight="false" outlineLevel="0" collapsed="false">
      <c r="A372" s="32"/>
      <c r="B372" s="32"/>
      <c r="C372" s="32"/>
      <c r="D372" s="32"/>
      <c r="E372" s="32"/>
      <c r="F372" s="32"/>
      <c r="G372" s="32"/>
      <c r="H372" s="28" t="str">
        <f aca="false">IF(COUNTA(C372:G372)=0,"",IF(AND(C372="Yes",D372="Yes",E372="Yes",F372="Yes",G372="No"),"Yes","No"))</f>
        <v/>
      </c>
      <c r="I372" s="32"/>
      <c r="J372" s="32"/>
    </row>
    <row r="373" customFormat="false" ht="15" hidden="false" customHeight="false" outlineLevel="0" collapsed="false">
      <c r="A373" s="32"/>
      <c r="B373" s="32"/>
      <c r="C373" s="32"/>
      <c r="D373" s="32"/>
      <c r="E373" s="32"/>
      <c r="F373" s="32"/>
      <c r="G373" s="32"/>
      <c r="H373" s="28" t="str">
        <f aca="false">IF(COUNTA(C373:G373)=0,"",IF(AND(C373="Yes",D373="Yes",E373="Yes",F373="Yes",G373="No"),"Yes","No"))</f>
        <v/>
      </c>
      <c r="I373" s="32"/>
      <c r="J373" s="32"/>
    </row>
    <row r="374" customFormat="false" ht="15" hidden="false" customHeight="false" outlineLevel="0" collapsed="false">
      <c r="A374" s="32"/>
      <c r="B374" s="32"/>
      <c r="C374" s="32"/>
      <c r="D374" s="32"/>
      <c r="E374" s="32"/>
      <c r="F374" s="32"/>
      <c r="G374" s="32"/>
      <c r="H374" s="28" t="str">
        <f aca="false">IF(COUNTA(C374:G374)=0,"",IF(AND(C374="Yes",D374="Yes",E374="Yes",F374="Yes",G374="No"),"Yes","No"))</f>
        <v/>
      </c>
      <c r="I374" s="32"/>
      <c r="J374" s="32"/>
    </row>
    <row r="375" customFormat="false" ht="15" hidden="false" customHeight="false" outlineLevel="0" collapsed="false">
      <c r="A375" s="32"/>
      <c r="B375" s="32"/>
      <c r="C375" s="32"/>
      <c r="D375" s="32"/>
      <c r="E375" s="32"/>
      <c r="F375" s="32"/>
      <c r="G375" s="32"/>
      <c r="H375" s="28" t="str">
        <f aca="false">IF(COUNTA(C375:G375)=0,"",IF(AND(C375="Yes",D375="Yes",E375="Yes",F375="Yes",G375="No"),"Yes","No"))</f>
        <v/>
      </c>
      <c r="I375" s="32"/>
      <c r="J375" s="32"/>
    </row>
    <row r="376" customFormat="false" ht="15" hidden="false" customHeight="false" outlineLevel="0" collapsed="false">
      <c r="A376" s="32"/>
      <c r="B376" s="32"/>
      <c r="C376" s="32"/>
      <c r="D376" s="32"/>
      <c r="E376" s="32"/>
      <c r="F376" s="32"/>
      <c r="G376" s="32"/>
      <c r="H376" s="28" t="str">
        <f aca="false">IF(COUNTA(C376:G376)=0,"",IF(AND(C376="Yes",D376="Yes",E376="Yes",F376="Yes",G376="No"),"Yes","No"))</f>
        <v/>
      </c>
      <c r="I376" s="32"/>
      <c r="J376" s="32"/>
    </row>
    <row r="377" customFormat="false" ht="15" hidden="false" customHeight="false" outlineLevel="0" collapsed="false">
      <c r="A377" s="32"/>
      <c r="B377" s="32"/>
      <c r="C377" s="32"/>
      <c r="D377" s="32"/>
      <c r="E377" s="32"/>
      <c r="F377" s="32"/>
      <c r="G377" s="32"/>
      <c r="H377" s="28" t="str">
        <f aca="false">IF(COUNTA(C377:G377)=0,"",IF(AND(C377="Yes",D377="Yes",E377="Yes",F377="Yes",G377="No"),"Yes","No"))</f>
        <v/>
      </c>
      <c r="I377" s="32"/>
      <c r="J377" s="32"/>
    </row>
    <row r="378" customFormat="false" ht="15" hidden="false" customHeight="false" outlineLevel="0" collapsed="false">
      <c r="A378" s="32"/>
      <c r="B378" s="32"/>
      <c r="C378" s="32"/>
      <c r="D378" s="32"/>
      <c r="E378" s="32"/>
      <c r="F378" s="32"/>
      <c r="G378" s="32"/>
      <c r="H378" s="28" t="str">
        <f aca="false">IF(COUNTA(C378:G378)=0,"",IF(AND(C378="Yes",D378="Yes",E378="Yes",F378="Yes",G378="No"),"Yes","No"))</f>
        <v/>
      </c>
      <c r="I378" s="32"/>
      <c r="J378" s="32"/>
    </row>
    <row r="379" customFormat="false" ht="15" hidden="false" customHeight="false" outlineLevel="0" collapsed="false">
      <c r="A379" s="32"/>
      <c r="B379" s="32"/>
      <c r="C379" s="32"/>
      <c r="D379" s="32"/>
      <c r="E379" s="32"/>
      <c r="F379" s="32"/>
      <c r="G379" s="32"/>
      <c r="H379" s="28" t="str">
        <f aca="false">IF(COUNTA(C379:G379)=0,"",IF(AND(C379="Yes",D379="Yes",E379="Yes",F379="Yes",G379="No"),"Yes","No"))</f>
        <v/>
      </c>
      <c r="I379" s="32"/>
      <c r="J379" s="32"/>
    </row>
    <row r="380" customFormat="false" ht="15" hidden="false" customHeight="false" outlineLevel="0" collapsed="false">
      <c r="A380" s="32"/>
      <c r="B380" s="32"/>
      <c r="C380" s="32"/>
      <c r="D380" s="32"/>
      <c r="E380" s="32"/>
      <c r="F380" s="32"/>
      <c r="G380" s="32"/>
      <c r="H380" s="28" t="str">
        <f aca="false">IF(COUNTA(C380:G380)=0,"",IF(AND(C380="Yes",D380="Yes",E380="Yes",F380="Yes",G380="No"),"Yes","No"))</f>
        <v/>
      </c>
      <c r="I380" s="32"/>
      <c r="J380" s="32"/>
    </row>
    <row r="381" customFormat="false" ht="15" hidden="false" customHeight="false" outlineLevel="0" collapsed="false">
      <c r="A381" s="32"/>
      <c r="B381" s="32"/>
      <c r="C381" s="32"/>
      <c r="D381" s="32"/>
      <c r="E381" s="32"/>
      <c r="F381" s="32"/>
      <c r="G381" s="32"/>
      <c r="H381" s="28" t="str">
        <f aca="false">IF(COUNTA(C381:G381)=0,"",IF(AND(C381="Yes",D381="Yes",E381="Yes",F381="Yes",G381="No"),"Yes","No"))</f>
        <v/>
      </c>
      <c r="I381" s="32"/>
      <c r="J381" s="32"/>
    </row>
    <row r="382" customFormat="false" ht="15" hidden="false" customHeight="false" outlineLevel="0" collapsed="false">
      <c r="A382" s="32"/>
      <c r="B382" s="32"/>
      <c r="C382" s="32"/>
      <c r="D382" s="32"/>
      <c r="E382" s="32"/>
      <c r="F382" s="32"/>
      <c r="G382" s="32"/>
      <c r="H382" s="28" t="str">
        <f aca="false">IF(COUNTA(C382:G382)=0,"",IF(AND(C382="Yes",D382="Yes",E382="Yes",F382="Yes",G382="No"),"Yes","No"))</f>
        <v/>
      </c>
      <c r="I382" s="32"/>
      <c r="J382" s="32"/>
    </row>
    <row r="383" customFormat="false" ht="15" hidden="false" customHeight="false" outlineLevel="0" collapsed="false">
      <c r="A383" s="32"/>
      <c r="B383" s="32"/>
      <c r="C383" s="32"/>
      <c r="D383" s="32"/>
      <c r="E383" s="32"/>
      <c r="F383" s="32"/>
      <c r="G383" s="32"/>
      <c r="H383" s="28" t="str">
        <f aca="false">IF(COUNTA(C383:G383)=0,"",IF(AND(C383="Yes",D383="Yes",E383="Yes",F383="Yes",G383="No"),"Yes","No"))</f>
        <v/>
      </c>
      <c r="I383" s="32"/>
      <c r="J383" s="32"/>
    </row>
    <row r="384" customFormat="false" ht="15" hidden="false" customHeight="false" outlineLevel="0" collapsed="false">
      <c r="A384" s="32"/>
      <c r="B384" s="32"/>
      <c r="C384" s="32"/>
      <c r="D384" s="32"/>
      <c r="E384" s="32"/>
      <c r="F384" s="32"/>
      <c r="G384" s="32"/>
      <c r="H384" s="28" t="str">
        <f aca="false">IF(COUNTA(C384:G384)=0,"",IF(AND(C384="Yes",D384="Yes",E384="Yes",F384="Yes",G384="No"),"Yes","No"))</f>
        <v/>
      </c>
      <c r="I384" s="32"/>
      <c r="J384" s="32"/>
    </row>
    <row r="385" customFormat="false" ht="15" hidden="false" customHeight="false" outlineLevel="0" collapsed="false">
      <c r="A385" s="32"/>
      <c r="B385" s="32"/>
      <c r="C385" s="32"/>
      <c r="D385" s="32"/>
      <c r="E385" s="32"/>
      <c r="F385" s="32"/>
      <c r="G385" s="32"/>
      <c r="H385" s="28" t="str">
        <f aca="false">IF(COUNTA(C385:G385)=0,"",IF(AND(C385="Yes",D385="Yes",E385="Yes",F385="Yes",G385="No"),"Yes","No"))</f>
        <v/>
      </c>
      <c r="I385" s="32"/>
      <c r="J385" s="32"/>
    </row>
    <row r="386" customFormat="false" ht="15" hidden="false" customHeight="false" outlineLevel="0" collapsed="false">
      <c r="A386" s="32"/>
      <c r="B386" s="32"/>
      <c r="C386" s="32"/>
      <c r="D386" s="32"/>
      <c r="E386" s="32"/>
      <c r="F386" s="32"/>
      <c r="G386" s="32"/>
      <c r="H386" s="28" t="str">
        <f aca="false">IF(COUNTA(C386:G386)=0,"",IF(AND(C386="Yes",D386="Yes",E386="Yes",F386="Yes",G386="No"),"Yes","No"))</f>
        <v/>
      </c>
      <c r="I386" s="32"/>
      <c r="J386" s="32"/>
    </row>
    <row r="387" customFormat="false" ht="15" hidden="false" customHeight="false" outlineLevel="0" collapsed="false">
      <c r="A387" s="32"/>
      <c r="B387" s="32"/>
      <c r="C387" s="32"/>
      <c r="D387" s="32"/>
      <c r="E387" s="32"/>
      <c r="F387" s="32"/>
      <c r="G387" s="32"/>
      <c r="H387" s="28" t="str">
        <f aca="false">IF(COUNTA(C387:G387)=0,"",IF(AND(C387="Yes",D387="Yes",E387="Yes",F387="Yes",G387="No"),"Yes","No"))</f>
        <v/>
      </c>
      <c r="I387" s="32"/>
      <c r="J387" s="32"/>
    </row>
    <row r="388" customFormat="false" ht="15" hidden="false" customHeight="false" outlineLevel="0" collapsed="false">
      <c r="A388" s="32"/>
      <c r="B388" s="32"/>
      <c r="C388" s="32"/>
      <c r="D388" s="32"/>
      <c r="E388" s="32"/>
      <c r="F388" s="32"/>
      <c r="G388" s="32"/>
      <c r="H388" s="28" t="str">
        <f aca="false">IF(COUNTA(C388:G388)=0,"",IF(AND(C388="Yes",D388="Yes",E388="Yes",F388="Yes",G388="No"),"Yes","No"))</f>
        <v/>
      </c>
      <c r="I388" s="32"/>
      <c r="J388" s="32"/>
    </row>
    <row r="389" customFormat="false" ht="15" hidden="false" customHeight="false" outlineLevel="0" collapsed="false">
      <c r="A389" s="32"/>
      <c r="B389" s="32"/>
      <c r="C389" s="32"/>
      <c r="D389" s="32"/>
      <c r="E389" s="32"/>
      <c r="F389" s="32"/>
      <c r="G389" s="32"/>
      <c r="H389" s="28" t="str">
        <f aca="false">IF(COUNTA(C389:G389)=0,"",IF(AND(C389="Yes",D389="Yes",E389="Yes",F389="Yes",G389="No"),"Yes","No"))</f>
        <v/>
      </c>
      <c r="I389" s="32"/>
      <c r="J389" s="32"/>
    </row>
    <row r="390" customFormat="false" ht="15" hidden="false" customHeight="false" outlineLevel="0" collapsed="false">
      <c r="A390" s="32"/>
      <c r="B390" s="32"/>
      <c r="C390" s="32"/>
      <c r="D390" s="32"/>
      <c r="E390" s="32"/>
      <c r="F390" s="32"/>
      <c r="G390" s="32"/>
      <c r="H390" s="28" t="str">
        <f aca="false">IF(COUNTA(C390:G390)=0,"",IF(AND(C390="Yes",D390="Yes",E390="Yes",F390="Yes",G390="No"),"Yes","No"))</f>
        <v/>
      </c>
      <c r="I390" s="32"/>
      <c r="J390" s="32"/>
    </row>
    <row r="391" customFormat="false" ht="15" hidden="false" customHeight="false" outlineLevel="0" collapsed="false">
      <c r="A391" s="32"/>
      <c r="B391" s="32"/>
      <c r="C391" s="32"/>
      <c r="D391" s="32"/>
      <c r="E391" s="32"/>
      <c r="F391" s="32"/>
      <c r="G391" s="32"/>
      <c r="H391" s="28" t="str">
        <f aca="false">IF(COUNTA(C391:G391)=0,"",IF(AND(C391="Yes",D391="Yes",E391="Yes",F391="Yes",G391="No"),"Yes","No"))</f>
        <v/>
      </c>
      <c r="I391" s="32"/>
      <c r="J391" s="32"/>
    </row>
    <row r="392" customFormat="false" ht="15" hidden="false" customHeight="false" outlineLevel="0" collapsed="false">
      <c r="A392" s="32"/>
      <c r="B392" s="32"/>
      <c r="C392" s="32"/>
      <c r="D392" s="32"/>
      <c r="E392" s="32"/>
      <c r="F392" s="32"/>
      <c r="G392" s="32"/>
      <c r="H392" s="28" t="str">
        <f aca="false">IF(COUNTA(C392:G392)=0,"",IF(AND(C392="Yes",D392="Yes",E392="Yes",F392="Yes",G392="No"),"Yes","No"))</f>
        <v/>
      </c>
      <c r="I392" s="32"/>
      <c r="J392" s="32"/>
    </row>
    <row r="393" customFormat="false" ht="15" hidden="false" customHeight="false" outlineLevel="0" collapsed="false">
      <c r="A393" s="32"/>
      <c r="B393" s="32"/>
      <c r="C393" s="32"/>
      <c r="D393" s="32"/>
      <c r="E393" s="32"/>
      <c r="F393" s="32"/>
      <c r="G393" s="32"/>
      <c r="H393" s="28" t="str">
        <f aca="false">IF(COUNTA(C393:G393)=0,"",IF(AND(C393="Yes",D393="Yes",E393="Yes",F393="Yes",G393="No"),"Yes","No"))</f>
        <v/>
      </c>
      <c r="I393" s="32"/>
      <c r="J393" s="32"/>
    </row>
    <row r="394" customFormat="false" ht="15" hidden="false" customHeight="false" outlineLevel="0" collapsed="false">
      <c r="A394" s="32"/>
      <c r="B394" s="32"/>
      <c r="C394" s="32"/>
      <c r="D394" s="32"/>
      <c r="E394" s="32"/>
      <c r="F394" s="32"/>
      <c r="G394" s="32"/>
      <c r="H394" s="28" t="str">
        <f aca="false">IF(COUNTA(C394:G394)=0,"",IF(AND(C394="Yes",D394="Yes",E394="Yes",F394="Yes",G394="No"),"Yes","No"))</f>
        <v/>
      </c>
      <c r="I394" s="32"/>
      <c r="J394" s="32"/>
    </row>
    <row r="395" customFormat="false" ht="15" hidden="false" customHeight="false" outlineLevel="0" collapsed="false">
      <c r="A395" s="32"/>
      <c r="B395" s="32"/>
      <c r="C395" s="32"/>
      <c r="D395" s="32"/>
      <c r="E395" s="32"/>
      <c r="F395" s="32"/>
      <c r="G395" s="32"/>
      <c r="H395" s="28" t="str">
        <f aca="false">IF(COUNTA(C395:G395)=0,"",IF(AND(C395="Yes",D395="Yes",E395="Yes",F395="Yes",G395="No"),"Yes","No"))</f>
        <v/>
      </c>
      <c r="I395" s="32"/>
      <c r="J395" s="32"/>
    </row>
    <row r="396" customFormat="false" ht="15" hidden="false" customHeight="false" outlineLevel="0" collapsed="false">
      <c r="A396" s="32"/>
      <c r="B396" s="32"/>
      <c r="C396" s="32"/>
      <c r="D396" s="32"/>
      <c r="E396" s="32"/>
      <c r="F396" s="32"/>
      <c r="G396" s="32"/>
      <c r="H396" s="28" t="str">
        <f aca="false">IF(COUNTA(C396:G396)=0,"",IF(AND(C396="Yes",D396="Yes",E396="Yes",F396="Yes",G396="No"),"Yes","No"))</f>
        <v/>
      </c>
      <c r="I396" s="32"/>
      <c r="J396" s="32"/>
    </row>
    <row r="397" customFormat="false" ht="15" hidden="false" customHeight="false" outlineLevel="0" collapsed="false">
      <c r="A397" s="32"/>
      <c r="B397" s="32"/>
      <c r="C397" s="32"/>
      <c r="D397" s="32"/>
      <c r="E397" s="32"/>
      <c r="F397" s="32"/>
      <c r="G397" s="32"/>
      <c r="H397" s="28" t="str">
        <f aca="false">IF(COUNTA(C397:G397)=0,"",IF(AND(C397="Yes",D397="Yes",E397="Yes",F397="Yes",G397="No"),"Yes","No"))</f>
        <v/>
      </c>
      <c r="I397" s="32"/>
      <c r="J397" s="32"/>
    </row>
    <row r="398" customFormat="false" ht="15" hidden="false" customHeight="false" outlineLevel="0" collapsed="false">
      <c r="A398" s="32"/>
      <c r="B398" s="32"/>
      <c r="C398" s="32"/>
      <c r="D398" s="32"/>
      <c r="E398" s="32"/>
      <c r="F398" s="32"/>
      <c r="G398" s="32"/>
      <c r="H398" s="28" t="str">
        <f aca="false">IF(COUNTA(C398:G398)=0,"",IF(AND(C398="Yes",D398="Yes",E398="Yes",F398="Yes",G398="No"),"Yes","No"))</f>
        <v/>
      </c>
      <c r="I398" s="32"/>
      <c r="J398" s="32"/>
    </row>
    <row r="399" customFormat="false" ht="15" hidden="false" customHeight="false" outlineLevel="0" collapsed="false">
      <c r="A399" s="32"/>
      <c r="B399" s="32"/>
      <c r="C399" s="32"/>
      <c r="D399" s="32"/>
      <c r="E399" s="32"/>
      <c r="F399" s="32"/>
      <c r="G399" s="32"/>
      <c r="H399" s="28" t="str">
        <f aca="false">IF(COUNTA(C399:G399)=0,"",IF(AND(C399="Yes",D399="Yes",E399="Yes",F399="Yes",G399="No"),"Yes","No"))</f>
        <v/>
      </c>
      <c r="I399" s="32"/>
      <c r="J399" s="32"/>
    </row>
    <row r="400" customFormat="false" ht="15" hidden="false" customHeight="false" outlineLevel="0" collapsed="false">
      <c r="A400" s="32"/>
      <c r="B400" s="32"/>
      <c r="C400" s="32"/>
      <c r="D400" s="32"/>
      <c r="E400" s="32"/>
      <c r="F400" s="32"/>
      <c r="G400" s="32"/>
      <c r="H400" s="28" t="str">
        <f aca="false">IF(COUNTA(C400:G400)=0,"",IF(AND(C400="Yes",D400="Yes",E400="Yes",F400="Yes",G400="No"),"Yes","No"))</f>
        <v/>
      </c>
      <c r="I400" s="32"/>
      <c r="J400" s="32"/>
    </row>
    <row r="401" customFormat="false" ht="15" hidden="false" customHeight="false" outlineLevel="0" collapsed="false">
      <c r="A401" s="32"/>
      <c r="B401" s="32"/>
      <c r="C401" s="32"/>
      <c r="D401" s="32"/>
      <c r="E401" s="32"/>
      <c r="F401" s="32"/>
      <c r="G401" s="32"/>
      <c r="H401" s="28" t="str">
        <f aca="false">IF(COUNTA(C401:G401)=0,"",IF(AND(C401="Yes",D401="Yes",E401="Yes",F401="Yes",G401="No"),"Yes","No"))</f>
        <v/>
      </c>
      <c r="I401" s="32"/>
      <c r="J401" s="32"/>
    </row>
    <row r="402" customFormat="false" ht="15" hidden="false" customHeight="false" outlineLevel="0" collapsed="false">
      <c r="A402" s="32"/>
      <c r="B402" s="32"/>
      <c r="C402" s="32"/>
      <c r="D402" s="32"/>
      <c r="E402" s="32"/>
      <c r="F402" s="32"/>
      <c r="G402" s="32"/>
      <c r="H402" s="28" t="str">
        <f aca="false">IF(COUNTA(C402:G402)=0,"",IF(AND(C402="Yes",D402="Yes",E402="Yes",F402="Yes",G402="No"),"Yes","No"))</f>
        <v/>
      </c>
      <c r="I402" s="32"/>
      <c r="J402" s="32"/>
    </row>
    <row r="403" customFormat="false" ht="15" hidden="false" customHeight="false" outlineLevel="0" collapsed="false">
      <c r="A403" s="32"/>
      <c r="B403" s="32"/>
      <c r="C403" s="32"/>
      <c r="D403" s="32"/>
      <c r="E403" s="32"/>
      <c r="F403" s="32"/>
      <c r="G403" s="32"/>
      <c r="H403" s="28" t="str">
        <f aca="false">IF(COUNTA(C403:G403)=0,"",IF(AND(C403="Yes",D403="Yes",E403="Yes",F403="Yes",G403="No"),"Yes","No"))</f>
        <v/>
      </c>
      <c r="I403" s="32"/>
      <c r="J403" s="32"/>
    </row>
    <row r="404" customFormat="false" ht="15" hidden="false" customHeight="false" outlineLevel="0" collapsed="false">
      <c r="A404" s="32"/>
      <c r="B404" s="32"/>
      <c r="C404" s="32"/>
      <c r="D404" s="32"/>
      <c r="E404" s="32"/>
      <c r="F404" s="32"/>
      <c r="G404" s="32"/>
      <c r="H404" s="28" t="str">
        <f aca="false">IF(COUNTA(C404:G404)=0,"",IF(AND(C404="Yes",D404="Yes",E404="Yes",F404="Yes",G404="No"),"Yes","No"))</f>
        <v/>
      </c>
      <c r="I404" s="32"/>
      <c r="J404" s="32"/>
    </row>
    <row r="405" customFormat="false" ht="15" hidden="false" customHeight="false" outlineLevel="0" collapsed="false">
      <c r="A405" s="32"/>
      <c r="B405" s="32"/>
      <c r="C405" s="32"/>
      <c r="D405" s="32"/>
      <c r="E405" s="32"/>
      <c r="F405" s="32"/>
      <c r="G405" s="32"/>
      <c r="H405" s="28" t="str">
        <f aca="false">IF(COUNTA(C405:G405)=0,"",IF(AND(C405="Yes",D405="Yes",E405="Yes",F405="Yes",G405="No"),"Yes","No"))</f>
        <v/>
      </c>
      <c r="I405" s="32"/>
      <c r="J405" s="32"/>
    </row>
    <row r="406" customFormat="false" ht="15" hidden="false" customHeight="false" outlineLevel="0" collapsed="false">
      <c r="A406" s="32"/>
      <c r="B406" s="32"/>
      <c r="C406" s="32"/>
      <c r="D406" s="32"/>
      <c r="E406" s="32"/>
      <c r="F406" s="32"/>
      <c r="G406" s="32"/>
      <c r="H406" s="28" t="str">
        <f aca="false">IF(COUNTA(C406:G406)=0,"",IF(AND(C406="Yes",D406="Yes",E406="Yes",F406="Yes",G406="No"),"Yes","No"))</f>
        <v/>
      </c>
      <c r="I406" s="32"/>
      <c r="J406" s="32"/>
    </row>
    <row r="407" customFormat="false" ht="15" hidden="false" customHeight="false" outlineLevel="0" collapsed="false">
      <c r="A407" s="32"/>
      <c r="B407" s="32"/>
      <c r="C407" s="32"/>
      <c r="D407" s="32"/>
      <c r="E407" s="32"/>
      <c r="F407" s="32"/>
      <c r="G407" s="32"/>
      <c r="H407" s="28" t="str">
        <f aca="false">IF(COUNTA(C407:G407)=0,"",IF(AND(C407="Yes",D407="Yes",E407="Yes",F407="Yes",G407="No"),"Yes","No"))</f>
        <v/>
      </c>
      <c r="I407" s="32"/>
      <c r="J407" s="32"/>
    </row>
    <row r="408" customFormat="false" ht="15" hidden="false" customHeight="false" outlineLevel="0" collapsed="false">
      <c r="A408" s="32"/>
      <c r="B408" s="32"/>
      <c r="C408" s="32"/>
      <c r="D408" s="32"/>
      <c r="E408" s="32"/>
      <c r="F408" s="32"/>
      <c r="G408" s="32"/>
      <c r="H408" s="28" t="str">
        <f aca="false">IF(COUNTA(C408:G408)=0,"",IF(AND(C408="Yes",D408="Yes",E408="Yes",F408="Yes",G408="No"),"Yes","No"))</f>
        <v/>
      </c>
      <c r="I408" s="32"/>
      <c r="J408" s="32"/>
    </row>
    <row r="409" customFormat="false" ht="15" hidden="false" customHeight="false" outlineLevel="0" collapsed="false">
      <c r="A409" s="32"/>
      <c r="B409" s="32"/>
      <c r="C409" s="32"/>
      <c r="D409" s="32"/>
      <c r="E409" s="32"/>
      <c r="F409" s="32"/>
      <c r="G409" s="32"/>
      <c r="H409" s="28" t="str">
        <f aca="false">IF(COUNTA(C409:G409)=0,"",IF(AND(C409="Yes",D409="Yes",E409="Yes",F409="Yes",G409="No"),"Yes","No"))</f>
        <v/>
      </c>
      <c r="I409" s="32"/>
      <c r="J409" s="32"/>
    </row>
    <row r="410" customFormat="false" ht="15" hidden="false" customHeight="false" outlineLevel="0" collapsed="false">
      <c r="A410" s="32"/>
      <c r="B410" s="32"/>
      <c r="C410" s="32"/>
      <c r="D410" s="32"/>
      <c r="E410" s="32"/>
      <c r="F410" s="32"/>
      <c r="G410" s="32"/>
      <c r="H410" s="28" t="str">
        <f aca="false">IF(COUNTA(C410:G410)=0,"",IF(AND(C410="Yes",D410="Yes",E410="Yes",F410="Yes",G410="No"),"Yes","No"))</f>
        <v/>
      </c>
      <c r="I410" s="32"/>
      <c r="J410" s="32"/>
    </row>
    <row r="411" customFormat="false" ht="15" hidden="false" customHeight="false" outlineLevel="0" collapsed="false">
      <c r="A411" s="32"/>
      <c r="B411" s="32"/>
      <c r="C411" s="32"/>
      <c r="D411" s="32"/>
      <c r="E411" s="32"/>
      <c r="F411" s="32"/>
      <c r="G411" s="32"/>
      <c r="H411" s="28" t="str">
        <f aca="false">IF(COUNTA(C411:G411)=0,"",IF(AND(C411="Yes",D411="Yes",E411="Yes",F411="Yes",G411="No"),"Yes","No"))</f>
        <v/>
      </c>
      <c r="I411" s="32"/>
      <c r="J411" s="32"/>
    </row>
    <row r="412" customFormat="false" ht="15" hidden="false" customHeight="false" outlineLevel="0" collapsed="false">
      <c r="A412" s="32"/>
      <c r="B412" s="32"/>
      <c r="C412" s="32"/>
      <c r="D412" s="32"/>
      <c r="E412" s="32"/>
      <c r="F412" s="32"/>
      <c r="G412" s="32"/>
      <c r="H412" s="28" t="str">
        <f aca="false">IF(COUNTA(C412:G412)=0,"",IF(AND(C412="Yes",D412="Yes",E412="Yes",F412="Yes",G412="No"),"Yes","No"))</f>
        <v/>
      </c>
      <c r="I412" s="32"/>
      <c r="J412" s="32"/>
    </row>
    <row r="413" customFormat="false" ht="15" hidden="false" customHeight="false" outlineLevel="0" collapsed="false">
      <c r="A413" s="32"/>
      <c r="B413" s="32"/>
      <c r="C413" s="32"/>
      <c r="D413" s="32"/>
      <c r="E413" s="32"/>
      <c r="F413" s="32"/>
      <c r="G413" s="32"/>
      <c r="H413" s="28" t="str">
        <f aca="false">IF(COUNTA(C413:G413)=0,"",IF(AND(C413="Yes",D413="Yes",E413="Yes",F413="Yes",G413="No"),"Yes","No"))</f>
        <v/>
      </c>
      <c r="I413" s="32"/>
      <c r="J413" s="32"/>
    </row>
    <row r="414" customFormat="false" ht="15" hidden="false" customHeight="false" outlineLevel="0" collapsed="false">
      <c r="A414" s="32"/>
      <c r="B414" s="32"/>
      <c r="C414" s="32"/>
      <c r="D414" s="32"/>
      <c r="E414" s="32"/>
      <c r="F414" s="32"/>
      <c r="G414" s="32"/>
      <c r="H414" s="28" t="str">
        <f aca="false">IF(COUNTA(C414:G414)=0,"",IF(AND(C414="Yes",D414="Yes",E414="Yes",F414="Yes",G414="No"),"Yes","No"))</f>
        <v/>
      </c>
      <c r="I414" s="32"/>
      <c r="J414" s="32"/>
    </row>
    <row r="415" customFormat="false" ht="15" hidden="false" customHeight="false" outlineLevel="0" collapsed="false">
      <c r="A415" s="32"/>
      <c r="B415" s="32"/>
      <c r="C415" s="32"/>
      <c r="D415" s="32"/>
      <c r="E415" s="32"/>
      <c r="F415" s="32"/>
      <c r="G415" s="32"/>
      <c r="H415" s="28" t="str">
        <f aca="false">IF(COUNTA(C415:G415)=0,"",IF(AND(C415="Yes",D415="Yes",E415="Yes",F415="Yes",G415="No"),"Yes","No"))</f>
        <v/>
      </c>
      <c r="I415" s="32"/>
      <c r="J415" s="32"/>
    </row>
    <row r="416" customFormat="false" ht="15" hidden="false" customHeight="false" outlineLevel="0" collapsed="false">
      <c r="A416" s="32"/>
      <c r="B416" s="32"/>
      <c r="C416" s="32"/>
      <c r="D416" s="32"/>
      <c r="E416" s="32"/>
      <c r="F416" s="32"/>
      <c r="G416" s="32"/>
      <c r="H416" s="28" t="str">
        <f aca="false">IF(COUNTA(C416:G416)=0,"",IF(AND(C416="Yes",D416="Yes",E416="Yes",F416="Yes",G416="No"),"Yes","No"))</f>
        <v/>
      </c>
      <c r="I416" s="32"/>
      <c r="J416" s="32"/>
    </row>
    <row r="417" customFormat="false" ht="15" hidden="false" customHeight="false" outlineLevel="0" collapsed="false">
      <c r="A417" s="32"/>
      <c r="B417" s="32"/>
      <c r="C417" s="32"/>
      <c r="D417" s="32"/>
      <c r="E417" s="32"/>
      <c r="F417" s="32"/>
      <c r="G417" s="32"/>
      <c r="H417" s="28" t="str">
        <f aca="false">IF(COUNTA(C417:G417)=0,"",IF(AND(C417="Yes",D417="Yes",E417="Yes",F417="Yes",G417="No"),"Yes","No"))</f>
        <v/>
      </c>
      <c r="I417" s="32"/>
      <c r="J417" s="32"/>
    </row>
    <row r="418" customFormat="false" ht="15" hidden="false" customHeight="false" outlineLevel="0" collapsed="false">
      <c r="A418" s="32"/>
      <c r="B418" s="32"/>
      <c r="C418" s="32"/>
      <c r="D418" s="32"/>
      <c r="E418" s="32"/>
      <c r="F418" s="32"/>
      <c r="G418" s="32"/>
      <c r="H418" s="28" t="str">
        <f aca="false">IF(COUNTA(C418:G418)=0,"",IF(AND(C418="Yes",D418="Yes",E418="Yes",F418="Yes",G418="No"),"Yes","No"))</f>
        <v/>
      </c>
      <c r="I418" s="32"/>
      <c r="J418" s="32"/>
    </row>
    <row r="419" customFormat="false" ht="15" hidden="false" customHeight="false" outlineLevel="0" collapsed="false">
      <c r="A419" s="32"/>
      <c r="B419" s="32"/>
      <c r="C419" s="32"/>
      <c r="D419" s="32"/>
      <c r="E419" s="32"/>
      <c r="F419" s="32"/>
      <c r="G419" s="32"/>
      <c r="H419" s="28" t="str">
        <f aca="false">IF(COUNTA(C419:G419)=0,"",IF(AND(C419="Yes",D419="Yes",E419="Yes",F419="Yes",G419="No"),"Yes","No"))</f>
        <v/>
      </c>
      <c r="I419" s="32"/>
      <c r="J419" s="32"/>
    </row>
    <row r="420" customFormat="false" ht="15" hidden="false" customHeight="false" outlineLevel="0" collapsed="false">
      <c r="A420" s="32"/>
      <c r="B420" s="32"/>
      <c r="C420" s="32"/>
      <c r="D420" s="32"/>
      <c r="E420" s="32"/>
      <c r="F420" s="32"/>
      <c r="G420" s="32"/>
      <c r="H420" s="28" t="str">
        <f aca="false">IF(COUNTA(C420:G420)=0,"",IF(AND(C420="Yes",D420="Yes",E420="Yes",F420="Yes",G420="No"),"Yes","No"))</f>
        <v/>
      </c>
      <c r="I420" s="32"/>
      <c r="J420" s="32"/>
    </row>
    <row r="421" customFormat="false" ht="15" hidden="false" customHeight="false" outlineLevel="0" collapsed="false">
      <c r="A421" s="32"/>
      <c r="B421" s="32"/>
      <c r="C421" s="32"/>
      <c r="D421" s="32"/>
      <c r="E421" s="32"/>
      <c r="F421" s="32"/>
      <c r="G421" s="32"/>
      <c r="H421" s="28" t="str">
        <f aca="false">IF(COUNTA(C421:G421)=0,"",IF(AND(C421="Yes",D421="Yes",E421="Yes",F421="Yes",G421="No"),"Yes","No"))</f>
        <v/>
      </c>
      <c r="I421" s="32"/>
      <c r="J421" s="32"/>
    </row>
    <row r="422" customFormat="false" ht="15" hidden="false" customHeight="false" outlineLevel="0" collapsed="false">
      <c r="A422" s="32"/>
      <c r="B422" s="32"/>
      <c r="C422" s="32"/>
      <c r="D422" s="32"/>
      <c r="E422" s="32"/>
      <c r="F422" s="32"/>
      <c r="G422" s="32"/>
      <c r="H422" s="28" t="str">
        <f aca="false">IF(COUNTA(C422:G422)=0,"",IF(AND(C422="Yes",D422="Yes",E422="Yes",F422="Yes",G422="No"),"Yes","No"))</f>
        <v/>
      </c>
      <c r="I422" s="32"/>
      <c r="J422" s="32"/>
    </row>
    <row r="423" customFormat="false" ht="15" hidden="false" customHeight="false" outlineLevel="0" collapsed="false">
      <c r="A423" s="32"/>
      <c r="B423" s="32"/>
      <c r="C423" s="32"/>
      <c r="D423" s="32"/>
      <c r="E423" s="32"/>
      <c r="F423" s="32"/>
      <c r="G423" s="32"/>
      <c r="H423" s="28" t="str">
        <f aca="false">IF(COUNTA(C423:G423)=0,"",IF(AND(C423="Yes",D423="Yes",E423="Yes",F423="Yes",G423="No"),"Yes","No"))</f>
        <v/>
      </c>
      <c r="I423" s="32"/>
      <c r="J423" s="32"/>
    </row>
    <row r="424" customFormat="false" ht="15" hidden="false" customHeight="false" outlineLevel="0" collapsed="false">
      <c r="A424" s="32"/>
      <c r="B424" s="32"/>
      <c r="C424" s="32"/>
      <c r="D424" s="32"/>
      <c r="E424" s="32"/>
      <c r="F424" s="32"/>
      <c r="G424" s="32"/>
      <c r="H424" s="28" t="str">
        <f aca="false">IF(COUNTA(C424:G424)=0,"",IF(AND(C424="Yes",D424="Yes",E424="Yes",F424="Yes",G424="No"),"Yes","No"))</f>
        <v/>
      </c>
      <c r="I424" s="32"/>
      <c r="J424" s="32"/>
    </row>
    <row r="425" customFormat="false" ht="15" hidden="false" customHeight="false" outlineLevel="0" collapsed="false">
      <c r="A425" s="32"/>
      <c r="B425" s="32"/>
      <c r="C425" s="32"/>
      <c r="D425" s="32"/>
      <c r="E425" s="32"/>
      <c r="F425" s="32"/>
      <c r="G425" s="32"/>
      <c r="H425" s="28" t="str">
        <f aca="false">IF(COUNTA(C425:G425)=0,"",IF(AND(C425="Yes",D425="Yes",E425="Yes",F425="Yes",G425="No"),"Yes","No"))</f>
        <v/>
      </c>
      <c r="I425" s="32"/>
      <c r="J425" s="32"/>
    </row>
    <row r="426" customFormat="false" ht="15" hidden="false" customHeight="false" outlineLevel="0" collapsed="false">
      <c r="A426" s="32"/>
      <c r="B426" s="32"/>
      <c r="C426" s="32"/>
      <c r="D426" s="32"/>
      <c r="E426" s="32"/>
      <c r="F426" s="32"/>
      <c r="G426" s="32"/>
      <c r="H426" s="28" t="str">
        <f aca="false">IF(COUNTA(C426:G426)=0,"",IF(AND(C426="Yes",D426="Yes",E426="Yes",F426="Yes",G426="No"),"Yes","No"))</f>
        <v/>
      </c>
      <c r="I426" s="32"/>
      <c r="J426" s="32"/>
    </row>
    <row r="427" customFormat="false" ht="15" hidden="false" customHeight="false" outlineLevel="0" collapsed="false">
      <c r="A427" s="32"/>
      <c r="B427" s="32"/>
      <c r="C427" s="32"/>
      <c r="D427" s="32"/>
      <c r="E427" s="32"/>
      <c r="F427" s="32"/>
      <c r="G427" s="32"/>
      <c r="H427" s="28" t="str">
        <f aca="false">IF(COUNTA(C427:G427)=0,"",IF(AND(C427="Yes",D427="Yes",E427="Yes",F427="Yes",G427="No"),"Yes","No"))</f>
        <v/>
      </c>
      <c r="I427" s="32"/>
      <c r="J427" s="32"/>
    </row>
    <row r="428" customFormat="false" ht="15" hidden="false" customHeight="false" outlineLevel="0" collapsed="false">
      <c r="A428" s="32"/>
      <c r="B428" s="32"/>
      <c r="C428" s="32"/>
      <c r="D428" s="32"/>
      <c r="E428" s="32"/>
      <c r="F428" s="32"/>
      <c r="G428" s="32"/>
      <c r="H428" s="28" t="str">
        <f aca="false">IF(COUNTA(C428:G428)=0,"",IF(AND(C428="Yes",D428="Yes",E428="Yes",F428="Yes",G428="No"),"Yes","No"))</f>
        <v/>
      </c>
      <c r="I428" s="32"/>
      <c r="J428" s="32"/>
    </row>
    <row r="429" customFormat="false" ht="15" hidden="false" customHeight="false" outlineLevel="0" collapsed="false">
      <c r="A429" s="32"/>
      <c r="B429" s="32"/>
      <c r="C429" s="32"/>
      <c r="D429" s="32"/>
      <c r="E429" s="32"/>
      <c r="F429" s="32"/>
      <c r="G429" s="32"/>
      <c r="H429" s="28" t="str">
        <f aca="false">IF(COUNTA(C429:G429)=0,"",IF(AND(C429="Yes",D429="Yes",E429="Yes",F429="Yes",G429="No"),"Yes","No"))</f>
        <v/>
      </c>
      <c r="I429" s="32"/>
      <c r="J429" s="32"/>
    </row>
    <row r="430" customFormat="false" ht="15" hidden="false" customHeight="false" outlineLevel="0" collapsed="false">
      <c r="A430" s="32"/>
      <c r="B430" s="32"/>
      <c r="C430" s="32"/>
      <c r="D430" s="32"/>
      <c r="E430" s="32"/>
      <c r="F430" s="32"/>
      <c r="G430" s="32"/>
      <c r="H430" s="28" t="str">
        <f aca="false">IF(COUNTA(C430:G430)=0,"",IF(AND(C430="Yes",D430="Yes",E430="Yes",F430="Yes",G430="No"),"Yes","No"))</f>
        <v/>
      </c>
      <c r="I430" s="32"/>
      <c r="J430" s="32"/>
    </row>
    <row r="431" customFormat="false" ht="15" hidden="false" customHeight="false" outlineLevel="0" collapsed="false">
      <c r="A431" s="32"/>
      <c r="B431" s="32"/>
      <c r="C431" s="32"/>
      <c r="D431" s="32"/>
      <c r="E431" s="32"/>
      <c r="F431" s="32"/>
      <c r="G431" s="32"/>
      <c r="H431" s="28" t="str">
        <f aca="false">IF(COUNTA(C431:G431)=0,"",IF(AND(C431="Yes",D431="Yes",E431="Yes",F431="Yes",G431="No"),"Yes","No"))</f>
        <v/>
      </c>
      <c r="I431" s="32"/>
      <c r="J431" s="32"/>
    </row>
    <row r="432" customFormat="false" ht="15" hidden="false" customHeight="false" outlineLevel="0" collapsed="false">
      <c r="A432" s="32"/>
      <c r="B432" s="32"/>
      <c r="C432" s="32"/>
      <c r="D432" s="32"/>
      <c r="E432" s="32"/>
      <c r="F432" s="32"/>
      <c r="G432" s="32"/>
      <c r="H432" s="28" t="str">
        <f aca="false">IF(COUNTA(C432:G432)=0,"",IF(AND(C432="Yes",D432="Yes",E432="Yes",F432="Yes",G432="No"),"Yes","No"))</f>
        <v/>
      </c>
      <c r="I432" s="32"/>
      <c r="J432" s="32"/>
    </row>
    <row r="433" customFormat="false" ht="15" hidden="false" customHeight="false" outlineLevel="0" collapsed="false">
      <c r="A433" s="32"/>
      <c r="B433" s="32"/>
      <c r="C433" s="32"/>
      <c r="D433" s="32"/>
      <c r="E433" s="32"/>
      <c r="F433" s="32"/>
      <c r="G433" s="32"/>
      <c r="H433" s="28" t="str">
        <f aca="false">IF(COUNTA(C433:G433)=0,"",IF(AND(C433="Yes",D433="Yes",E433="Yes",F433="Yes",G433="No"),"Yes","No"))</f>
        <v/>
      </c>
      <c r="I433" s="32"/>
      <c r="J433" s="32"/>
    </row>
    <row r="434" customFormat="false" ht="15" hidden="false" customHeight="false" outlineLevel="0" collapsed="false">
      <c r="A434" s="32"/>
      <c r="B434" s="32"/>
      <c r="C434" s="32"/>
      <c r="D434" s="32"/>
      <c r="E434" s="32"/>
      <c r="F434" s="32"/>
      <c r="G434" s="32"/>
      <c r="H434" s="28" t="str">
        <f aca="false">IF(COUNTA(C434:G434)=0,"",IF(AND(C434="Yes",D434="Yes",E434="Yes",F434="Yes",G434="No"),"Yes","No"))</f>
        <v/>
      </c>
      <c r="I434" s="32"/>
      <c r="J434" s="32"/>
    </row>
    <row r="435" customFormat="false" ht="15" hidden="false" customHeight="false" outlineLevel="0" collapsed="false">
      <c r="A435" s="32"/>
      <c r="B435" s="32"/>
      <c r="C435" s="32"/>
      <c r="D435" s="32"/>
      <c r="E435" s="32"/>
      <c r="F435" s="32"/>
      <c r="G435" s="32"/>
      <c r="H435" s="28" t="str">
        <f aca="false">IF(COUNTA(C435:G435)=0,"",IF(AND(C435="Yes",D435="Yes",E435="Yes",F435="Yes",G435="No"),"Yes","No"))</f>
        <v/>
      </c>
      <c r="I435" s="32"/>
      <c r="J435" s="32"/>
    </row>
    <row r="436" customFormat="false" ht="15" hidden="false" customHeight="false" outlineLevel="0" collapsed="false">
      <c r="A436" s="32"/>
      <c r="B436" s="32"/>
      <c r="C436" s="32"/>
      <c r="D436" s="32"/>
      <c r="E436" s="32"/>
      <c r="F436" s="32"/>
      <c r="G436" s="32"/>
      <c r="H436" s="28" t="str">
        <f aca="false">IF(COUNTA(C436:G436)=0,"",IF(AND(C436="Yes",D436="Yes",E436="Yes",F436="Yes",G436="No"),"Yes","No"))</f>
        <v/>
      </c>
      <c r="I436" s="32"/>
      <c r="J436" s="32"/>
    </row>
    <row r="437" customFormat="false" ht="15" hidden="false" customHeight="false" outlineLevel="0" collapsed="false">
      <c r="A437" s="32"/>
      <c r="B437" s="32"/>
      <c r="C437" s="32"/>
      <c r="D437" s="32"/>
      <c r="E437" s="32"/>
      <c r="F437" s="32"/>
      <c r="G437" s="32"/>
      <c r="H437" s="28" t="str">
        <f aca="false">IF(COUNTA(C437:G437)=0,"",IF(AND(C437="Yes",D437="Yes",E437="Yes",F437="Yes",G437="No"),"Yes","No"))</f>
        <v/>
      </c>
      <c r="I437" s="32"/>
      <c r="J437" s="32"/>
    </row>
    <row r="438" customFormat="false" ht="15" hidden="false" customHeight="false" outlineLevel="0" collapsed="false">
      <c r="A438" s="32"/>
      <c r="B438" s="32"/>
      <c r="C438" s="32"/>
      <c r="D438" s="32"/>
      <c r="E438" s="32"/>
      <c r="F438" s="32"/>
      <c r="G438" s="32"/>
      <c r="H438" s="28" t="str">
        <f aca="false">IF(COUNTA(C438:G438)=0,"",IF(AND(C438="Yes",D438="Yes",E438="Yes",F438="Yes",G438="No"),"Yes","No"))</f>
        <v/>
      </c>
      <c r="I438" s="32"/>
      <c r="J438" s="32"/>
    </row>
    <row r="439" customFormat="false" ht="15" hidden="false" customHeight="false" outlineLevel="0" collapsed="false">
      <c r="A439" s="32"/>
      <c r="B439" s="32"/>
      <c r="C439" s="32"/>
      <c r="D439" s="32"/>
      <c r="E439" s="32"/>
      <c r="F439" s="32"/>
      <c r="G439" s="32"/>
      <c r="H439" s="28" t="str">
        <f aca="false">IF(COUNTA(C439:G439)=0,"",IF(AND(C439="Yes",D439="Yes",E439="Yes",F439="Yes",G439="No"),"Yes","No"))</f>
        <v/>
      </c>
      <c r="I439" s="32"/>
      <c r="J439" s="32"/>
    </row>
    <row r="440" customFormat="false" ht="15" hidden="false" customHeight="false" outlineLevel="0" collapsed="false">
      <c r="A440" s="32"/>
      <c r="B440" s="32"/>
      <c r="C440" s="32"/>
      <c r="D440" s="32"/>
      <c r="E440" s="32"/>
      <c r="F440" s="32"/>
      <c r="G440" s="32"/>
      <c r="H440" s="28" t="str">
        <f aca="false">IF(COUNTA(C440:G440)=0,"",IF(AND(C440="Yes",D440="Yes",E440="Yes",F440="Yes",G440="No"),"Yes","No"))</f>
        <v/>
      </c>
      <c r="I440" s="32"/>
      <c r="J440" s="32"/>
    </row>
    <row r="441" customFormat="false" ht="15" hidden="false" customHeight="false" outlineLevel="0" collapsed="false">
      <c r="A441" s="32"/>
      <c r="B441" s="32"/>
      <c r="C441" s="32"/>
      <c r="D441" s="32"/>
      <c r="E441" s="32"/>
      <c r="F441" s="32"/>
      <c r="G441" s="32"/>
      <c r="H441" s="28" t="str">
        <f aca="false">IF(COUNTA(C441:G441)=0,"",IF(AND(C441="Yes",D441="Yes",E441="Yes",F441="Yes",G441="No"),"Yes","No"))</f>
        <v/>
      </c>
      <c r="I441" s="32"/>
      <c r="J441" s="32"/>
    </row>
    <row r="442" customFormat="false" ht="15" hidden="false" customHeight="false" outlineLevel="0" collapsed="false">
      <c r="A442" s="32"/>
      <c r="B442" s="32"/>
      <c r="C442" s="32"/>
      <c r="D442" s="32"/>
      <c r="E442" s="32"/>
      <c r="F442" s="32"/>
      <c r="G442" s="32"/>
      <c r="H442" s="28" t="str">
        <f aca="false">IF(COUNTA(C442:G442)=0,"",IF(AND(C442="Yes",D442="Yes",E442="Yes",F442="Yes",G442="No"),"Yes","No"))</f>
        <v/>
      </c>
      <c r="I442" s="32"/>
      <c r="J442" s="32"/>
    </row>
    <row r="443" customFormat="false" ht="15" hidden="false" customHeight="false" outlineLevel="0" collapsed="false">
      <c r="A443" s="32"/>
      <c r="B443" s="32"/>
      <c r="C443" s="32"/>
      <c r="D443" s="32"/>
      <c r="E443" s="32"/>
      <c r="F443" s="32"/>
      <c r="G443" s="32"/>
      <c r="H443" s="28" t="str">
        <f aca="false">IF(COUNTA(C443:G443)=0,"",IF(AND(C443="Yes",D443="Yes",E443="Yes",F443="Yes",G443="No"),"Yes","No"))</f>
        <v/>
      </c>
      <c r="I443" s="32"/>
      <c r="J443" s="32"/>
    </row>
    <row r="444" customFormat="false" ht="15" hidden="false" customHeight="false" outlineLevel="0" collapsed="false">
      <c r="A444" s="32"/>
      <c r="B444" s="32"/>
      <c r="C444" s="32"/>
      <c r="D444" s="32"/>
      <c r="E444" s="32"/>
      <c r="F444" s="32"/>
      <c r="G444" s="32"/>
      <c r="H444" s="28" t="str">
        <f aca="false">IF(COUNTA(C444:G444)=0,"",IF(AND(C444="Yes",D444="Yes",E444="Yes",F444="Yes",G444="No"),"Yes","No"))</f>
        <v/>
      </c>
      <c r="I444" s="32"/>
      <c r="J444" s="32"/>
    </row>
    <row r="445" customFormat="false" ht="15" hidden="false" customHeight="false" outlineLevel="0" collapsed="false">
      <c r="A445" s="32"/>
      <c r="B445" s="32"/>
      <c r="C445" s="32"/>
      <c r="D445" s="32"/>
      <c r="E445" s="32"/>
      <c r="F445" s="32"/>
      <c r="G445" s="32"/>
      <c r="H445" s="28" t="str">
        <f aca="false">IF(COUNTA(C445:G445)=0,"",IF(AND(C445="Yes",D445="Yes",E445="Yes",F445="Yes",G445="No"),"Yes","No"))</f>
        <v/>
      </c>
      <c r="I445" s="32"/>
      <c r="J445" s="32"/>
    </row>
    <row r="446" customFormat="false" ht="15" hidden="false" customHeight="false" outlineLevel="0" collapsed="false">
      <c r="A446" s="32"/>
      <c r="B446" s="32"/>
      <c r="C446" s="32"/>
      <c r="D446" s="32"/>
      <c r="E446" s="32"/>
      <c r="F446" s="32"/>
      <c r="G446" s="32"/>
      <c r="H446" s="28" t="str">
        <f aca="false">IF(COUNTA(C446:G446)=0,"",IF(AND(C446="Yes",D446="Yes",E446="Yes",F446="Yes",G446="No"),"Yes","No"))</f>
        <v/>
      </c>
      <c r="I446" s="32"/>
      <c r="J446" s="32"/>
    </row>
    <row r="447" customFormat="false" ht="15" hidden="false" customHeight="false" outlineLevel="0" collapsed="false">
      <c r="A447" s="32"/>
      <c r="B447" s="32"/>
      <c r="C447" s="32"/>
      <c r="D447" s="32"/>
      <c r="E447" s="32"/>
      <c r="F447" s="32"/>
      <c r="G447" s="32"/>
      <c r="H447" s="28" t="str">
        <f aca="false">IF(COUNTA(C447:G447)=0,"",IF(AND(C447="Yes",D447="Yes",E447="Yes",F447="Yes",G447="No"),"Yes","No"))</f>
        <v/>
      </c>
      <c r="I447" s="32"/>
      <c r="J447" s="32"/>
    </row>
    <row r="448" customFormat="false" ht="15" hidden="false" customHeight="false" outlineLevel="0" collapsed="false">
      <c r="A448" s="32"/>
      <c r="B448" s="32"/>
      <c r="C448" s="32"/>
      <c r="D448" s="32"/>
      <c r="E448" s="32"/>
      <c r="F448" s="32"/>
      <c r="G448" s="32"/>
      <c r="H448" s="28" t="str">
        <f aca="false">IF(COUNTA(C448:G448)=0,"",IF(AND(C448="Yes",D448="Yes",E448="Yes",F448="Yes",G448="No"),"Yes","No"))</f>
        <v/>
      </c>
      <c r="I448" s="32"/>
      <c r="J448" s="32"/>
    </row>
    <row r="449" customFormat="false" ht="15" hidden="false" customHeight="false" outlineLevel="0" collapsed="false">
      <c r="A449" s="32"/>
      <c r="B449" s="32"/>
      <c r="C449" s="32"/>
      <c r="D449" s="32"/>
      <c r="E449" s="32"/>
      <c r="F449" s="32"/>
      <c r="G449" s="32"/>
      <c r="H449" s="28" t="str">
        <f aca="false">IF(COUNTA(C449:G449)=0,"",IF(AND(C449="Yes",D449="Yes",E449="Yes",F449="Yes",G449="No"),"Yes","No"))</f>
        <v/>
      </c>
      <c r="I449" s="32"/>
      <c r="J449" s="32"/>
    </row>
    <row r="450" customFormat="false" ht="15" hidden="false" customHeight="false" outlineLevel="0" collapsed="false">
      <c r="A450" s="32"/>
      <c r="B450" s="32"/>
      <c r="C450" s="32"/>
      <c r="D450" s="32"/>
      <c r="E450" s="32"/>
      <c r="F450" s="32"/>
      <c r="G450" s="32"/>
      <c r="H450" s="28" t="str">
        <f aca="false">IF(COUNTA(C450:G450)=0,"",IF(AND(C450="Yes",D450="Yes",E450="Yes",F450="Yes",G450="No"),"Yes","No"))</f>
        <v/>
      </c>
      <c r="I450" s="32"/>
      <c r="J450" s="32"/>
    </row>
    <row r="451" customFormat="false" ht="15" hidden="false" customHeight="false" outlineLevel="0" collapsed="false">
      <c r="A451" s="32"/>
      <c r="B451" s="32"/>
      <c r="C451" s="32"/>
      <c r="D451" s="32"/>
      <c r="E451" s="32"/>
      <c r="F451" s="32"/>
      <c r="G451" s="32"/>
      <c r="H451" s="28" t="str">
        <f aca="false">IF(COUNTA(C451:G451)=0,"",IF(AND(C451="Yes",D451="Yes",E451="Yes",F451="Yes",G451="No"),"Yes","No"))</f>
        <v/>
      </c>
      <c r="I451" s="32"/>
      <c r="J451" s="32"/>
    </row>
    <row r="452" customFormat="false" ht="15" hidden="false" customHeight="false" outlineLevel="0" collapsed="false">
      <c r="A452" s="32"/>
      <c r="B452" s="32"/>
      <c r="C452" s="32"/>
      <c r="D452" s="32"/>
      <c r="E452" s="32"/>
      <c r="F452" s="32"/>
      <c r="G452" s="32"/>
      <c r="H452" s="28" t="str">
        <f aca="false">IF(COUNTA(C452:G452)=0,"",IF(AND(C452="Yes",D452="Yes",E452="Yes",F452="Yes",G452="No"),"Yes","No"))</f>
        <v/>
      </c>
      <c r="I452" s="32"/>
      <c r="J452" s="32"/>
    </row>
    <row r="453" customFormat="false" ht="15" hidden="false" customHeight="false" outlineLevel="0" collapsed="false">
      <c r="A453" s="32"/>
      <c r="B453" s="32"/>
      <c r="C453" s="32"/>
      <c r="D453" s="32"/>
      <c r="E453" s="32"/>
      <c r="F453" s="32"/>
      <c r="G453" s="32"/>
      <c r="H453" s="28" t="str">
        <f aca="false">IF(COUNTA(C453:G453)=0,"",IF(AND(C453="Yes",D453="Yes",E453="Yes",F453="Yes",G453="No"),"Yes","No"))</f>
        <v/>
      </c>
      <c r="I453" s="32"/>
      <c r="J453" s="32"/>
    </row>
    <row r="454" customFormat="false" ht="15" hidden="false" customHeight="false" outlineLevel="0" collapsed="false">
      <c r="A454" s="32"/>
      <c r="B454" s="32"/>
      <c r="C454" s="32"/>
      <c r="D454" s="32"/>
      <c r="E454" s="32"/>
      <c r="F454" s="32"/>
      <c r="G454" s="32"/>
      <c r="H454" s="28" t="str">
        <f aca="false">IF(COUNTA(C454:G454)=0,"",IF(AND(C454="Yes",D454="Yes",E454="Yes",F454="Yes",G454="No"),"Yes","No"))</f>
        <v/>
      </c>
      <c r="I454" s="32"/>
      <c r="J454" s="32"/>
    </row>
    <row r="455" customFormat="false" ht="15" hidden="false" customHeight="false" outlineLevel="0" collapsed="false">
      <c r="A455" s="32"/>
      <c r="B455" s="32"/>
      <c r="C455" s="32"/>
      <c r="D455" s="32"/>
      <c r="E455" s="32"/>
      <c r="F455" s="32"/>
      <c r="G455" s="32"/>
      <c r="H455" s="28" t="str">
        <f aca="false">IF(COUNTA(C455:G455)=0,"",IF(AND(C455="Yes",D455="Yes",E455="Yes",F455="Yes",G455="No"),"Yes","No"))</f>
        <v/>
      </c>
      <c r="I455" s="32"/>
      <c r="J455" s="32"/>
    </row>
    <row r="456" customFormat="false" ht="15" hidden="false" customHeight="false" outlineLevel="0" collapsed="false">
      <c r="A456" s="32"/>
      <c r="B456" s="32"/>
      <c r="C456" s="32"/>
      <c r="D456" s="32"/>
      <c r="E456" s="32"/>
      <c r="F456" s="32"/>
      <c r="G456" s="32"/>
      <c r="H456" s="28" t="str">
        <f aca="false">IF(COUNTA(C456:G456)=0,"",IF(AND(C456="Yes",D456="Yes",E456="Yes",F456="Yes",G456="No"),"Yes","No"))</f>
        <v/>
      </c>
      <c r="I456" s="32"/>
      <c r="J456" s="32"/>
    </row>
    <row r="457" customFormat="false" ht="15" hidden="false" customHeight="false" outlineLevel="0" collapsed="false">
      <c r="A457" s="32"/>
      <c r="B457" s="32"/>
      <c r="C457" s="32"/>
      <c r="D457" s="32"/>
      <c r="E457" s="32"/>
      <c r="F457" s="32"/>
      <c r="G457" s="32"/>
      <c r="H457" s="28" t="str">
        <f aca="false">IF(COUNTA(C457:G457)=0,"",IF(AND(C457="Yes",D457="Yes",E457="Yes",F457="Yes",G457="No"),"Yes","No"))</f>
        <v/>
      </c>
      <c r="I457" s="32"/>
      <c r="J457" s="32"/>
    </row>
    <row r="458" customFormat="false" ht="15" hidden="false" customHeight="false" outlineLevel="0" collapsed="false">
      <c r="A458" s="32"/>
      <c r="B458" s="32"/>
      <c r="C458" s="32"/>
      <c r="D458" s="32"/>
      <c r="E458" s="32"/>
      <c r="F458" s="32"/>
      <c r="G458" s="32"/>
      <c r="H458" s="28" t="str">
        <f aca="false">IF(COUNTA(C458:G458)=0,"",IF(AND(C458="Yes",D458="Yes",E458="Yes",F458="Yes",G458="No"),"Yes","No"))</f>
        <v/>
      </c>
      <c r="I458" s="32"/>
      <c r="J458" s="32"/>
    </row>
    <row r="459" customFormat="false" ht="15" hidden="false" customHeight="false" outlineLevel="0" collapsed="false">
      <c r="A459" s="32"/>
      <c r="B459" s="32"/>
      <c r="C459" s="32"/>
      <c r="D459" s="32"/>
      <c r="E459" s="32"/>
      <c r="F459" s="32"/>
      <c r="G459" s="32"/>
      <c r="H459" s="28" t="str">
        <f aca="false">IF(COUNTA(C459:G459)=0,"",IF(AND(C459="Yes",D459="Yes",E459="Yes",F459="Yes",G459="No"),"Yes","No"))</f>
        <v/>
      </c>
      <c r="I459" s="32"/>
      <c r="J459" s="32"/>
    </row>
    <row r="460" customFormat="false" ht="15" hidden="false" customHeight="false" outlineLevel="0" collapsed="false">
      <c r="A460" s="32"/>
      <c r="B460" s="32"/>
      <c r="C460" s="32"/>
      <c r="D460" s="32"/>
      <c r="E460" s="32"/>
      <c r="F460" s="32"/>
      <c r="G460" s="32"/>
      <c r="H460" s="28" t="str">
        <f aca="false">IF(COUNTA(C460:G460)=0,"",IF(AND(C460="Yes",D460="Yes",E460="Yes",F460="Yes",G460="No"),"Yes","No"))</f>
        <v/>
      </c>
      <c r="I460" s="32"/>
      <c r="J460" s="32"/>
    </row>
    <row r="461" customFormat="false" ht="15" hidden="false" customHeight="false" outlineLevel="0" collapsed="false">
      <c r="A461" s="32"/>
      <c r="B461" s="32"/>
      <c r="C461" s="32"/>
      <c r="D461" s="32"/>
      <c r="E461" s="32"/>
      <c r="F461" s="32"/>
      <c r="G461" s="32"/>
      <c r="H461" s="28" t="str">
        <f aca="false">IF(COUNTA(C461:G461)=0,"",IF(AND(C461="Yes",D461="Yes",E461="Yes",F461="Yes",G461="No"),"Yes","No"))</f>
        <v/>
      </c>
      <c r="I461" s="32"/>
      <c r="J461" s="32"/>
    </row>
    <row r="462" customFormat="false" ht="15" hidden="false" customHeight="false" outlineLevel="0" collapsed="false">
      <c r="A462" s="32"/>
      <c r="B462" s="32"/>
      <c r="C462" s="32"/>
      <c r="D462" s="32"/>
      <c r="E462" s="32"/>
      <c r="F462" s="32"/>
      <c r="G462" s="32"/>
      <c r="H462" s="28" t="str">
        <f aca="false">IF(COUNTA(C462:G462)=0,"",IF(AND(C462="Yes",D462="Yes",E462="Yes",F462="Yes",G462="No"),"Yes","No"))</f>
        <v/>
      </c>
      <c r="I462" s="32"/>
      <c r="J462" s="32"/>
    </row>
    <row r="463" customFormat="false" ht="15" hidden="false" customHeight="false" outlineLevel="0" collapsed="false">
      <c r="A463" s="32"/>
      <c r="B463" s="32"/>
      <c r="C463" s="32"/>
      <c r="D463" s="32"/>
      <c r="E463" s="32"/>
      <c r="F463" s="32"/>
      <c r="G463" s="32"/>
      <c r="H463" s="28" t="str">
        <f aca="false">IF(COUNTA(C463:G463)=0,"",IF(AND(C463="Yes",D463="Yes",E463="Yes",F463="Yes",G463="No"),"Yes","No"))</f>
        <v/>
      </c>
      <c r="I463" s="32"/>
      <c r="J463" s="32"/>
    </row>
    <row r="464" customFormat="false" ht="15" hidden="false" customHeight="false" outlineLevel="0" collapsed="false">
      <c r="A464" s="32"/>
      <c r="B464" s="32"/>
      <c r="C464" s="32"/>
      <c r="D464" s="32"/>
      <c r="E464" s="32"/>
      <c r="F464" s="32"/>
      <c r="G464" s="32"/>
      <c r="H464" s="28" t="str">
        <f aca="false">IF(COUNTA(C464:G464)=0,"",IF(AND(C464="Yes",D464="Yes",E464="Yes",F464="Yes",G464="No"),"Yes","No"))</f>
        <v/>
      </c>
      <c r="I464" s="32"/>
      <c r="J464" s="32"/>
    </row>
    <row r="465" customFormat="false" ht="15" hidden="false" customHeight="false" outlineLevel="0" collapsed="false">
      <c r="A465" s="32"/>
      <c r="B465" s="32"/>
      <c r="C465" s="32"/>
      <c r="D465" s="32"/>
      <c r="E465" s="32"/>
      <c r="F465" s="32"/>
      <c r="G465" s="32"/>
      <c r="H465" s="28" t="str">
        <f aca="false">IF(COUNTA(C465:G465)=0,"",IF(AND(C465="Yes",D465="Yes",E465="Yes",F465="Yes",G465="No"),"Yes","No"))</f>
        <v/>
      </c>
      <c r="I465" s="32"/>
      <c r="J465" s="32"/>
    </row>
    <row r="466" customFormat="false" ht="15" hidden="false" customHeight="false" outlineLevel="0" collapsed="false">
      <c r="A466" s="32"/>
      <c r="B466" s="32"/>
      <c r="C466" s="32"/>
      <c r="D466" s="32"/>
      <c r="E466" s="32"/>
      <c r="F466" s="32"/>
      <c r="G466" s="32"/>
      <c r="H466" s="28" t="str">
        <f aca="false">IF(COUNTA(C466:G466)=0,"",IF(AND(C466="Yes",D466="Yes",E466="Yes",F466="Yes",G466="No"),"Yes","No"))</f>
        <v/>
      </c>
      <c r="I466" s="32"/>
      <c r="J466" s="32"/>
    </row>
    <row r="467" customFormat="false" ht="15" hidden="false" customHeight="false" outlineLevel="0" collapsed="false">
      <c r="A467" s="32"/>
      <c r="B467" s="32"/>
      <c r="C467" s="32"/>
      <c r="D467" s="32"/>
      <c r="E467" s="32"/>
      <c r="F467" s="32"/>
      <c r="G467" s="32"/>
      <c r="H467" s="28" t="str">
        <f aca="false">IF(COUNTA(C467:G467)=0,"",IF(AND(C467="Yes",D467="Yes",E467="Yes",F467="Yes",G467="No"),"Yes","No"))</f>
        <v/>
      </c>
      <c r="I467" s="32"/>
      <c r="J467" s="32"/>
    </row>
    <row r="468" customFormat="false" ht="15" hidden="false" customHeight="false" outlineLevel="0" collapsed="false">
      <c r="A468" s="32"/>
      <c r="B468" s="32"/>
      <c r="C468" s="32"/>
      <c r="D468" s="32"/>
      <c r="E468" s="32"/>
      <c r="F468" s="32"/>
      <c r="G468" s="32"/>
      <c r="H468" s="28" t="str">
        <f aca="false">IF(COUNTA(C468:G468)=0,"",IF(AND(C468="Yes",D468="Yes",E468="Yes",F468="Yes",G468="No"),"Yes","No"))</f>
        <v/>
      </c>
      <c r="I468" s="32"/>
      <c r="J468" s="32"/>
    </row>
    <row r="469" customFormat="false" ht="15" hidden="false" customHeight="false" outlineLevel="0" collapsed="false">
      <c r="A469" s="32"/>
      <c r="B469" s="32"/>
      <c r="C469" s="32"/>
      <c r="D469" s="32"/>
      <c r="E469" s="32"/>
      <c r="F469" s="32"/>
      <c r="G469" s="32"/>
      <c r="H469" s="28" t="str">
        <f aca="false">IF(COUNTA(C469:G469)=0,"",IF(AND(C469="Yes",D469="Yes",E469="Yes",F469="Yes",G469="No"),"Yes","No"))</f>
        <v/>
      </c>
      <c r="I469" s="32"/>
      <c r="J469" s="32"/>
    </row>
    <row r="470" customFormat="false" ht="15" hidden="false" customHeight="false" outlineLevel="0" collapsed="false">
      <c r="A470" s="32"/>
      <c r="B470" s="32"/>
      <c r="C470" s="32"/>
      <c r="D470" s="32"/>
      <c r="E470" s="32"/>
      <c r="F470" s="32"/>
      <c r="G470" s="32"/>
      <c r="H470" s="28" t="str">
        <f aca="false">IF(COUNTA(C470:G470)=0,"",IF(AND(C470="Yes",D470="Yes",E470="Yes",F470="Yes",G470="No"),"Yes","No"))</f>
        <v/>
      </c>
      <c r="I470" s="32"/>
      <c r="J470" s="32"/>
    </row>
    <row r="471" customFormat="false" ht="15" hidden="false" customHeight="false" outlineLevel="0" collapsed="false">
      <c r="A471" s="32"/>
      <c r="B471" s="32"/>
      <c r="C471" s="32"/>
      <c r="D471" s="32"/>
      <c r="E471" s="32"/>
      <c r="F471" s="32"/>
      <c r="G471" s="32"/>
      <c r="H471" s="28" t="str">
        <f aca="false">IF(COUNTA(C471:G471)=0,"",IF(AND(C471="Yes",D471="Yes",E471="Yes",F471="Yes",G471="No"),"Yes","No"))</f>
        <v/>
      </c>
      <c r="I471" s="32"/>
      <c r="J471" s="32"/>
    </row>
    <row r="472" customFormat="false" ht="15" hidden="false" customHeight="false" outlineLevel="0" collapsed="false">
      <c r="A472" s="32"/>
      <c r="B472" s="32"/>
      <c r="C472" s="32"/>
      <c r="D472" s="32"/>
      <c r="E472" s="32"/>
      <c r="F472" s="32"/>
      <c r="G472" s="32"/>
      <c r="H472" s="28" t="str">
        <f aca="false">IF(COUNTA(C472:G472)=0,"",IF(AND(C472="Yes",D472="Yes",E472="Yes",F472="Yes",G472="No"),"Yes","No"))</f>
        <v/>
      </c>
      <c r="I472" s="32"/>
      <c r="J472" s="32"/>
    </row>
    <row r="473" customFormat="false" ht="15" hidden="false" customHeight="false" outlineLevel="0" collapsed="false">
      <c r="A473" s="32"/>
      <c r="B473" s="32"/>
      <c r="C473" s="32"/>
      <c r="D473" s="32"/>
      <c r="E473" s="32"/>
      <c r="F473" s="32"/>
      <c r="G473" s="32"/>
      <c r="H473" s="28" t="str">
        <f aca="false">IF(COUNTA(C473:G473)=0,"",IF(AND(C473="Yes",D473="Yes",E473="Yes",F473="Yes",G473="No"),"Yes","No"))</f>
        <v/>
      </c>
      <c r="I473" s="32"/>
      <c r="J473" s="32"/>
    </row>
    <row r="474" customFormat="false" ht="15" hidden="false" customHeight="false" outlineLevel="0" collapsed="false">
      <c r="A474" s="32"/>
      <c r="B474" s="32"/>
      <c r="C474" s="32"/>
      <c r="D474" s="32"/>
      <c r="E474" s="32"/>
      <c r="F474" s="32"/>
      <c r="G474" s="32"/>
      <c r="H474" s="28" t="str">
        <f aca="false">IF(COUNTA(C474:G474)=0,"",IF(AND(C474="Yes",D474="Yes",E474="Yes",F474="Yes",G474="No"),"Yes","No"))</f>
        <v/>
      </c>
      <c r="I474" s="32"/>
      <c r="J474" s="32"/>
    </row>
    <row r="475" customFormat="false" ht="15" hidden="false" customHeight="false" outlineLevel="0" collapsed="false">
      <c r="A475" s="32"/>
      <c r="B475" s="32"/>
      <c r="C475" s="32"/>
      <c r="D475" s="32"/>
      <c r="E475" s="32"/>
      <c r="F475" s="32"/>
      <c r="G475" s="32"/>
      <c r="H475" s="28" t="str">
        <f aca="false">IF(COUNTA(C475:G475)=0,"",IF(AND(C475="Yes",D475="Yes",E475="Yes",F475="Yes",G475="No"),"Yes","No"))</f>
        <v/>
      </c>
      <c r="I475" s="32"/>
      <c r="J475" s="32"/>
    </row>
    <row r="476" customFormat="false" ht="15" hidden="false" customHeight="false" outlineLevel="0" collapsed="false">
      <c r="A476" s="32"/>
      <c r="B476" s="32"/>
      <c r="C476" s="32"/>
      <c r="D476" s="32"/>
      <c r="E476" s="32"/>
      <c r="F476" s="32"/>
      <c r="G476" s="32"/>
      <c r="H476" s="28" t="str">
        <f aca="false">IF(COUNTA(C476:G476)=0,"",IF(AND(C476="Yes",D476="Yes",E476="Yes",F476="Yes",G476="No"),"Yes","No"))</f>
        <v/>
      </c>
      <c r="I476" s="32"/>
      <c r="J476" s="32"/>
    </row>
    <row r="477" customFormat="false" ht="15" hidden="false" customHeight="false" outlineLevel="0" collapsed="false">
      <c r="A477" s="32"/>
      <c r="B477" s="32"/>
      <c r="C477" s="32"/>
      <c r="D477" s="32"/>
      <c r="E477" s="32"/>
      <c r="F477" s="32"/>
      <c r="G477" s="32"/>
      <c r="H477" s="28" t="str">
        <f aca="false">IF(COUNTA(C477:G477)=0,"",IF(AND(C477="Yes",D477="Yes",E477="Yes",F477="Yes",G477="No"),"Yes","No"))</f>
        <v/>
      </c>
      <c r="I477" s="32"/>
      <c r="J477" s="32"/>
    </row>
    <row r="478" customFormat="false" ht="15" hidden="false" customHeight="false" outlineLevel="0" collapsed="false">
      <c r="A478" s="32"/>
      <c r="B478" s="32"/>
      <c r="C478" s="32"/>
      <c r="D478" s="32"/>
      <c r="E478" s="32"/>
      <c r="F478" s="32"/>
      <c r="G478" s="32"/>
      <c r="H478" s="28" t="str">
        <f aca="false">IF(COUNTA(C478:G478)=0,"",IF(AND(C478="Yes",D478="Yes",E478="Yes",F478="Yes",G478="No"),"Yes","No"))</f>
        <v/>
      </c>
      <c r="I478" s="32"/>
      <c r="J478" s="32"/>
    </row>
    <row r="479" customFormat="false" ht="15" hidden="false" customHeight="false" outlineLevel="0" collapsed="false">
      <c r="A479" s="32"/>
      <c r="B479" s="32"/>
      <c r="C479" s="32"/>
      <c r="D479" s="32"/>
      <c r="E479" s="32"/>
      <c r="F479" s="32"/>
      <c r="G479" s="32"/>
      <c r="H479" s="28" t="str">
        <f aca="false">IF(COUNTA(C479:G479)=0,"",IF(AND(C479="Yes",D479="Yes",E479="Yes",F479="Yes",G479="No"),"Yes","No"))</f>
        <v/>
      </c>
      <c r="I479" s="32"/>
      <c r="J479" s="32"/>
    </row>
    <row r="480" customFormat="false" ht="15" hidden="false" customHeight="false" outlineLevel="0" collapsed="false">
      <c r="A480" s="32"/>
      <c r="B480" s="32"/>
      <c r="C480" s="32"/>
      <c r="D480" s="32"/>
      <c r="E480" s="32"/>
      <c r="F480" s="32"/>
      <c r="G480" s="32"/>
      <c r="H480" s="28" t="str">
        <f aca="false">IF(COUNTA(C480:G480)=0,"",IF(AND(C480="Yes",D480="Yes",E480="Yes",F480="Yes",G480="No"),"Yes","No"))</f>
        <v/>
      </c>
      <c r="I480" s="32"/>
      <c r="J480" s="32"/>
    </row>
    <row r="481" customFormat="false" ht="15" hidden="false" customHeight="false" outlineLevel="0" collapsed="false">
      <c r="A481" s="32"/>
      <c r="B481" s="32"/>
      <c r="C481" s="32"/>
      <c r="D481" s="32"/>
      <c r="E481" s="32"/>
      <c r="F481" s="32"/>
      <c r="G481" s="32"/>
      <c r="H481" s="28" t="str">
        <f aca="false">IF(COUNTA(C481:G481)=0,"",IF(AND(C481="Yes",D481="Yes",E481="Yes",F481="Yes",G481="No"),"Yes","No"))</f>
        <v/>
      </c>
      <c r="I481" s="32"/>
      <c r="J481" s="32"/>
    </row>
    <row r="482" customFormat="false" ht="15" hidden="false" customHeight="false" outlineLevel="0" collapsed="false">
      <c r="A482" s="32"/>
      <c r="B482" s="32"/>
      <c r="C482" s="32"/>
      <c r="D482" s="32"/>
      <c r="E482" s="32"/>
      <c r="F482" s="32"/>
      <c r="G482" s="32"/>
      <c r="H482" s="28" t="str">
        <f aca="false">IF(COUNTA(C482:G482)=0,"",IF(AND(C482="Yes",D482="Yes",E482="Yes",F482="Yes",G482="No"),"Yes","No"))</f>
        <v/>
      </c>
      <c r="I482" s="32"/>
      <c r="J482" s="32"/>
    </row>
    <row r="483" customFormat="false" ht="15" hidden="false" customHeight="false" outlineLevel="0" collapsed="false">
      <c r="A483" s="32"/>
      <c r="B483" s="32"/>
      <c r="C483" s="32"/>
      <c r="D483" s="32"/>
      <c r="E483" s="32"/>
      <c r="F483" s="32"/>
      <c r="G483" s="32"/>
      <c r="H483" s="28" t="str">
        <f aca="false">IF(COUNTA(C483:G483)=0,"",IF(AND(C483="Yes",D483="Yes",E483="Yes",F483="Yes",G483="No"),"Yes","No"))</f>
        <v/>
      </c>
      <c r="I483" s="32"/>
      <c r="J483" s="32"/>
    </row>
    <row r="484" customFormat="false" ht="15" hidden="false" customHeight="false" outlineLevel="0" collapsed="false">
      <c r="A484" s="32"/>
      <c r="B484" s="32"/>
      <c r="C484" s="32"/>
      <c r="D484" s="32"/>
      <c r="E484" s="32"/>
      <c r="F484" s="32"/>
      <c r="G484" s="32"/>
      <c r="H484" s="28" t="str">
        <f aca="false">IF(COUNTA(C484:G484)=0,"",IF(AND(C484="Yes",D484="Yes",E484="Yes",F484="Yes",G484="No"),"Yes","No"))</f>
        <v/>
      </c>
      <c r="I484" s="32"/>
      <c r="J484" s="32"/>
    </row>
    <row r="485" customFormat="false" ht="15" hidden="false" customHeight="false" outlineLevel="0" collapsed="false">
      <c r="A485" s="32"/>
      <c r="B485" s="32"/>
      <c r="C485" s="32"/>
      <c r="D485" s="32"/>
      <c r="E485" s="32"/>
      <c r="F485" s="32"/>
      <c r="G485" s="32"/>
      <c r="H485" s="28" t="str">
        <f aca="false">IF(COUNTA(C485:G485)=0,"",IF(AND(C485="Yes",D485="Yes",E485="Yes",F485="Yes",G485="No"),"Yes","No"))</f>
        <v/>
      </c>
      <c r="I485" s="32"/>
      <c r="J485" s="32"/>
    </row>
    <row r="486" customFormat="false" ht="15" hidden="false" customHeight="false" outlineLevel="0" collapsed="false">
      <c r="A486" s="32"/>
      <c r="B486" s="32"/>
      <c r="C486" s="32"/>
      <c r="D486" s="32"/>
      <c r="E486" s="32"/>
      <c r="F486" s="32"/>
      <c r="G486" s="32"/>
      <c r="H486" s="28" t="str">
        <f aca="false">IF(COUNTA(C486:G486)=0,"",IF(AND(C486="Yes",D486="Yes",E486="Yes",F486="Yes",G486="No"),"Yes","No"))</f>
        <v/>
      </c>
      <c r="I486" s="32"/>
      <c r="J486" s="32"/>
    </row>
    <row r="487" customFormat="false" ht="15" hidden="false" customHeight="false" outlineLevel="0" collapsed="false">
      <c r="A487" s="32"/>
      <c r="B487" s="32"/>
      <c r="C487" s="32"/>
      <c r="D487" s="32"/>
      <c r="E487" s="32"/>
      <c r="F487" s="32"/>
      <c r="G487" s="32"/>
      <c r="H487" s="28" t="str">
        <f aca="false">IF(COUNTA(C487:G487)=0,"",IF(AND(C487="Yes",D487="Yes",E487="Yes",F487="Yes",G487="No"),"Yes","No"))</f>
        <v/>
      </c>
      <c r="I487" s="32"/>
      <c r="J487" s="32"/>
    </row>
    <row r="488" customFormat="false" ht="15" hidden="false" customHeight="false" outlineLevel="0" collapsed="false">
      <c r="A488" s="32"/>
      <c r="B488" s="32"/>
      <c r="C488" s="32"/>
      <c r="D488" s="32"/>
      <c r="E488" s="32"/>
      <c r="F488" s="32"/>
      <c r="G488" s="32"/>
      <c r="H488" s="28" t="str">
        <f aca="false">IF(COUNTA(C488:G488)=0,"",IF(AND(C488="Yes",D488="Yes",E488="Yes",F488="Yes",G488="No"),"Yes","No"))</f>
        <v/>
      </c>
      <c r="I488" s="32"/>
      <c r="J488" s="32"/>
    </row>
    <row r="489" customFormat="false" ht="15" hidden="false" customHeight="false" outlineLevel="0" collapsed="false">
      <c r="A489" s="32"/>
      <c r="B489" s="32"/>
      <c r="C489" s="32"/>
      <c r="D489" s="32"/>
      <c r="E489" s="32"/>
      <c r="F489" s="32"/>
      <c r="G489" s="32"/>
      <c r="H489" s="28" t="str">
        <f aca="false">IF(COUNTA(C489:G489)=0,"",IF(AND(C489="Yes",D489="Yes",E489="Yes",F489="Yes",G489="No"),"Yes","No"))</f>
        <v/>
      </c>
      <c r="I489" s="32"/>
      <c r="J489" s="32"/>
    </row>
    <row r="490" customFormat="false" ht="15" hidden="false" customHeight="false" outlineLevel="0" collapsed="false">
      <c r="A490" s="32"/>
      <c r="B490" s="32"/>
      <c r="C490" s="32"/>
      <c r="D490" s="32"/>
      <c r="E490" s="32"/>
      <c r="F490" s="32"/>
      <c r="G490" s="32"/>
      <c r="H490" s="28" t="str">
        <f aca="false">IF(COUNTA(C490:G490)=0,"",IF(AND(C490="Yes",D490="Yes",E490="Yes",F490="Yes",G490="No"),"Yes","No"))</f>
        <v/>
      </c>
      <c r="I490" s="32"/>
      <c r="J490" s="32"/>
    </row>
    <row r="491" customFormat="false" ht="15" hidden="false" customHeight="false" outlineLevel="0" collapsed="false">
      <c r="A491" s="32"/>
      <c r="B491" s="32"/>
      <c r="C491" s="32"/>
      <c r="D491" s="32"/>
      <c r="E491" s="32"/>
      <c r="F491" s="32"/>
      <c r="G491" s="32"/>
      <c r="H491" s="28" t="str">
        <f aca="false">IF(COUNTA(C491:G491)=0,"",IF(AND(C491="Yes",D491="Yes",E491="Yes",F491="Yes",G491="No"),"Yes","No"))</f>
        <v/>
      </c>
      <c r="I491" s="32"/>
      <c r="J491" s="32"/>
    </row>
    <row r="492" customFormat="false" ht="15" hidden="false" customHeight="false" outlineLevel="0" collapsed="false">
      <c r="A492" s="32"/>
      <c r="B492" s="32"/>
      <c r="C492" s="32"/>
      <c r="D492" s="32"/>
      <c r="E492" s="32"/>
      <c r="F492" s="32"/>
      <c r="G492" s="32"/>
      <c r="H492" s="28" t="str">
        <f aca="false">IF(COUNTA(C492:G492)=0,"",IF(AND(C492="Yes",D492="Yes",E492="Yes",F492="Yes",G492="No"),"Yes","No"))</f>
        <v/>
      </c>
      <c r="I492" s="32"/>
      <c r="J492" s="32"/>
    </row>
    <row r="493" customFormat="false" ht="15" hidden="false" customHeight="false" outlineLevel="0" collapsed="false">
      <c r="A493" s="32"/>
      <c r="B493" s="32"/>
      <c r="C493" s="32"/>
      <c r="D493" s="32"/>
      <c r="E493" s="32"/>
      <c r="F493" s="32"/>
      <c r="G493" s="32"/>
      <c r="H493" s="28" t="str">
        <f aca="false">IF(COUNTA(C493:G493)=0,"",IF(AND(C493="Yes",D493="Yes",E493="Yes",F493="Yes",G493="No"),"Yes","No"))</f>
        <v/>
      </c>
      <c r="I493" s="32"/>
      <c r="J493" s="32"/>
    </row>
    <row r="494" customFormat="false" ht="15" hidden="false" customHeight="false" outlineLevel="0" collapsed="false">
      <c r="A494" s="32"/>
      <c r="B494" s="32"/>
      <c r="C494" s="32"/>
      <c r="D494" s="32"/>
      <c r="E494" s="32"/>
      <c r="F494" s="32"/>
      <c r="G494" s="32"/>
      <c r="H494" s="28" t="str">
        <f aca="false">IF(COUNTA(C494:G494)=0,"",IF(AND(C494="Yes",D494="Yes",E494="Yes",F494="Yes",G494="No"),"Yes","No"))</f>
        <v/>
      </c>
      <c r="I494" s="32"/>
      <c r="J494" s="32"/>
    </row>
    <row r="495" customFormat="false" ht="15" hidden="false" customHeight="false" outlineLevel="0" collapsed="false">
      <c r="A495" s="32"/>
      <c r="B495" s="32"/>
      <c r="C495" s="32"/>
      <c r="D495" s="32"/>
      <c r="E495" s="32"/>
      <c r="F495" s="32"/>
      <c r="G495" s="32"/>
      <c r="H495" s="28" t="str">
        <f aca="false">IF(COUNTA(C495:G495)=0,"",IF(AND(C495="Yes",D495="Yes",E495="Yes",F495="Yes",G495="No"),"Yes","No"))</f>
        <v/>
      </c>
      <c r="I495" s="32"/>
      <c r="J495" s="32"/>
    </row>
    <row r="496" customFormat="false" ht="15" hidden="false" customHeight="false" outlineLevel="0" collapsed="false">
      <c r="A496" s="32"/>
      <c r="B496" s="32"/>
      <c r="C496" s="32"/>
      <c r="D496" s="32"/>
      <c r="E496" s="32"/>
      <c r="F496" s="32"/>
      <c r="G496" s="32"/>
      <c r="H496" s="28" t="str">
        <f aca="false">IF(COUNTA(C496:G496)=0,"",IF(AND(C496="Yes",D496="Yes",E496="Yes",F496="Yes",G496="No"),"Yes","No"))</f>
        <v/>
      </c>
      <c r="I496" s="32"/>
      <c r="J496" s="32"/>
    </row>
    <row r="497" customFormat="false" ht="15" hidden="false" customHeight="false" outlineLevel="0" collapsed="false">
      <c r="A497" s="32"/>
      <c r="B497" s="32"/>
      <c r="C497" s="32"/>
      <c r="D497" s="32"/>
      <c r="E497" s="32"/>
      <c r="F497" s="32"/>
      <c r="G497" s="32"/>
      <c r="H497" s="28" t="str">
        <f aca="false">IF(COUNTA(C497:G497)=0,"",IF(AND(C497="Yes",D497="Yes",E497="Yes",F497="Yes",G497="No"),"Yes","No"))</f>
        <v/>
      </c>
      <c r="I497" s="32"/>
      <c r="J497" s="32"/>
    </row>
    <row r="498" customFormat="false" ht="15" hidden="false" customHeight="false" outlineLevel="0" collapsed="false">
      <c r="A498" s="32"/>
      <c r="B498" s="32"/>
      <c r="C498" s="32"/>
      <c r="D498" s="32"/>
      <c r="E498" s="32"/>
      <c r="F498" s="32"/>
      <c r="G498" s="32"/>
      <c r="H498" s="28" t="str">
        <f aca="false">IF(COUNTA(C498:G498)=0,"",IF(AND(C498="Yes",D498="Yes",E498="Yes",F498="Yes",G498="No"),"Yes","No"))</f>
        <v/>
      </c>
      <c r="I498" s="32"/>
      <c r="J498" s="32"/>
    </row>
    <row r="499" customFormat="false" ht="15" hidden="false" customHeight="false" outlineLevel="0" collapsed="false">
      <c r="A499" s="32"/>
      <c r="B499" s="32"/>
      <c r="C499" s="32"/>
      <c r="D499" s="32"/>
      <c r="E499" s="32"/>
      <c r="F499" s="32"/>
      <c r="G499" s="32"/>
      <c r="H499" s="28" t="str">
        <f aca="false">IF(COUNTA(C499:G499)=0,"",IF(AND(C499="Yes",D499="Yes",E499="Yes",F499="Yes",G499="No"),"Yes","No"))</f>
        <v/>
      </c>
      <c r="I499" s="32"/>
      <c r="J499" s="32"/>
    </row>
    <row r="500" customFormat="false" ht="15" hidden="false" customHeight="false" outlineLevel="0" collapsed="false">
      <c r="A500" s="32"/>
      <c r="B500" s="32"/>
      <c r="C500" s="32"/>
      <c r="D500" s="32"/>
      <c r="E500" s="32"/>
      <c r="F500" s="32"/>
      <c r="G500" s="32"/>
      <c r="H500" s="28" t="str">
        <f aca="false">IF(COUNTA(C500:G500)=0,"",IF(AND(C500="Yes",D500="Yes",E500="Yes",F500="Yes",G500="No"),"Yes","No"))</f>
        <v/>
      </c>
      <c r="I500" s="32"/>
      <c r="J500" s="32"/>
    </row>
    <row r="501" customFormat="false" ht="15" hidden="false" customHeight="false" outlineLevel="0" collapsed="false">
      <c r="A501" s="32"/>
      <c r="B501" s="32"/>
      <c r="C501" s="32"/>
      <c r="D501" s="32"/>
      <c r="E501" s="32"/>
      <c r="F501" s="32"/>
      <c r="G501" s="32"/>
      <c r="H501" s="28" t="str">
        <f aca="false">IF(COUNTA(C501:G501)=0,"",IF(AND(C501="Yes",D501="Yes",E501="Yes",F501="Yes",G501="No"),"Yes","No"))</f>
        <v/>
      </c>
      <c r="I501" s="32"/>
      <c r="J501" s="32"/>
    </row>
    <row r="502" customFormat="false" ht="15" hidden="false" customHeight="false" outlineLevel="0" collapsed="false">
      <c r="A502" s="32"/>
      <c r="B502" s="32"/>
      <c r="C502" s="32"/>
      <c r="D502" s="32"/>
      <c r="E502" s="32"/>
      <c r="F502" s="32"/>
      <c r="G502" s="32"/>
      <c r="H502" s="28" t="str">
        <f aca="false">IF(COUNTA(C502:G502)=0,"",IF(AND(C502="Yes",D502="Yes",E502="Yes",F502="Yes",G502="No"),"Yes","No"))</f>
        <v/>
      </c>
      <c r="I502" s="32"/>
      <c r="J502" s="32"/>
    </row>
    <row r="503" customFormat="false" ht="15" hidden="false" customHeight="false" outlineLevel="0" collapsed="false">
      <c r="A503" s="32"/>
      <c r="B503" s="32"/>
      <c r="C503" s="32"/>
      <c r="D503" s="32"/>
      <c r="E503" s="32"/>
      <c r="F503" s="32"/>
      <c r="G503" s="32"/>
      <c r="H503" s="28" t="str">
        <f aca="false">IF(COUNTA(C503:G503)=0,"",IF(AND(C503="Yes",D503="Yes",E503="Yes",F503="Yes",G503="No"),"Yes","No"))</f>
        <v/>
      </c>
      <c r="I503" s="32"/>
      <c r="J503" s="32"/>
    </row>
    <row r="504" customFormat="false" ht="15" hidden="false" customHeight="false" outlineLevel="0" collapsed="false">
      <c r="A504" s="32"/>
      <c r="B504" s="32"/>
      <c r="C504" s="32"/>
      <c r="D504" s="32"/>
      <c r="E504" s="32"/>
      <c r="F504" s="32"/>
      <c r="G504" s="32"/>
      <c r="H504" s="28" t="str">
        <f aca="false">IF(COUNTA(C504:G504)=0,"",IF(AND(C504="Yes",D504="Yes",E504="Yes",F504="Yes",G504="No"),"Yes","No"))</f>
        <v/>
      </c>
      <c r="I504" s="32"/>
      <c r="J504" s="32"/>
    </row>
    <row r="505" customFormat="false" ht="15" hidden="false" customHeight="false" outlineLevel="0" collapsed="false">
      <c r="A505" s="32"/>
      <c r="B505" s="32"/>
      <c r="C505" s="32"/>
      <c r="D505" s="32"/>
      <c r="E505" s="32"/>
      <c r="F505" s="32"/>
      <c r="G505" s="32"/>
      <c r="H505" s="28" t="str">
        <f aca="false">IF(COUNTA(C505:G505)=0,"",IF(AND(C505="Yes",D505="Yes",E505="Yes",F505="Yes",G505="No"),"Yes","No"))</f>
        <v/>
      </c>
      <c r="I505" s="32"/>
      <c r="J505" s="32"/>
    </row>
    <row r="506" customFormat="false" ht="15" hidden="false" customHeight="false" outlineLevel="0" collapsed="false">
      <c r="A506" s="32"/>
      <c r="B506" s="32"/>
      <c r="C506" s="32"/>
      <c r="D506" s="32"/>
      <c r="E506" s="32"/>
      <c r="F506" s="32"/>
      <c r="G506" s="32"/>
      <c r="H506" s="28" t="str">
        <f aca="false">IF(COUNTA(C506:G506)=0,"",IF(AND(C506="Yes",D506="Yes",E506="Yes",F506="Yes",G506="No"),"Yes","No"))</f>
        <v/>
      </c>
      <c r="I506" s="32"/>
      <c r="J506" s="32"/>
    </row>
    <row r="507" customFormat="false" ht="15" hidden="false" customHeight="false" outlineLevel="0" collapsed="false">
      <c r="A507" s="32"/>
      <c r="B507" s="32"/>
      <c r="C507" s="32"/>
      <c r="D507" s="32"/>
      <c r="E507" s="32"/>
      <c r="F507" s="32"/>
      <c r="G507" s="32"/>
      <c r="H507" s="28" t="str">
        <f aca="false">IF(COUNTA(C507:G507)=0,"",IF(AND(C507="Yes",D507="Yes",E507="Yes",F507="Yes",G507="No"),"Yes","No"))</f>
        <v/>
      </c>
      <c r="I507" s="32"/>
      <c r="J507" s="32"/>
    </row>
    <row r="508" customFormat="false" ht="15" hidden="false" customHeight="false" outlineLevel="0" collapsed="false">
      <c r="A508" s="32"/>
      <c r="B508" s="32"/>
      <c r="C508" s="32"/>
      <c r="D508" s="32"/>
      <c r="E508" s="32"/>
      <c r="F508" s="32"/>
      <c r="G508" s="32"/>
      <c r="H508" s="28" t="str">
        <f aca="false">IF(COUNTA(C508:G508)=0,"",IF(AND(C508="Yes",D508="Yes",E508="Yes",F508="Yes",G508="No"),"Yes","No"))</f>
        <v/>
      </c>
      <c r="I508" s="32"/>
      <c r="J508" s="32"/>
    </row>
    <row r="509" customFormat="false" ht="15" hidden="false" customHeight="false" outlineLevel="0" collapsed="false">
      <c r="A509" s="32"/>
      <c r="B509" s="32"/>
      <c r="C509" s="32"/>
      <c r="D509" s="32"/>
      <c r="E509" s="32"/>
      <c r="F509" s="32"/>
      <c r="G509" s="32"/>
      <c r="H509" s="28" t="str">
        <f aca="false">IF(COUNTA(C509:G509)=0,"",IF(AND(C509="Yes",D509="Yes",E509="Yes",F509="Yes",G509="No"),"Yes","No"))</f>
        <v/>
      </c>
      <c r="I509" s="32"/>
      <c r="J509" s="32"/>
    </row>
    <row r="510" customFormat="false" ht="15" hidden="false" customHeight="false" outlineLevel="0" collapsed="false">
      <c r="A510" s="32"/>
      <c r="B510" s="32"/>
      <c r="C510" s="32"/>
      <c r="D510" s="32"/>
      <c r="E510" s="32"/>
      <c r="F510" s="32"/>
      <c r="G510" s="32"/>
      <c r="H510" s="28" t="str">
        <f aca="false">IF(COUNTA(C510:G510)=0,"",IF(AND(C510="Yes",D510="Yes",E510="Yes",F510="Yes",G510="No"),"Yes","No"))</f>
        <v/>
      </c>
      <c r="I510" s="32"/>
      <c r="J510" s="32"/>
    </row>
    <row r="511" customFormat="false" ht="15" hidden="false" customHeight="false" outlineLevel="0" collapsed="false">
      <c r="A511" s="32"/>
      <c r="B511" s="32"/>
      <c r="C511" s="32"/>
      <c r="D511" s="32"/>
      <c r="E511" s="32"/>
      <c r="F511" s="32"/>
      <c r="G511" s="32"/>
      <c r="H511" s="28" t="str">
        <f aca="false">IF(COUNTA(C511:G511)=0,"",IF(AND(C511="Yes",D511="Yes",E511="Yes",F511="Yes",G511="No"),"Yes","No"))</f>
        <v/>
      </c>
      <c r="I511" s="32"/>
      <c r="J511" s="32"/>
    </row>
    <row r="512" customFormat="false" ht="15" hidden="false" customHeight="false" outlineLevel="0" collapsed="false">
      <c r="A512" s="32"/>
      <c r="B512" s="32"/>
      <c r="C512" s="32"/>
      <c r="D512" s="32"/>
      <c r="E512" s="32"/>
      <c r="F512" s="32"/>
      <c r="G512" s="32"/>
      <c r="H512" s="28" t="str">
        <f aca="false">IF(COUNTA(C512:G512)=0,"",IF(AND(C512="Yes",D512="Yes",E512="Yes",F512="Yes",G512="No"),"Yes","No"))</f>
        <v/>
      </c>
      <c r="I512" s="32"/>
      <c r="J512" s="32"/>
    </row>
    <row r="513" customFormat="false" ht="15" hidden="false" customHeight="false" outlineLevel="0" collapsed="false">
      <c r="A513" s="32"/>
      <c r="B513" s="32"/>
      <c r="C513" s="32"/>
      <c r="D513" s="32"/>
      <c r="E513" s="32"/>
      <c r="F513" s="32"/>
      <c r="G513" s="32"/>
      <c r="H513" s="28" t="str">
        <f aca="false">IF(COUNTA(C513:G513)=0,"",IF(AND(C513="Yes",D513="Yes",E513="Yes",F513="Yes",G513="No"),"Yes","No"))</f>
        <v/>
      </c>
      <c r="I513" s="32"/>
      <c r="J513" s="32"/>
    </row>
    <row r="514" customFormat="false" ht="15" hidden="false" customHeight="false" outlineLevel="0" collapsed="false">
      <c r="A514" s="32"/>
      <c r="B514" s="32"/>
      <c r="C514" s="32"/>
      <c r="D514" s="32"/>
      <c r="E514" s="32"/>
      <c r="F514" s="32"/>
      <c r="G514" s="32"/>
      <c r="H514" s="28" t="str">
        <f aca="false">IF(COUNTA(C514:G514)=0,"",IF(AND(C514="Yes",D514="Yes",E514="Yes",F514="Yes",G514="No"),"Yes","No"))</f>
        <v/>
      </c>
      <c r="I514" s="32"/>
      <c r="J514" s="32"/>
    </row>
    <row r="515" customFormat="false" ht="15" hidden="false" customHeight="false" outlineLevel="0" collapsed="false">
      <c r="A515" s="32"/>
      <c r="B515" s="32"/>
      <c r="C515" s="32"/>
      <c r="D515" s="32"/>
      <c r="E515" s="32"/>
      <c r="F515" s="32"/>
      <c r="G515" s="32"/>
      <c r="H515" s="28" t="str">
        <f aca="false">IF(COUNTA(C515:G515)=0,"",IF(AND(C515="Yes",D515="Yes",E515="Yes",F515="Yes",G515="No"),"Yes","No"))</f>
        <v/>
      </c>
      <c r="I515" s="32"/>
      <c r="J515" s="32"/>
    </row>
    <row r="516" customFormat="false" ht="15" hidden="false" customHeight="false" outlineLevel="0" collapsed="false">
      <c r="A516" s="32"/>
      <c r="B516" s="32"/>
      <c r="C516" s="32"/>
      <c r="D516" s="32"/>
      <c r="E516" s="32"/>
      <c r="F516" s="32"/>
      <c r="G516" s="32"/>
      <c r="H516" s="28" t="str">
        <f aca="false">IF(COUNTA(C516:G516)=0,"",IF(AND(C516="Yes",D516="Yes",E516="Yes",F516="Yes",G516="No"),"Yes","No"))</f>
        <v/>
      </c>
      <c r="I516" s="32"/>
      <c r="J516" s="32"/>
    </row>
    <row r="517" customFormat="false" ht="15" hidden="false" customHeight="false" outlineLevel="0" collapsed="false">
      <c r="A517" s="32"/>
      <c r="B517" s="32"/>
      <c r="C517" s="32"/>
      <c r="D517" s="32"/>
      <c r="E517" s="32"/>
      <c r="F517" s="32"/>
      <c r="G517" s="32"/>
      <c r="H517" s="28" t="str">
        <f aca="false">IF(COUNTA(C517:G517)=0,"",IF(AND(C517="Yes",D517="Yes",E517="Yes",F517="Yes",G517="No"),"Yes","No"))</f>
        <v/>
      </c>
      <c r="I517" s="32"/>
      <c r="J517" s="32"/>
    </row>
    <row r="518" customFormat="false" ht="15" hidden="false" customHeight="false" outlineLevel="0" collapsed="false">
      <c r="A518" s="32"/>
      <c r="B518" s="32"/>
      <c r="C518" s="32"/>
      <c r="D518" s="32"/>
      <c r="E518" s="32"/>
      <c r="F518" s="32"/>
      <c r="G518" s="32"/>
      <c r="H518" s="28" t="str">
        <f aca="false">IF(COUNTA(C518:G518)=0,"",IF(AND(C518="Yes",D518="Yes",E518="Yes",F518="Yes",G518="No"),"Yes","No"))</f>
        <v/>
      </c>
      <c r="I518" s="32"/>
      <c r="J518" s="32"/>
    </row>
    <row r="519" customFormat="false" ht="15" hidden="false" customHeight="false" outlineLevel="0" collapsed="false">
      <c r="A519" s="32"/>
      <c r="B519" s="32"/>
      <c r="C519" s="32"/>
      <c r="D519" s="32"/>
      <c r="E519" s="32"/>
      <c r="F519" s="32"/>
      <c r="G519" s="32"/>
      <c r="H519" s="28" t="str">
        <f aca="false">IF(COUNTA(C519:G519)=0,"",IF(AND(C519="Yes",D519="Yes",E519="Yes",F519="Yes",G519="No"),"Yes","No"))</f>
        <v/>
      </c>
      <c r="I519" s="32"/>
      <c r="J519" s="32"/>
    </row>
    <row r="520" customFormat="false" ht="15" hidden="false" customHeight="false" outlineLevel="0" collapsed="false">
      <c r="A520" s="32"/>
      <c r="B520" s="32"/>
      <c r="C520" s="32"/>
      <c r="D520" s="32"/>
      <c r="E520" s="32"/>
      <c r="F520" s="32"/>
      <c r="G520" s="32"/>
      <c r="H520" s="28" t="str">
        <f aca="false">IF(COUNTA(C520:G520)=0,"",IF(AND(C520="Yes",D520="Yes",E520="Yes",F520="Yes",G520="No"),"Yes","No"))</f>
        <v/>
      </c>
      <c r="I520" s="32"/>
      <c r="J520" s="32"/>
    </row>
    <row r="521" customFormat="false" ht="15" hidden="false" customHeight="false" outlineLevel="0" collapsed="false">
      <c r="A521" s="32"/>
      <c r="B521" s="32"/>
      <c r="C521" s="32"/>
      <c r="D521" s="32"/>
      <c r="E521" s="32"/>
      <c r="F521" s="32"/>
      <c r="G521" s="32"/>
      <c r="H521" s="28" t="str">
        <f aca="false">IF(COUNTA(C521:G521)=0,"",IF(AND(C521="Yes",D521="Yes",E521="Yes",F521="Yes",G521="No"),"Yes","No"))</f>
        <v/>
      </c>
      <c r="I521" s="32"/>
      <c r="J521" s="32"/>
    </row>
    <row r="522" customFormat="false" ht="15" hidden="false" customHeight="false" outlineLevel="0" collapsed="false">
      <c r="A522" s="32"/>
      <c r="B522" s="32"/>
      <c r="C522" s="32"/>
      <c r="D522" s="32"/>
      <c r="E522" s="32"/>
      <c r="F522" s="32"/>
      <c r="G522" s="32"/>
      <c r="H522" s="28" t="str">
        <f aca="false">IF(COUNTA(C522:G522)=0,"",IF(AND(C522="Yes",D522="Yes",E522="Yes",F522="Yes",G522="No"),"Yes","No"))</f>
        <v/>
      </c>
      <c r="I522" s="32"/>
      <c r="J522" s="32"/>
    </row>
    <row r="523" customFormat="false" ht="15" hidden="false" customHeight="false" outlineLevel="0" collapsed="false">
      <c r="A523" s="32"/>
      <c r="B523" s="32"/>
      <c r="C523" s="32"/>
      <c r="D523" s="32"/>
      <c r="E523" s="32"/>
      <c r="F523" s="32"/>
      <c r="G523" s="32"/>
      <c r="H523" s="28" t="str">
        <f aca="false">IF(COUNTA(C523:G523)=0,"",IF(AND(C523="Yes",D523="Yes",E523="Yes",F523="Yes",G523="No"),"Yes","No"))</f>
        <v/>
      </c>
      <c r="I523" s="32"/>
      <c r="J523" s="32"/>
    </row>
    <row r="524" customFormat="false" ht="15" hidden="false" customHeight="false" outlineLevel="0" collapsed="false">
      <c r="A524" s="32"/>
      <c r="B524" s="32"/>
      <c r="C524" s="32"/>
      <c r="D524" s="32"/>
      <c r="E524" s="32"/>
      <c r="F524" s="32"/>
      <c r="G524" s="32"/>
      <c r="H524" s="28" t="str">
        <f aca="false">IF(COUNTA(C524:G524)=0,"",IF(AND(C524="Yes",D524="Yes",E524="Yes",F524="Yes",G524="No"),"Yes","No"))</f>
        <v/>
      </c>
      <c r="I524" s="32"/>
      <c r="J524" s="32"/>
    </row>
    <row r="525" customFormat="false" ht="15" hidden="false" customHeight="false" outlineLevel="0" collapsed="false">
      <c r="A525" s="32"/>
      <c r="B525" s="32"/>
      <c r="C525" s="32"/>
      <c r="D525" s="32"/>
      <c r="E525" s="32"/>
      <c r="F525" s="32"/>
      <c r="G525" s="32"/>
      <c r="H525" s="28" t="str">
        <f aca="false">IF(COUNTA(C525:G525)=0,"",IF(AND(C525="Yes",D525="Yes",E525="Yes",F525="Yes",G525="No"),"Yes","No"))</f>
        <v/>
      </c>
      <c r="I525" s="32"/>
      <c r="J525" s="32"/>
    </row>
    <row r="526" customFormat="false" ht="15" hidden="false" customHeight="false" outlineLevel="0" collapsed="false">
      <c r="A526" s="32"/>
      <c r="B526" s="32"/>
      <c r="C526" s="32"/>
      <c r="D526" s="32"/>
      <c r="E526" s="32"/>
      <c r="F526" s="32"/>
      <c r="G526" s="32"/>
      <c r="H526" s="28" t="str">
        <f aca="false">IF(COUNTA(C526:G526)=0,"",IF(AND(C526="Yes",D526="Yes",E526="Yes",F526="Yes",G526="No"),"Yes","No"))</f>
        <v/>
      </c>
      <c r="I526" s="32"/>
      <c r="J526" s="32"/>
    </row>
    <row r="527" customFormat="false" ht="15" hidden="false" customHeight="false" outlineLevel="0" collapsed="false">
      <c r="A527" s="32"/>
      <c r="B527" s="32"/>
      <c r="C527" s="32"/>
      <c r="D527" s="32"/>
      <c r="E527" s="32"/>
      <c r="F527" s="32"/>
      <c r="G527" s="32"/>
      <c r="H527" s="28" t="str">
        <f aca="false">IF(COUNTA(C527:G527)=0,"",IF(AND(C527="Yes",D527="Yes",E527="Yes",F527="Yes",G527="No"),"Yes","No"))</f>
        <v/>
      </c>
      <c r="I527" s="32"/>
      <c r="J527" s="32"/>
    </row>
    <row r="528" customFormat="false" ht="15" hidden="false" customHeight="false" outlineLevel="0" collapsed="false">
      <c r="A528" s="32"/>
      <c r="B528" s="32"/>
      <c r="C528" s="32"/>
      <c r="D528" s="32"/>
      <c r="E528" s="32"/>
      <c r="F528" s="32"/>
      <c r="G528" s="32"/>
      <c r="H528" s="28" t="str">
        <f aca="false">IF(COUNTA(C528:G528)=0,"",IF(AND(C528="Yes",D528="Yes",E528="Yes",F528="Yes",G528="No"),"Yes","No"))</f>
        <v/>
      </c>
      <c r="I528" s="32"/>
      <c r="J528" s="32"/>
    </row>
    <row r="529" customFormat="false" ht="15" hidden="false" customHeight="false" outlineLevel="0" collapsed="false">
      <c r="A529" s="32"/>
      <c r="B529" s="32"/>
      <c r="C529" s="32"/>
      <c r="D529" s="32"/>
      <c r="E529" s="32"/>
      <c r="F529" s="32"/>
      <c r="G529" s="32"/>
      <c r="H529" s="28" t="str">
        <f aca="false">IF(COUNTA(C529:G529)=0,"",IF(AND(C529="Yes",D529="Yes",E529="Yes",F529="Yes",G529="No"),"Yes","No"))</f>
        <v/>
      </c>
      <c r="I529" s="32"/>
      <c r="J529" s="32"/>
    </row>
    <row r="530" customFormat="false" ht="15" hidden="false" customHeight="false" outlineLevel="0" collapsed="false">
      <c r="A530" s="32"/>
      <c r="B530" s="32"/>
      <c r="C530" s="32"/>
      <c r="D530" s="32"/>
      <c r="E530" s="32"/>
      <c r="F530" s="32"/>
      <c r="G530" s="32"/>
      <c r="H530" s="28" t="str">
        <f aca="false">IF(COUNTA(C530:G530)=0,"",IF(AND(C530="Yes",D530="Yes",E530="Yes",F530="Yes",G530="No"),"Yes","No"))</f>
        <v/>
      </c>
      <c r="I530" s="32"/>
      <c r="J530" s="32"/>
    </row>
    <row r="531" customFormat="false" ht="15" hidden="false" customHeight="false" outlineLevel="0" collapsed="false">
      <c r="A531" s="32"/>
      <c r="B531" s="32"/>
      <c r="C531" s="32"/>
      <c r="D531" s="32"/>
      <c r="E531" s="32"/>
      <c r="F531" s="32"/>
      <c r="G531" s="32"/>
      <c r="H531" s="28" t="str">
        <f aca="false">IF(COUNTA(C531:G531)=0,"",IF(AND(C531="Yes",D531="Yes",E531="Yes",F531="Yes",G531="No"),"Yes","No"))</f>
        <v/>
      </c>
      <c r="I531" s="32"/>
      <c r="J531" s="32"/>
    </row>
    <row r="532" customFormat="false" ht="15" hidden="false" customHeight="false" outlineLevel="0" collapsed="false">
      <c r="A532" s="32"/>
      <c r="B532" s="32"/>
      <c r="C532" s="32"/>
      <c r="D532" s="32"/>
      <c r="E532" s="32"/>
      <c r="F532" s="32"/>
      <c r="G532" s="32"/>
      <c r="H532" s="28" t="str">
        <f aca="false">IF(COUNTA(C532:G532)=0,"",IF(AND(C532="Yes",D532="Yes",E532="Yes",F532="Yes",G532="No"),"Yes","No"))</f>
        <v/>
      </c>
      <c r="I532" s="32"/>
      <c r="J532" s="32"/>
    </row>
    <row r="533" customFormat="false" ht="15" hidden="false" customHeight="false" outlineLevel="0" collapsed="false">
      <c r="A533" s="32"/>
      <c r="B533" s="32"/>
      <c r="C533" s="32"/>
      <c r="D533" s="32"/>
      <c r="E533" s="32"/>
      <c r="F533" s="32"/>
      <c r="G533" s="32"/>
      <c r="H533" s="28" t="str">
        <f aca="false">IF(COUNTA(C533:G533)=0,"",IF(AND(C533="Yes",D533="Yes",E533="Yes",F533="Yes",G533="No"),"Yes","No"))</f>
        <v/>
      </c>
      <c r="I533" s="32"/>
      <c r="J533" s="32"/>
    </row>
    <row r="534" customFormat="false" ht="15" hidden="false" customHeight="false" outlineLevel="0" collapsed="false">
      <c r="A534" s="32"/>
      <c r="B534" s="32"/>
      <c r="C534" s="32"/>
      <c r="D534" s="32"/>
      <c r="E534" s="32"/>
      <c r="F534" s="32"/>
      <c r="G534" s="32"/>
      <c r="H534" s="28" t="str">
        <f aca="false">IF(COUNTA(C534:G534)=0,"",IF(AND(C534="Yes",D534="Yes",E534="Yes",F534="Yes",G534="No"),"Yes","No"))</f>
        <v/>
      </c>
      <c r="I534" s="32"/>
      <c r="J534" s="32"/>
    </row>
    <row r="535" customFormat="false" ht="15" hidden="false" customHeight="false" outlineLevel="0" collapsed="false">
      <c r="A535" s="32"/>
      <c r="B535" s="32"/>
      <c r="C535" s="32"/>
      <c r="D535" s="32"/>
      <c r="E535" s="32"/>
      <c r="F535" s="32"/>
      <c r="G535" s="32"/>
      <c r="H535" s="28" t="str">
        <f aca="false">IF(COUNTA(C535:G535)=0,"",IF(AND(C535="Yes",D535="Yes",E535="Yes",F535="Yes",G535="No"),"Yes","No"))</f>
        <v/>
      </c>
      <c r="I535" s="32"/>
      <c r="J535" s="32"/>
    </row>
    <row r="536" customFormat="false" ht="15" hidden="false" customHeight="false" outlineLevel="0" collapsed="false">
      <c r="A536" s="32"/>
      <c r="B536" s="32"/>
      <c r="C536" s="32"/>
      <c r="D536" s="32"/>
      <c r="E536" s="32"/>
      <c r="F536" s="32"/>
      <c r="G536" s="32"/>
      <c r="H536" s="28" t="str">
        <f aca="false">IF(COUNTA(C536:G536)=0,"",IF(AND(C536="Yes",D536="Yes",E536="Yes",F536="Yes",G536="No"),"Yes","No"))</f>
        <v/>
      </c>
      <c r="I536" s="32"/>
      <c r="J536" s="32"/>
    </row>
    <row r="537" customFormat="false" ht="15" hidden="false" customHeight="false" outlineLevel="0" collapsed="false">
      <c r="A537" s="32"/>
      <c r="B537" s="32"/>
      <c r="C537" s="32"/>
      <c r="D537" s="32"/>
      <c r="E537" s="32"/>
      <c r="F537" s="32"/>
      <c r="G537" s="32"/>
      <c r="H537" s="28" t="str">
        <f aca="false">IF(COUNTA(C537:G537)=0,"",IF(AND(C537="Yes",D537="Yes",E537="Yes",F537="Yes",G537="No"),"Yes","No"))</f>
        <v/>
      </c>
      <c r="I537" s="32"/>
      <c r="J537" s="32"/>
    </row>
    <row r="538" customFormat="false" ht="15" hidden="false" customHeight="false" outlineLevel="0" collapsed="false">
      <c r="A538" s="32"/>
      <c r="B538" s="32"/>
      <c r="C538" s="32"/>
      <c r="D538" s="32"/>
      <c r="E538" s="32"/>
      <c r="F538" s="32"/>
      <c r="G538" s="32"/>
      <c r="H538" s="28" t="str">
        <f aca="false">IF(COUNTA(C538:G538)=0,"",IF(AND(C538="Yes",D538="Yes",E538="Yes",F538="Yes",G538="No"),"Yes","No"))</f>
        <v/>
      </c>
      <c r="I538" s="32"/>
      <c r="J538" s="32"/>
    </row>
    <row r="539" customFormat="false" ht="15" hidden="false" customHeight="false" outlineLevel="0" collapsed="false">
      <c r="A539" s="32"/>
      <c r="B539" s="32"/>
      <c r="C539" s="32"/>
      <c r="D539" s="32"/>
      <c r="E539" s="32"/>
      <c r="F539" s="32"/>
      <c r="G539" s="32"/>
      <c r="H539" s="28" t="str">
        <f aca="false">IF(COUNTA(C539:G539)=0,"",IF(AND(C539="Yes",D539="Yes",E539="Yes",F539="Yes",G539="No"),"Yes","No"))</f>
        <v/>
      </c>
      <c r="I539" s="32"/>
      <c r="J539" s="32"/>
    </row>
    <row r="540" customFormat="false" ht="15" hidden="false" customHeight="false" outlineLevel="0" collapsed="false">
      <c r="A540" s="32"/>
      <c r="B540" s="32"/>
      <c r="C540" s="32"/>
      <c r="D540" s="32"/>
      <c r="E540" s="32"/>
      <c r="F540" s="32"/>
      <c r="G540" s="32"/>
      <c r="H540" s="28" t="str">
        <f aca="false">IF(COUNTA(C540:G540)=0,"",IF(AND(C540="Yes",D540="Yes",E540="Yes",F540="Yes",G540="No"),"Yes","No"))</f>
        <v/>
      </c>
      <c r="I540" s="32"/>
      <c r="J540" s="32"/>
    </row>
    <row r="541" customFormat="false" ht="15" hidden="false" customHeight="false" outlineLevel="0" collapsed="false">
      <c r="A541" s="32"/>
      <c r="B541" s="32"/>
      <c r="C541" s="32"/>
      <c r="D541" s="32"/>
      <c r="E541" s="32"/>
      <c r="F541" s="32"/>
      <c r="G541" s="32"/>
      <c r="H541" s="28" t="str">
        <f aca="false">IF(COUNTA(C541:G541)=0,"",IF(AND(C541="Yes",D541="Yes",E541="Yes",F541="Yes",G541="No"),"Yes","No"))</f>
        <v/>
      </c>
      <c r="I541" s="32"/>
      <c r="J541" s="32"/>
    </row>
    <row r="542" customFormat="false" ht="15" hidden="false" customHeight="false" outlineLevel="0" collapsed="false">
      <c r="A542" s="32"/>
      <c r="B542" s="32"/>
      <c r="C542" s="32"/>
      <c r="D542" s="32"/>
      <c r="E542" s="32"/>
      <c r="F542" s="32"/>
      <c r="G542" s="32"/>
      <c r="H542" s="28" t="str">
        <f aca="false">IF(COUNTA(C542:G542)=0,"",IF(AND(C542="Yes",D542="Yes",E542="Yes",F542="Yes",G542="No"),"Yes","No"))</f>
        <v/>
      </c>
      <c r="I542" s="32"/>
      <c r="J542" s="32"/>
    </row>
    <row r="543" customFormat="false" ht="15" hidden="false" customHeight="false" outlineLevel="0" collapsed="false">
      <c r="A543" s="32"/>
      <c r="B543" s="32"/>
      <c r="C543" s="32"/>
      <c r="D543" s="32"/>
      <c r="E543" s="32"/>
      <c r="F543" s="32"/>
      <c r="G543" s="32"/>
      <c r="H543" s="28" t="str">
        <f aca="false">IF(COUNTA(C543:G543)=0,"",IF(AND(C543="Yes",D543="Yes",E543="Yes",F543="Yes",G543="No"),"Yes","No"))</f>
        <v/>
      </c>
      <c r="I543" s="32"/>
      <c r="J543" s="32"/>
    </row>
    <row r="544" customFormat="false" ht="15" hidden="false" customHeight="false" outlineLevel="0" collapsed="false">
      <c r="A544" s="32"/>
      <c r="B544" s="32"/>
      <c r="C544" s="32"/>
      <c r="D544" s="32"/>
      <c r="E544" s="32"/>
      <c r="F544" s="32"/>
      <c r="G544" s="32"/>
      <c r="H544" s="28" t="str">
        <f aca="false">IF(COUNTA(C544:G544)=0,"",IF(AND(C544="Yes",D544="Yes",E544="Yes",F544="Yes",G544="No"),"Yes","No"))</f>
        <v/>
      </c>
      <c r="I544" s="32"/>
      <c r="J544" s="32"/>
    </row>
    <row r="545" customFormat="false" ht="15" hidden="false" customHeight="false" outlineLevel="0" collapsed="false">
      <c r="A545" s="32"/>
      <c r="B545" s="32"/>
      <c r="C545" s="32"/>
      <c r="D545" s="32"/>
      <c r="E545" s="32"/>
      <c r="F545" s="32"/>
      <c r="G545" s="32"/>
      <c r="H545" s="28" t="str">
        <f aca="false">IF(COUNTA(C545:G545)=0,"",IF(AND(C545="Yes",D545="Yes",E545="Yes",F545="Yes",G545="No"),"Yes","No"))</f>
        <v/>
      </c>
      <c r="I545" s="32"/>
      <c r="J545" s="32"/>
    </row>
    <row r="546" customFormat="false" ht="15" hidden="false" customHeight="false" outlineLevel="0" collapsed="false">
      <c r="A546" s="32"/>
      <c r="B546" s="32"/>
      <c r="C546" s="32"/>
      <c r="D546" s="32"/>
      <c r="E546" s="32"/>
      <c r="F546" s="32"/>
      <c r="G546" s="32"/>
      <c r="H546" s="28" t="str">
        <f aca="false">IF(COUNTA(C546:G546)=0,"",IF(AND(C546="Yes",D546="Yes",E546="Yes",F546="Yes",G546="No"),"Yes","No"))</f>
        <v/>
      </c>
      <c r="I546" s="32"/>
      <c r="J546" s="32"/>
    </row>
    <row r="547" customFormat="false" ht="15" hidden="false" customHeight="false" outlineLevel="0" collapsed="false">
      <c r="A547" s="32"/>
      <c r="B547" s="32"/>
      <c r="C547" s="32"/>
      <c r="D547" s="32"/>
      <c r="E547" s="32"/>
      <c r="F547" s="32"/>
      <c r="G547" s="32"/>
      <c r="H547" s="28" t="str">
        <f aca="false">IF(COUNTA(C547:G547)=0,"",IF(AND(C547="Yes",D547="Yes",E547="Yes",F547="Yes",G547="No"),"Yes","No"))</f>
        <v/>
      </c>
      <c r="I547" s="32"/>
      <c r="J547" s="32"/>
    </row>
    <row r="548" customFormat="false" ht="15" hidden="false" customHeight="false" outlineLevel="0" collapsed="false">
      <c r="A548" s="32"/>
      <c r="B548" s="32"/>
      <c r="C548" s="32"/>
      <c r="D548" s="32"/>
      <c r="E548" s="32"/>
      <c r="F548" s="32"/>
      <c r="G548" s="32"/>
      <c r="H548" s="28" t="str">
        <f aca="false">IF(COUNTA(C548:G548)=0,"",IF(AND(C548="Yes",D548="Yes",E548="Yes",F548="Yes",G548="No"),"Yes","No"))</f>
        <v/>
      </c>
      <c r="I548" s="32"/>
      <c r="J548" s="32"/>
    </row>
    <row r="549" customFormat="false" ht="15" hidden="false" customHeight="false" outlineLevel="0" collapsed="false">
      <c r="A549" s="32"/>
      <c r="B549" s="32"/>
      <c r="C549" s="32"/>
      <c r="D549" s="32"/>
      <c r="E549" s="32"/>
      <c r="F549" s="32"/>
      <c r="G549" s="32"/>
      <c r="H549" s="28" t="str">
        <f aca="false">IF(COUNTA(C549:G549)=0,"",IF(AND(C549="Yes",D549="Yes",E549="Yes",F549="Yes",G549="No"),"Yes","No"))</f>
        <v/>
      </c>
      <c r="I549" s="32"/>
      <c r="J549" s="32"/>
    </row>
    <row r="550" customFormat="false" ht="15" hidden="false" customHeight="false" outlineLevel="0" collapsed="false">
      <c r="A550" s="32"/>
      <c r="B550" s="32"/>
      <c r="C550" s="32"/>
      <c r="D550" s="32"/>
      <c r="E550" s="32"/>
      <c r="F550" s="32"/>
      <c r="G550" s="32"/>
      <c r="H550" s="28" t="str">
        <f aca="false">IF(COUNTA(C550:G550)=0,"",IF(AND(C550="Yes",D550="Yes",E550="Yes",F550="Yes",G550="No"),"Yes","No"))</f>
        <v/>
      </c>
      <c r="I550" s="32"/>
      <c r="J550" s="32"/>
    </row>
    <row r="551" customFormat="false" ht="15" hidden="false" customHeight="false" outlineLevel="0" collapsed="false">
      <c r="A551" s="32"/>
      <c r="B551" s="32"/>
      <c r="C551" s="32"/>
      <c r="D551" s="32"/>
      <c r="E551" s="32"/>
      <c r="F551" s="32"/>
      <c r="G551" s="32"/>
      <c r="H551" s="28" t="str">
        <f aca="false">IF(COUNTA(C551:G551)=0,"",IF(AND(C551="Yes",D551="Yes",E551="Yes",F551="Yes",G551="No"),"Yes","No"))</f>
        <v/>
      </c>
      <c r="I551" s="32"/>
      <c r="J551" s="32"/>
    </row>
    <row r="552" customFormat="false" ht="15" hidden="false" customHeight="false" outlineLevel="0" collapsed="false">
      <c r="A552" s="32"/>
      <c r="B552" s="32"/>
      <c r="C552" s="32"/>
      <c r="D552" s="32"/>
      <c r="E552" s="32"/>
      <c r="F552" s="32"/>
      <c r="G552" s="32"/>
      <c r="H552" s="28" t="str">
        <f aca="false">IF(COUNTA(C552:G552)=0,"",IF(AND(C552="Yes",D552="Yes",E552="Yes",F552="Yes",G552="No"),"Yes","No"))</f>
        <v/>
      </c>
      <c r="I552" s="32"/>
      <c r="J552" s="32"/>
    </row>
    <row r="553" customFormat="false" ht="15" hidden="false" customHeight="false" outlineLevel="0" collapsed="false">
      <c r="A553" s="32"/>
      <c r="B553" s="32"/>
      <c r="C553" s="32"/>
      <c r="D553" s="32"/>
      <c r="E553" s="32"/>
      <c r="F553" s="32"/>
      <c r="G553" s="32"/>
      <c r="H553" s="28" t="str">
        <f aca="false">IF(COUNTA(C553:G553)=0,"",IF(AND(C553="Yes",D553="Yes",E553="Yes",F553="Yes",G553="No"),"Yes","No"))</f>
        <v/>
      </c>
      <c r="I553" s="32"/>
      <c r="J553" s="32"/>
    </row>
    <row r="554" customFormat="false" ht="15" hidden="false" customHeight="false" outlineLevel="0" collapsed="false">
      <c r="A554" s="32"/>
      <c r="B554" s="32"/>
      <c r="C554" s="32"/>
      <c r="D554" s="32"/>
      <c r="E554" s="32"/>
      <c r="F554" s="32"/>
      <c r="G554" s="32"/>
      <c r="H554" s="28" t="str">
        <f aca="false">IF(COUNTA(C554:G554)=0,"",IF(AND(C554="Yes",D554="Yes",E554="Yes",F554="Yes",G554="No"),"Yes","No"))</f>
        <v/>
      </c>
      <c r="I554" s="32"/>
      <c r="J554" s="32"/>
    </row>
    <row r="555" customFormat="false" ht="15" hidden="false" customHeight="false" outlineLevel="0" collapsed="false">
      <c r="A555" s="32"/>
      <c r="B555" s="32"/>
      <c r="C555" s="32"/>
      <c r="D555" s="32"/>
      <c r="E555" s="32"/>
      <c r="F555" s="32"/>
      <c r="G555" s="32"/>
      <c r="H555" s="28" t="str">
        <f aca="false">IF(COUNTA(C555:G555)=0,"",IF(AND(C555="Yes",D555="Yes",E555="Yes",F555="Yes",G555="No"),"Yes","No"))</f>
        <v/>
      </c>
      <c r="I555" s="32"/>
      <c r="J555" s="32"/>
    </row>
    <row r="556" customFormat="false" ht="15" hidden="false" customHeight="false" outlineLevel="0" collapsed="false">
      <c r="A556" s="32"/>
      <c r="B556" s="32"/>
      <c r="C556" s="32"/>
      <c r="D556" s="32"/>
      <c r="E556" s="32"/>
      <c r="F556" s="32"/>
      <c r="G556" s="32"/>
      <c r="H556" s="28" t="str">
        <f aca="false">IF(COUNTA(C556:G556)=0,"",IF(AND(C556="Yes",D556="Yes",E556="Yes",F556="Yes",G556="No"),"Yes","No"))</f>
        <v/>
      </c>
      <c r="I556" s="32"/>
      <c r="J556" s="32"/>
    </row>
    <row r="557" customFormat="false" ht="15" hidden="false" customHeight="false" outlineLevel="0" collapsed="false">
      <c r="A557" s="32"/>
      <c r="B557" s="32"/>
      <c r="C557" s="32"/>
      <c r="D557" s="32"/>
      <c r="E557" s="32"/>
      <c r="F557" s="32"/>
      <c r="G557" s="32"/>
      <c r="H557" s="28" t="str">
        <f aca="false">IF(COUNTA(C557:G557)=0,"",IF(AND(C557="Yes",D557="Yes",E557="Yes",F557="Yes",G557="No"),"Yes","No"))</f>
        <v/>
      </c>
      <c r="I557" s="32"/>
      <c r="J557" s="32"/>
    </row>
    <row r="558" customFormat="false" ht="15" hidden="false" customHeight="false" outlineLevel="0" collapsed="false">
      <c r="A558" s="32"/>
      <c r="B558" s="32"/>
      <c r="C558" s="32"/>
      <c r="D558" s="32"/>
      <c r="E558" s="32"/>
      <c r="F558" s="32"/>
      <c r="G558" s="32"/>
      <c r="H558" s="28" t="str">
        <f aca="false">IF(COUNTA(C558:G558)=0,"",IF(AND(C558="Yes",D558="Yes",E558="Yes",F558="Yes",G558="No"),"Yes","No"))</f>
        <v/>
      </c>
      <c r="I558" s="32"/>
      <c r="J558" s="32"/>
    </row>
    <row r="559" customFormat="false" ht="15" hidden="false" customHeight="false" outlineLevel="0" collapsed="false">
      <c r="A559" s="32"/>
      <c r="B559" s="32"/>
      <c r="C559" s="32"/>
      <c r="D559" s="32"/>
      <c r="E559" s="32"/>
      <c r="F559" s="32"/>
      <c r="G559" s="32"/>
      <c r="H559" s="28" t="str">
        <f aca="false">IF(COUNTA(C559:G559)=0,"",IF(AND(C559="Yes",D559="Yes",E559="Yes",F559="Yes",G559="No"),"Yes","No"))</f>
        <v/>
      </c>
      <c r="I559" s="32"/>
      <c r="J559" s="32"/>
    </row>
    <row r="560" customFormat="false" ht="15" hidden="false" customHeight="false" outlineLevel="0" collapsed="false">
      <c r="A560" s="32"/>
      <c r="B560" s="32"/>
      <c r="C560" s="32"/>
      <c r="D560" s="32"/>
      <c r="E560" s="32"/>
      <c r="F560" s="32"/>
      <c r="G560" s="32"/>
      <c r="H560" s="28" t="str">
        <f aca="false">IF(COUNTA(C560:G560)=0,"",IF(AND(C560="Yes",D560="Yes",E560="Yes",F560="Yes",G560="No"),"Yes","No"))</f>
        <v/>
      </c>
      <c r="I560" s="32"/>
      <c r="J560" s="32"/>
    </row>
    <row r="561" customFormat="false" ht="15" hidden="false" customHeight="false" outlineLevel="0" collapsed="false">
      <c r="A561" s="32"/>
      <c r="B561" s="32"/>
      <c r="C561" s="32"/>
      <c r="D561" s="32"/>
      <c r="E561" s="32"/>
      <c r="F561" s="32"/>
      <c r="G561" s="32"/>
      <c r="H561" s="28" t="str">
        <f aca="false">IF(COUNTA(C561:G561)=0,"",IF(AND(C561="Yes",D561="Yes",E561="Yes",F561="Yes",G561="No"),"Yes","No"))</f>
        <v/>
      </c>
      <c r="I561" s="32"/>
      <c r="J561" s="32"/>
    </row>
    <row r="562" customFormat="false" ht="15" hidden="false" customHeight="false" outlineLevel="0" collapsed="false">
      <c r="A562" s="32"/>
      <c r="B562" s="32"/>
      <c r="C562" s="32"/>
      <c r="D562" s="32"/>
      <c r="E562" s="32"/>
      <c r="F562" s="32"/>
      <c r="G562" s="32"/>
      <c r="H562" s="28" t="str">
        <f aca="false">IF(COUNTA(C562:G562)=0,"",IF(AND(C562="Yes",D562="Yes",E562="Yes",F562="Yes",G562="No"),"Yes","No"))</f>
        <v/>
      </c>
      <c r="I562" s="32"/>
      <c r="J562" s="32"/>
    </row>
    <row r="563" customFormat="false" ht="15" hidden="false" customHeight="false" outlineLevel="0" collapsed="false">
      <c r="A563" s="32"/>
      <c r="B563" s="32"/>
      <c r="C563" s="32"/>
      <c r="D563" s="32"/>
      <c r="E563" s="32"/>
      <c r="F563" s="32"/>
      <c r="G563" s="32"/>
      <c r="H563" s="28" t="str">
        <f aca="false">IF(COUNTA(C563:G563)=0,"",IF(AND(C563="Yes",D563="Yes",E563="Yes",F563="Yes",G563="No"),"Yes","No"))</f>
        <v/>
      </c>
      <c r="I563" s="32"/>
      <c r="J563" s="32"/>
    </row>
    <row r="564" customFormat="false" ht="15" hidden="false" customHeight="false" outlineLevel="0" collapsed="false">
      <c r="A564" s="32"/>
      <c r="B564" s="32"/>
      <c r="C564" s="32"/>
      <c r="D564" s="32"/>
      <c r="E564" s="32"/>
      <c r="F564" s="32"/>
      <c r="G564" s="32"/>
      <c r="H564" s="28" t="str">
        <f aca="false">IF(COUNTA(C564:G564)=0,"",IF(AND(C564="Yes",D564="Yes",E564="Yes",F564="Yes",G564="No"),"Yes","No"))</f>
        <v/>
      </c>
      <c r="I564" s="32"/>
      <c r="J564" s="32"/>
    </row>
    <row r="565" customFormat="false" ht="15" hidden="false" customHeight="false" outlineLevel="0" collapsed="false">
      <c r="A565" s="32"/>
      <c r="B565" s="32"/>
      <c r="C565" s="32"/>
      <c r="D565" s="32"/>
      <c r="E565" s="32"/>
      <c r="F565" s="32"/>
      <c r="G565" s="32"/>
      <c r="H565" s="28" t="str">
        <f aca="false">IF(COUNTA(C565:G565)=0,"",IF(AND(C565="Yes",D565="Yes",E565="Yes",F565="Yes",G565="No"),"Yes","No"))</f>
        <v/>
      </c>
      <c r="I565" s="32"/>
      <c r="J565" s="32"/>
    </row>
    <row r="566" customFormat="false" ht="15" hidden="false" customHeight="false" outlineLevel="0" collapsed="false">
      <c r="A566" s="32"/>
      <c r="B566" s="32"/>
      <c r="C566" s="32"/>
      <c r="D566" s="32"/>
      <c r="E566" s="32"/>
      <c r="F566" s="32"/>
      <c r="G566" s="32"/>
      <c r="H566" s="28" t="str">
        <f aca="false">IF(COUNTA(C566:G566)=0,"",IF(AND(C566="Yes",D566="Yes",E566="Yes",F566="Yes",G566="No"),"Yes","No"))</f>
        <v/>
      </c>
      <c r="I566" s="32"/>
      <c r="J566" s="32"/>
    </row>
    <row r="567" customFormat="false" ht="15" hidden="false" customHeight="false" outlineLevel="0" collapsed="false">
      <c r="A567" s="32"/>
      <c r="B567" s="32"/>
      <c r="C567" s="32"/>
      <c r="D567" s="32"/>
      <c r="E567" s="32"/>
      <c r="F567" s="32"/>
      <c r="G567" s="32"/>
      <c r="H567" s="28" t="str">
        <f aca="false">IF(COUNTA(C567:G567)=0,"",IF(AND(C567="Yes",D567="Yes",E567="Yes",F567="Yes",G567="No"),"Yes","No"))</f>
        <v/>
      </c>
      <c r="I567" s="32"/>
      <c r="J567" s="32"/>
    </row>
    <row r="568" customFormat="false" ht="15" hidden="false" customHeight="false" outlineLevel="0" collapsed="false">
      <c r="A568" s="32"/>
      <c r="B568" s="32"/>
      <c r="C568" s="32"/>
      <c r="D568" s="32"/>
      <c r="E568" s="32"/>
      <c r="F568" s="32"/>
      <c r="G568" s="32"/>
      <c r="H568" s="28" t="str">
        <f aca="false">IF(COUNTA(C568:G568)=0,"",IF(AND(C568="Yes",D568="Yes",E568="Yes",F568="Yes",G568="No"),"Yes","No"))</f>
        <v/>
      </c>
      <c r="I568" s="32"/>
      <c r="J568" s="32"/>
    </row>
    <row r="569" customFormat="false" ht="15" hidden="false" customHeight="false" outlineLevel="0" collapsed="false">
      <c r="A569" s="32"/>
      <c r="B569" s="32"/>
      <c r="C569" s="32"/>
      <c r="D569" s="32"/>
      <c r="E569" s="32"/>
      <c r="F569" s="32"/>
      <c r="G569" s="32"/>
      <c r="H569" s="28" t="str">
        <f aca="false">IF(COUNTA(C569:G569)=0,"",IF(AND(C569="Yes",D569="Yes",E569="Yes",F569="Yes",G569="No"),"Yes","No"))</f>
        <v/>
      </c>
      <c r="I569" s="32"/>
      <c r="J569" s="32"/>
    </row>
    <row r="570" customFormat="false" ht="15" hidden="false" customHeight="false" outlineLevel="0" collapsed="false">
      <c r="A570" s="32"/>
      <c r="B570" s="32"/>
      <c r="C570" s="32"/>
      <c r="D570" s="32"/>
      <c r="E570" s="32"/>
      <c r="F570" s="32"/>
      <c r="G570" s="32"/>
      <c r="H570" s="28" t="str">
        <f aca="false">IF(COUNTA(C570:G570)=0,"",IF(AND(C570="Yes",D570="Yes",E570="Yes",F570="Yes",G570="No"),"Yes","No"))</f>
        <v/>
      </c>
      <c r="I570" s="32"/>
      <c r="J570" s="32"/>
    </row>
    <row r="571" customFormat="false" ht="15" hidden="false" customHeight="false" outlineLevel="0" collapsed="false">
      <c r="A571" s="32"/>
      <c r="B571" s="32"/>
      <c r="C571" s="32"/>
      <c r="D571" s="32"/>
      <c r="E571" s="32"/>
      <c r="F571" s="32"/>
      <c r="G571" s="32"/>
      <c r="H571" s="28" t="str">
        <f aca="false">IF(COUNTA(C571:G571)=0,"",IF(AND(C571="Yes",D571="Yes",E571="Yes",F571="Yes",G571="No"),"Yes","No"))</f>
        <v/>
      </c>
      <c r="I571" s="32"/>
      <c r="J571" s="32"/>
    </row>
    <row r="572" customFormat="false" ht="15" hidden="false" customHeight="false" outlineLevel="0" collapsed="false">
      <c r="A572" s="32"/>
      <c r="B572" s="32"/>
      <c r="C572" s="32"/>
      <c r="D572" s="32"/>
      <c r="E572" s="32"/>
      <c r="F572" s="32"/>
      <c r="G572" s="32"/>
      <c r="H572" s="28" t="str">
        <f aca="false">IF(COUNTA(C572:G572)=0,"",IF(AND(C572="Yes",D572="Yes",E572="Yes",F572="Yes",G572="No"),"Yes","No"))</f>
        <v/>
      </c>
      <c r="I572" s="32"/>
      <c r="J572" s="32"/>
    </row>
    <row r="573" customFormat="false" ht="15" hidden="false" customHeight="false" outlineLevel="0" collapsed="false">
      <c r="A573" s="32"/>
      <c r="B573" s="32"/>
      <c r="C573" s="32"/>
      <c r="D573" s="32"/>
      <c r="E573" s="32"/>
      <c r="F573" s="32"/>
      <c r="G573" s="32"/>
      <c r="H573" s="28" t="str">
        <f aca="false">IF(COUNTA(C573:G573)=0,"",IF(AND(C573="Yes",D573="Yes",E573="Yes",F573="Yes",G573="No"),"Yes","No"))</f>
        <v/>
      </c>
      <c r="I573" s="32"/>
      <c r="J573" s="32"/>
    </row>
    <row r="574" customFormat="false" ht="15" hidden="false" customHeight="false" outlineLevel="0" collapsed="false">
      <c r="A574" s="32"/>
      <c r="B574" s="32"/>
      <c r="C574" s="32"/>
      <c r="D574" s="32"/>
      <c r="E574" s="32"/>
      <c r="F574" s="32"/>
      <c r="G574" s="32"/>
      <c r="H574" s="28" t="str">
        <f aca="false">IF(COUNTA(C574:G574)=0,"",IF(AND(C574="Yes",D574="Yes",E574="Yes",F574="Yes",G574="No"),"Yes","No"))</f>
        <v/>
      </c>
      <c r="I574" s="32"/>
      <c r="J574" s="32"/>
    </row>
    <row r="575" customFormat="false" ht="15" hidden="false" customHeight="false" outlineLevel="0" collapsed="false">
      <c r="A575" s="32"/>
      <c r="B575" s="32"/>
      <c r="C575" s="32"/>
      <c r="D575" s="32"/>
      <c r="E575" s="32"/>
      <c r="F575" s="32"/>
      <c r="G575" s="32"/>
      <c r="H575" s="28" t="str">
        <f aca="false">IF(COUNTA(C575:G575)=0,"",IF(AND(C575="Yes",D575="Yes",E575="Yes",F575="Yes",G575="No"),"Yes","No"))</f>
        <v/>
      </c>
      <c r="I575" s="32"/>
      <c r="J575" s="32"/>
    </row>
    <row r="576" customFormat="false" ht="15" hidden="false" customHeight="false" outlineLevel="0" collapsed="false">
      <c r="A576" s="32"/>
      <c r="B576" s="32"/>
      <c r="C576" s="32"/>
      <c r="D576" s="32"/>
      <c r="E576" s="32"/>
      <c r="F576" s="32"/>
      <c r="G576" s="32"/>
      <c r="H576" s="28" t="str">
        <f aca="false">IF(COUNTA(C576:G576)=0,"",IF(AND(C576="Yes",D576="Yes",E576="Yes",F576="Yes",G576="No"),"Yes","No"))</f>
        <v/>
      </c>
      <c r="I576" s="32"/>
      <c r="J576" s="32"/>
    </row>
    <row r="577" customFormat="false" ht="15" hidden="false" customHeight="false" outlineLevel="0" collapsed="false">
      <c r="A577" s="32"/>
      <c r="B577" s="32"/>
      <c r="C577" s="32"/>
      <c r="D577" s="32"/>
      <c r="E577" s="32"/>
      <c r="F577" s="32"/>
      <c r="G577" s="32"/>
      <c r="H577" s="28" t="str">
        <f aca="false">IF(COUNTA(C577:G577)=0,"",IF(AND(C577="Yes",D577="Yes",E577="Yes",F577="Yes",G577="No"),"Yes","No"))</f>
        <v/>
      </c>
      <c r="I577" s="32"/>
      <c r="J577" s="32"/>
    </row>
    <row r="578" customFormat="false" ht="15" hidden="false" customHeight="false" outlineLevel="0" collapsed="false">
      <c r="A578" s="32"/>
      <c r="B578" s="32"/>
      <c r="C578" s="32"/>
      <c r="D578" s="32"/>
      <c r="E578" s="32"/>
      <c r="F578" s="32"/>
      <c r="G578" s="32"/>
      <c r="H578" s="28" t="str">
        <f aca="false">IF(COUNTA(C578:G578)=0,"",IF(AND(C578="Yes",D578="Yes",E578="Yes",F578="Yes",G578="No"),"Yes","No"))</f>
        <v/>
      </c>
      <c r="I578" s="32"/>
      <c r="J578" s="32"/>
    </row>
    <row r="579" customFormat="false" ht="15" hidden="false" customHeight="false" outlineLevel="0" collapsed="false">
      <c r="A579" s="32"/>
      <c r="B579" s="32"/>
      <c r="C579" s="32"/>
      <c r="D579" s="32"/>
      <c r="E579" s="32"/>
      <c r="F579" s="32"/>
      <c r="G579" s="32"/>
      <c r="H579" s="28" t="str">
        <f aca="false">IF(COUNTA(C579:G579)=0,"",IF(AND(C579="Yes",D579="Yes",E579="Yes",F579="Yes",G579="No"),"Yes","No"))</f>
        <v/>
      </c>
      <c r="I579" s="32"/>
      <c r="J579" s="32"/>
    </row>
    <row r="580" customFormat="false" ht="15" hidden="false" customHeight="false" outlineLevel="0" collapsed="false">
      <c r="A580" s="32"/>
      <c r="B580" s="32"/>
      <c r="C580" s="32"/>
      <c r="D580" s="32"/>
      <c r="E580" s="32"/>
      <c r="F580" s="32"/>
      <c r="G580" s="32"/>
      <c r="H580" s="28" t="str">
        <f aca="false">IF(COUNTA(C580:G580)=0,"",IF(AND(C580="Yes",D580="Yes",E580="Yes",F580="Yes",G580="No"),"Yes","No"))</f>
        <v/>
      </c>
      <c r="I580" s="32"/>
      <c r="J580" s="32"/>
    </row>
    <row r="581" customFormat="false" ht="15" hidden="false" customHeight="false" outlineLevel="0" collapsed="false">
      <c r="A581" s="32"/>
      <c r="B581" s="32"/>
      <c r="C581" s="32"/>
      <c r="D581" s="32"/>
      <c r="E581" s="32"/>
      <c r="F581" s="32"/>
      <c r="G581" s="32"/>
      <c r="H581" s="28" t="str">
        <f aca="false">IF(COUNTA(C581:G581)=0,"",IF(AND(C581="Yes",D581="Yes",E581="Yes",F581="Yes",G581="No"),"Yes","No"))</f>
        <v/>
      </c>
      <c r="I581" s="32"/>
      <c r="J581" s="32"/>
    </row>
    <row r="582" customFormat="false" ht="15" hidden="false" customHeight="false" outlineLevel="0" collapsed="false">
      <c r="A582" s="32"/>
      <c r="B582" s="32"/>
      <c r="C582" s="32"/>
      <c r="D582" s="32"/>
      <c r="E582" s="32"/>
      <c r="F582" s="32"/>
      <c r="G582" s="32"/>
      <c r="H582" s="28" t="str">
        <f aca="false">IF(COUNTA(C582:G582)=0,"",IF(AND(C582="Yes",D582="Yes",E582="Yes",F582="Yes",G582="No"),"Yes","No"))</f>
        <v/>
      </c>
      <c r="I582" s="32"/>
      <c r="J582" s="32"/>
    </row>
    <row r="583" customFormat="false" ht="15" hidden="false" customHeight="false" outlineLevel="0" collapsed="false">
      <c r="A583" s="32"/>
      <c r="B583" s="32"/>
      <c r="C583" s="32"/>
      <c r="D583" s="32"/>
      <c r="E583" s="32"/>
      <c r="F583" s="32"/>
      <c r="G583" s="32"/>
      <c r="H583" s="28" t="str">
        <f aca="false">IF(COUNTA(C583:G583)=0,"",IF(AND(C583="Yes",D583="Yes",E583="Yes",F583="Yes",G583="No"),"Yes","No"))</f>
        <v/>
      </c>
      <c r="I583" s="32"/>
      <c r="J583" s="32"/>
    </row>
    <row r="584" customFormat="false" ht="15" hidden="false" customHeight="false" outlineLevel="0" collapsed="false">
      <c r="A584" s="32"/>
      <c r="B584" s="32"/>
      <c r="C584" s="32"/>
      <c r="D584" s="32"/>
      <c r="E584" s="32"/>
      <c r="F584" s="32"/>
      <c r="G584" s="32"/>
      <c r="H584" s="28" t="str">
        <f aca="false">IF(COUNTA(C584:G584)=0,"",IF(AND(C584="Yes",D584="Yes",E584="Yes",F584="Yes",G584="No"),"Yes","No"))</f>
        <v/>
      </c>
      <c r="I584" s="32"/>
      <c r="J584" s="32"/>
    </row>
    <row r="585" customFormat="false" ht="15" hidden="false" customHeight="false" outlineLevel="0" collapsed="false">
      <c r="A585" s="32"/>
      <c r="B585" s="32"/>
      <c r="C585" s="32"/>
      <c r="D585" s="32"/>
      <c r="E585" s="32"/>
      <c r="F585" s="32"/>
      <c r="G585" s="32"/>
      <c r="H585" s="28" t="str">
        <f aca="false">IF(COUNTA(C585:G585)=0,"",IF(AND(C585="Yes",D585="Yes",E585="Yes",F585="Yes",G585="No"),"Yes","No"))</f>
        <v/>
      </c>
      <c r="I585" s="32"/>
      <c r="J585" s="32"/>
    </row>
    <row r="586" customFormat="false" ht="15" hidden="false" customHeight="false" outlineLevel="0" collapsed="false">
      <c r="A586" s="32"/>
      <c r="B586" s="32"/>
      <c r="C586" s="32"/>
      <c r="D586" s="32"/>
      <c r="E586" s="32"/>
      <c r="F586" s="32"/>
      <c r="G586" s="32"/>
      <c r="H586" s="28" t="str">
        <f aca="false">IF(COUNTA(C586:G586)=0,"",IF(AND(C586="Yes",D586="Yes",E586="Yes",F586="Yes",G586="No"),"Yes","No"))</f>
        <v/>
      </c>
      <c r="I586" s="32"/>
      <c r="J586" s="32"/>
    </row>
    <row r="587" customFormat="false" ht="15" hidden="false" customHeight="false" outlineLevel="0" collapsed="false">
      <c r="A587" s="32"/>
      <c r="B587" s="32"/>
      <c r="C587" s="32"/>
      <c r="D587" s="32"/>
      <c r="E587" s="32"/>
      <c r="F587" s="32"/>
      <c r="G587" s="32"/>
      <c r="H587" s="28" t="str">
        <f aca="false">IF(COUNTA(C587:G587)=0,"",IF(AND(C587="Yes",D587="Yes",E587="Yes",F587="Yes",G587="No"),"Yes","No"))</f>
        <v/>
      </c>
      <c r="I587" s="32"/>
      <c r="J587" s="32"/>
    </row>
    <row r="588" customFormat="false" ht="15" hidden="false" customHeight="false" outlineLevel="0" collapsed="false">
      <c r="A588" s="32"/>
      <c r="B588" s="32"/>
      <c r="C588" s="32"/>
      <c r="D588" s="32"/>
      <c r="E588" s="32"/>
      <c r="F588" s="32"/>
      <c r="G588" s="32"/>
      <c r="H588" s="28" t="str">
        <f aca="false">IF(COUNTA(C588:G588)=0,"",IF(AND(C588="Yes",D588="Yes",E588="Yes",F588="Yes",G588="No"),"Yes","No"))</f>
        <v/>
      </c>
      <c r="I588" s="32"/>
      <c r="J588" s="32"/>
    </row>
    <row r="589" customFormat="false" ht="15" hidden="false" customHeight="false" outlineLevel="0" collapsed="false">
      <c r="A589" s="32"/>
      <c r="B589" s="32"/>
      <c r="C589" s="32"/>
      <c r="D589" s="32"/>
      <c r="E589" s="32"/>
      <c r="F589" s="32"/>
      <c r="G589" s="32"/>
      <c r="H589" s="28" t="str">
        <f aca="false">IF(COUNTA(C589:G589)=0,"",IF(AND(C589="Yes",D589="Yes",E589="Yes",F589="Yes",G589="No"),"Yes","No"))</f>
        <v/>
      </c>
      <c r="I589" s="32"/>
      <c r="J589" s="32"/>
    </row>
    <row r="590" customFormat="false" ht="15" hidden="false" customHeight="false" outlineLevel="0" collapsed="false">
      <c r="A590" s="32"/>
      <c r="B590" s="32"/>
      <c r="C590" s="32"/>
      <c r="D590" s="32"/>
      <c r="E590" s="32"/>
      <c r="F590" s="32"/>
      <c r="G590" s="32"/>
      <c r="H590" s="28" t="str">
        <f aca="false">IF(COUNTA(C590:G590)=0,"",IF(AND(C590="Yes",D590="Yes",E590="Yes",F590="Yes",G590="No"),"Yes","No"))</f>
        <v/>
      </c>
      <c r="I590" s="32"/>
      <c r="J590" s="32"/>
    </row>
    <row r="591" customFormat="false" ht="15" hidden="false" customHeight="false" outlineLevel="0" collapsed="false">
      <c r="A591" s="32"/>
      <c r="B591" s="32"/>
      <c r="C591" s="32"/>
      <c r="D591" s="32"/>
      <c r="E591" s="32"/>
      <c r="F591" s="32"/>
      <c r="G591" s="32"/>
      <c r="H591" s="28" t="str">
        <f aca="false">IF(COUNTA(C591:G591)=0,"",IF(AND(C591="Yes",D591="Yes",E591="Yes",F591="Yes",G591="No"),"Yes","No"))</f>
        <v/>
      </c>
      <c r="I591" s="32"/>
      <c r="J591" s="32"/>
    </row>
    <row r="592" customFormat="false" ht="15" hidden="false" customHeight="false" outlineLevel="0" collapsed="false">
      <c r="A592" s="32"/>
      <c r="B592" s="32"/>
      <c r="C592" s="32"/>
      <c r="D592" s="32"/>
      <c r="E592" s="32"/>
      <c r="F592" s="32"/>
      <c r="G592" s="32"/>
      <c r="H592" s="28" t="str">
        <f aca="false">IF(COUNTA(C592:G592)=0,"",IF(AND(C592="Yes",D592="Yes",E592="Yes",F592="Yes",G592="No"),"Yes","No"))</f>
        <v/>
      </c>
      <c r="I592" s="32"/>
      <c r="J592" s="32"/>
    </row>
    <row r="593" customFormat="false" ht="15" hidden="false" customHeight="false" outlineLevel="0" collapsed="false">
      <c r="A593" s="32"/>
      <c r="B593" s="32"/>
      <c r="C593" s="32"/>
      <c r="D593" s="32"/>
      <c r="E593" s="32"/>
      <c r="F593" s="32"/>
      <c r="G593" s="32"/>
      <c r="H593" s="28" t="str">
        <f aca="false">IF(COUNTA(C593:G593)=0,"",IF(AND(C593="Yes",D593="Yes",E593="Yes",F593="Yes",G593="No"),"Yes","No"))</f>
        <v/>
      </c>
      <c r="I593" s="32"/>
      <c r="J593" s="32"/>
    </row>
    <row r="594" customFormat="false" ht="15" hidden="false" customHeight="false" outlineLevel="0" collapsed="false">
      <c r="A594" s="32"/>
      <c r="B594" s="32"/>
      <c r="C594" s="32"/>
      <c r="D594" s="32"/>
      <c r="E594" s="32"/>
      <c r="F594" s="32"/>
      <c r="G594" s="32"/>
      <c r="H594" s="28" t="str">
        <f aca="false">IF(COUNTA(C594:G594)=0,"",IF(AND(C594="Yes",D594="Yes",E594="Yes",F594="Yes",G594="No"),"Yes","No"))</f>
        <v/>
      </c>
      <c r="I594" s="32"/>
      <c r="J594" s="32"/>
    </row>
    <row r="595" customFormat="false" ht="15" hidden="false" customHeight="false" outlineLevel="0" collapsed="false">
      <c r="A595" s="32"/>
      <c r="B595" s="32"/>
      <c r="C595" s="32"/>
      <c r="D595" s="32"/>
      <c r="E595" s="32"/>
      <c r="F595" s="32"/>
      <c r="G595" s="32"/>
      <c r="H595" s="28" t="str">
        <f aca="false">IF(COUNTA(C595:G595)=0,"",IF(AND(C595="Yes",D595="Yes",E595="Yes",F595="Yes",G595="No"),"Yes","No"))</f>
        <v/>
      </c>
      <c r="I595" s="32"/>
      <c r="J595" s="32"/>
    </row>
    <row r="596" customFormat="false" ht="15" hidden="false" customHeight="false" outlineLevel="0" collapsed="false">
      <c r="A596" s="32"/>
      <c r="B596" s="32"/>
      <c r="C596" s="32"/>
      <c r="D596" s="32"/>
      <c r="E596" s="32"/>
      <c r="F596" s="32"/>
      <c r="G596" s="32"/>
      <c r="H596" s="28" t="str">
        <f aca="false">IF(COUNTA(C596:G596)=0,"",IF(AND(C596="Yes",D596="Yes",E596="Yes",F596="Yes",G596="No"),"Yes","No"))</f>
        <v/>
      </c>
      <c r="I596" s="32"/>
      <c r="J596" s="32"/>
    </row>
    <row r="597" customFormat="false" ht="15" hidden="false" customHeight="false" outlineLevel="0" collapsed="false">
      <c r="A597" s="32"/>
      <c r="B597" s="32"/>
      <c r="C597" s="32"/>
      <c r="D597" s="32"/>
      <c r="E597" s="32"/>
      <c r="F597" s="32"/>
      <c r="G597" s="32"/>
      <c r="H597" s="28" t="str">
        <f aca="false">IF(COUNTA(C597:G597)=0,"",IF(AND(C597="Yes",D597="Yes",E597="Yes",F597="Yes",G597="No"),"Yes","No"))</f>
        <v/>
      </c>
      <c r="I597" s="32"/>
      <c r="J597" s="32"/>
    </row>
    <row r="598" customFormat="false" ht="15" hidden="false" customHeight="false" outlineLevel="0" collapsed="false">
      <c r="A598" s="32"/>
      <c r="B598" s="32"/>
      <c r="C598" s="32"/>
      <c r="D598" s="32"/>
      <c r="E598" s="32"/>
      <c r="F598" s="32"/>
      <c r="G598" s="32"/>
      <c r="H598" s="28" t="str">
        <f aca="false">IF(COUNTA(C598:G598)=0,"",IF(AND(C598="Yes",D598="Yes",E598="Yes",F598="Yes",G598="No"),"Yes","No"))</f>
        <v/>
      </c>
      <c r="I598" s="32"/>
      <c r="J598" s="32"/>
    </row>
    <row r="599" customFormat="false" ht="15" hidden="false" customHeight="false" outlineLevel="0" collapsed="false">
      <c r="A599" s="32"/>
      <c r="B599" s="32"/>
      <c r="C599" s="32"/>
      <c r="D599" s="32"/>
      <c r="E599" s="32"/>
      <c r="F599" s="32"/>
      <c r="G599" s="32"/>
      <c r="H599" s="28" t="str">
        <f aca="false">IF(COUNTA(C599:G599)=0,"",IF(AND(C599="Yes",D599="Yes",E599="Yes",F599="Yes",G599="No"),"Yes","No"))</f>
        <v/>
      </c>
      <c r="I599" s="32"/>
      <c r="J599" s="32"/>
    </row>
    <row r="600" customFormat="false" ht="15" hidden="false" customHeight="false" outlineLevel="0" collapsed="false">
      <c r="A600" s="32"/>
      <c r="B600" s="32"/>
      <c r="C600" s="32"/>
      <c r="D600" s="32"/>
      <c r="E600" s="32"/>
      <c r="F600" s="32"/>
      <c r="G600" s="32"/>
      <c r="H600" s="28" t="str">
        <f aca="false">IF(COUNTA(C600:G600)=0,"",IF(AND(C600="Yes",D600="Yes",E600="Yes",F600="Yes",G600="No"),"Yes","No"))</f>
        <v/>
      </c>
      <c r="I600" s="32"/>
      <c r="J600" s="32"/>
    </row>
    <row r="601" customFormat="false" ht="15" hidden="false" customHeight="false" outlineLevel="0" collapsed="false">
      <c r="A601" s="32"/>
      <c r="B601" s="32"/>
      <c r="C601" s="32"/>
      <c r="D601" s="32"/>
      <c r="E601" s="32"/>
      <c r="F601" s="32"/>
      <c r="G601" s="32"/>
      <c r="H601" s="28" t="str">
        <f aca="false">IF(COUNTA(C601:G601)=0,"",IF(AND(C601="Yes",D601="Yes",E601="Yes",F601="Yes",G601="No"),"Yes","No"))</f>
        <v/>
      </c>
      <c r="I601" s="32"/>
      <c r="J601" s="32"/>
    </row>
    <row r="602" customFormat="false" ht="15" hidden="false" customHeight="false" outlineLevel="0" collapsed="false">
      <c r="A602" s="32"/>
      <c r="B602" s="32"/>
      <c r="C602" s="32"/>
      <c r="D602" s="32"/>
      <c r="E602" s="32"/>
      <c r="F602" s="32"/>
      <c r="G602" s="32"/>
      <c r="H602" s="28" t="str">
        <f aca="false">IF(COUNTA(C602:G602)=0,"",IF(AND(C602="Yes",D602="Yes",E602="Yes",F602="Yes",G602="No"),"Yes","No"))</f>
        <v/>
      </c>
      <c r="I602" s="32"/>
      <c r="J602" s="32"/>
    </row>
    <row r="603" customFormat="false" ht="15" hidden="false" customHeight="false" outlineLevel="0" collapsed="false">
      <c r="A603" s="32"/>
      <c r="B603" s="32"/>
      <c r="C603" s="32"/>
      <c r="D603" s="32"/>
      <c r="E603" s="32"/>
      <c r="F603" s="32"/>
      <c r="G603" s="32"/>
      <c r="H603" s="28" t="str">
        <f aca="false">IF(COUNTA(C603:G603)=0,"",IF(AND(C603="Yes",D603="Yes",E603="Yes",F603="Yes",G603="No"),"Yes","No"))</f>
        <v/>
      </c>
      <c r="I603" s="32"/>
      <c r="J603" s="32"/>
    </row>
    <row r="604" customFormat="false" ht="15" hidden="false" customHeight="false" outlineLevel="0" collapsed="false">
      <c r="A604" s="32"/>
      <c r="B604" s="32"/>
      <c r="C604" s="32"/>
      <c r="D604" s="32"/>
      <c r="E604" s="32"/>
      <c r="F604" s="32"/>
      <c r="G604" s="32"/>
      <c r="H604" s="28" t="str">
        <f aca="false">IF(COUNTA(C604:G604)=0,"",IF(AND(C604="Yes",D604="Yes",E604="Yes",F604="Yes",G604="No"),"Yes","No"))</f>
        <v/>
      </c>
      <c r="I604" s="32"/>
      <c r="J604" s="32"/>
    </row>
    <row r="605" customFormat="false" ht="15" hidden="false" customHeight="false" outlineLevel="0" collapsed="false">
      <c r="A605" s="32"/>
      <c r="B605" s="32"/>
      <c r="C605" s="32"/>
      <c r="D605" s="32"/>
      <c r="E605" s="32"/>
      <c r="F605" s="32"/>
      <c r="G605" s="32"/>
      <c r="H605" s="28" t="str">
        <f aca="false">IF(COUNTA(C605:G605)=0,"",IF(AND(C605="Yes",D605="Yes",E605="Yes",F605="Yes",G605="No"),"Yes","No"))</f>
        <v/>
      </c>
      <c r="I605" s="32"/>
      <c r="J605" s="32"/>
    </row>
    <row r="606" customFormat="false" ht="15" hidden="false" customHeight="false" outlineLevel="0" collapsed="false">
      <c r="A606" s="32"/>
      <c r="B606" s="32"/>
      <c r="C606" s="32"/>
      <c r="D606" s="32"/>
      <c r="E606" s="32"/>
      <c r="F606" s="32"/>
      <c r="G606" s="32"/>
      <c r="H606" s="28" t="str">
        <f aca="false">IF(COUNTA(C606:G606)=0,"",IF(AND(C606="Yes",D606="Yes",E606="Yes",F606="Yes",G606="No"),"Yes","No"))</f>
        <v/>
      </c>
      <c r="I606" s="32"/>
      <c r="J606" s="32"/>
    </row>
    <row r="607" customFormat="false" ht="15" hidden="false" customHeight="false" outlineLevel="0" collapsed="false">
      <c r="A607" s="32"/>
      <c r="B607" s="32"/>
      <c r="C607" s="32"/>
      <c r="D607" s="32"/>
      <c r="E607" s="32"/>
      <c r="F607" s="32"/>
      <c r="G607" s="32"/>
      <c r="H607" s="28" t="str">
        <f aca="false">IF(COUNTA(C607:G607)=0,"",IF(AND(C607="Yes",D607="Yes",E607="Yes",F607="Yes",G607="No"),"Yes","No"))</f>
        <v/>
      </c>
      <c r="I607" s="32"/>
      <c r="J607" s="32"/>
    </row>
    <row r="608" customFormat="false" ht="15" hidden="false" customHeight="false" outlineLevel="0" collapsed="false">
      <c r="A608" s="32"/>
      <c r="B608" s="32"/>
      <c r="C608" s="32"/>
      <c r="D608" s="32"/>
      <c r="E608" s="32"/>
      <c r="F608" s="32"/>
      <c r="G608" s="32"/>
      <c r="H608" s="28" t="str">
        <f aca="false">IF(COUNTA(C608:G608)=0,"",IF(AND(C608="Yes",D608="Yes",E608="Yes",F608="Yes",G608="No"),"Yes","No"))</f>
        <v/>
      </c>
      <c r="I608" s="32"/>
      <c r="J608" s="32"/>
    </row>
    <row r="609" customFormat="false" ht="15" hidden="false" customHeight="false" outlineLevel="0" collapsed="false">
      <c r="A609" s="32"/>
      <c r="B609" s="32"/>
      <c r="C609" s="32"/>
      <c r="D609" s="32"/>
      <c r="E609" s="32"/>
      <c r="F609" s="32"/>
      <c r="G609" s="32"/>
      <c r="H609" s="28" t="str">
        <f aca="false">IF(COUNTA(C609:G609)=0,"",IF(AND(C609="Yes",D609="Yes",E609="Yes",F609="Yes",G609="No"),"Yes","No"))</f>
        <v/>
      </c>
      <c r="I609" s="32"/>
      <c r="J609" s="32"/>
    </row>
    <row r="610" customFormat="false" ht="15" hidden="false" customHeight="false" outlineLevel="0" collapsed="false">
      <c r="A610" s="32"/>
      <c r="B610" s="32"/>
      <c r="C610" s="32"/>
      <c r="D610" s="32"/>
      <c r="E610" s="32"/>
      <c r="F610" s="32"/>
      <c r="G610" s="32"/>
      <c r="H610" s="28" t="str">
        <f aca="false">IF(COUNTA(C610:G610)=0,"",IF(AND(C610="Yes",D610="Yes",E610="Yes",F610="Yes",G610="No"),"Yes","No"))</f>
        <v/>
      </c>
      <c r="I610" s="32"/>
      <c r="J610" s="32"/>
    </row>
    <row r="611" customFormat="false" ht="15" hidden="false" customHeight="false" outlineLevel="0" collapsed="false">
      <c r="A611" s="32"/>
      <c r="B611" s="32"/>
      <c r="C611" s="32"/>
      <c r="D611" s="32"/>
      <c r="E611" s="32"/>
      <c r="F611" s="32"/>
      <c r="G611" s="32"/>
      <c r="H611" s="28" t="str">
        <f aca="false">IF(COUNTA(C611:G611)=0,"",IF(AND(C611="Yes",D611="Yes",E611="Yes",F611="Yes",G611="No"),"Yes","No"))</f>
        <v/>
      </c>
      <c r="I611" s="32"/>
      <c r="J611" s="32"/>
    </row>
    <row r="612" customFormat="false" ht="15" hidden="false" customHeight="false" outlineLevel="0" collapsed="false">
      <c r="A612" s="32"/>
      <c r="B612" s="32"/>
      <c r="C612" s="32"/>
      <c r="D612" s="32"/>
      <c r="E612" s="32"/>
      <c r="F612" s="32"/>
      <c r="G612" s="32"/>
      <c r="H612" s="28" t="str">
        <f aca="false">IF(COUNTA(C612:G612)=0,"",IF(AND(C612="Yes",D612="Yes",E612="Yes",F612="Yes",G612="No"),"Yes","No"))</f>
        <v/>
      </c>
      <c r="I612" s="32"/>
      <c r="J612" s="32"/>
    </row>
    <row r="613" customFormat="false" ht="15" hidden="false" customHeight="false" outlineLevel="0" collapsed="false">
      <c r="A613" s="32"/>
      <c r="B613" s="32"/>
      <c r="C613" s="32"/>
      <c r="D613" s="32"/>
      <c r="E613" s="32"/>
      <c r="F613" s="32"/>
      <c r="G613" s="32"/>
      <c r="H613" s="28" t="str">
        <f aca="false">IF(COUNTA(C613:G613)=0,"",IF(AND(C613="Yes",D613="Yes",E613="Yes",F613="Yes",G613="No"),"Yes","No"))</f>
        <v/>
      </c>
      <c r="I613" s="32"/>
      <c r="J613" s="32"/>
    </row>
    <row r="614" customFormat="false" ht="15" hidden="false" customHeight="false" outlineLevel="0" collapsed="false">
      <c r="A614" s="32"/>
      <c r="B614" s="32"/>
      <c r="C614" s="32"/>
      <c r="D614" s="32"/>
      <c r="E614" s="32"/>
      <c r="F614" s="32"/>
      <c r="G614" s="32"/>
      <c r="H614" s="28" t="str">
        <f aca="false">IF(COUNTA(C614:G614)=0,"",IF(AND(C614="Yes",D614="Yes",E614="Yes",F614="Yes",G614="No"),"Yes","No"))</f>
        <v/>
      </c>
      <c r="I614" s="32"/>
      <c r="J614" s="32"/>
    </row>
    <row r="615" customFormat="false" ht="15" hidden="false" customHeight="false" outlineLevel="0" collapsed="false">
      <c r="A615" s="32"/>
      <c r="B615" s="32"/>
      <c r="C615" s="32"/>
      <c r="D615" s="32"/>
      <c r="E615" s="32"/>
      <c r="F615" s="32"/>
      <c r="G615" s="32"/>
      <c r="H615" s="28" t="str">
        <f aca="false">IF(COUNTA(C615:G615)=0,"",IF(AND(C615="Yes",D615="Yes",E615="Yes",F615="Yes",G615="No"),"Yes","No"))</f>
        <v/>
      </c>
      <c r="I615" s="32"/>
      <c r="J615" s="32"/>
    </row>
    <row r="616" customFormat="false" ht="15" hidden="false" customHeight="false" outlineLevel="0" collapsed="false">
      <c r="A616" s="32"/>
      <c r="B616" s="32"/>
      <c r="C616" s="32"/>
      <c r="D616" s="32"/>
      <c r="E616" s="32"/>
      <c r="F616" s="32"/>
      <c r="G616" s="32"/>
      <c r="H616" s="28" t="str">
        <f aca="false">IF(COUNTA(C616:G616)=0,"",IF(AND(C616="Yes",D616="Yes",E616="Yes",F616="Yes",G616="No"),"Yes","No"))</f>
        <v/>
      </c>
      <c r="I616" s="32"/>
      <c r="J616" s="32"/>
    </row>
    <row r="617" customFormat="false" ht="15" hidden="false" customHeight="false" outlineLevel="0" collapsed="false">
      <c r="A617" s="32"/>
      <c r="B617" s="32"/>
      <c r="C617" s="32"/>
      <c r="D617" s="32"/>
      <c r="E617" s="32"/>
      <c r="F617" s="32"/>
      <c r="G617" s="32"/>
      <c r="H617" s="28" t="str">
        <f aca="false">IF(COUNTA(C617:G617)=0,"",IF(AND(C617="Yes",D617="Yes",E617="Yes",F617="Yes",G617="No"),"Yes","No"))</f>
        <v/>
      </c>
      <c r="I617" s="32"/>
      <c r="J617" s="32"/>
    </row>
    <row r="618" customFormat="false" ht="15" hidden="false" customHeight="false" outlineLevel="0" collapsed="false">
      <c r="A618" s="32"/>
      <c r="B618" s="32"/>
      <c r="C618" s="32"/>
      <c r="D618" s="32"/>
      <c r="E618" s="32"/>
      <c r="F618" s="32"/>
      <c r="G618" s="32"/>
      <c r="H618" s="28" t="str">
        <f aca="false">IF(COUNTA(C618:G618)=0,"",IF(AND(C618="Yes",D618="Yes",E618="Yes",F618="Yes",G618="No"),"Yes","No"))</f>
        <v/>
      </c>
      <c r="I618" s="32"/>
      <c r="J618" s="32"/>
    </row>
    <row r="619" customFormat="false" ht="15" hidden="false" customHeight="false" outlineLevel="0" collapsed="false">
      <c r="A619" s="32"/>
      <c r="B619" s="32"/>
      <c r="C619" s="32"/>
      <c r="D619" s="32"/>
      <c r="E619" s="32"/>
      <c r="F619" s="32"/>
      <c r="G619" s="32"/>
      <c r="H619" s="28" t="str">
        <f aca="false">IF(COUNTA(C619:G619)=0,"",IF(AND(C619="Yes",D619="Yes",E619="Yes",F619="Yes",G619="No"),"Yes","No"))</f>
        <v/>
      </c>
      <c r="I619" s="32"/>
      <c r="J619" s="32"/>
    </row>
    <row r="620" customFormat="false" ht="15" hidden="false" customHeight="false" outlineLevel="0" collapsed="false">
      <c r="A620" s="32"/>
      <c r="B620" s="32"/>
      <c r="C620" s="32"/>
      <c r="D620" s="32"/>
      <c r="E620" s="32"/>
      <c r="F620" s="32"/>
      <c r="G620" s="32"/>
      <c r="H620" s="28" t="str">
        <f aca="false">IF(COUNTA(C620:G620)=0,"",IF(AND(C620="Yes",D620="Yes",E620="Yes",F620="Yes",G620="No"),"Yes","No"))</f>
        <v/>
      </c>
      <c r="I620" s="32"/>
      <c r="J620" s="32"/>
    </row>
    <row r="621" customFormat="false" ht="15" hidden="false" customHeight="false" outlineLevel="0" collapsed="false">
      <c r="A621" s="32"/>
      <c r="B621" s="32"/>
      <c r="C621" s="32"/>
      <c r="D621" s="32"/>
      <c r="E621" s="32"/>
      <c r="F621" s="32"/>
      <c r="G621" s="32"/>
      <c r="H621" s="28" t="str">
        <f aca="false">IF(COUNTA(C621:G621)=0,"",IF(AND(C621="Yes",D621="Yes",E621="Yes",F621="Yes",G621="No"),"Yes","No"))</f>
        <v/>
      </c>
      <c r="I621" s="32"/>
      <c r="J621" s="32"/>
    </row>
    <row r="622" customFormat="false" ht="15" hidden="false" customHeight="false" outlineLevel="0" collapsed="false">
      <c r="A622" s="32"/>
      <c r="B622" s="32"/>
      <c r="C622" s="32"/>
      <c r="D622" s="32"/>
      <c r="E622" s="32"/>
      <c r="F622" s="32"/>
      <c r="G622" s="32"/>
      <c r="H622" s="28" t="str">
        <f aca="false">IF(COUNTA(C622:G622)=0,"",IF(AND(C622="Yes",D622="Yes",E622="Yes",F622="Yes",G622="No"),"Yes","No"))</f>
        <v/>
      </c>
      <c r="I622" s="32"/>
      <c r="J622" s="32"/>
    </row>
    <row r="623" customFormat="false" ht="15" hidden="false" customHeight="false" outlineLevel="0" collapsed="false">
      <c r="A623" s="32"/>
      <c r="B623" s="32"/>
      <c r="C623" s="32"/>
      <c r="D623" s="32"/>
      <c r="E623" s="32"/>
      <c r="F623" s="32"/>
      <c r="G623" s="32"/>
      <c r="H623" s="28" t="str">
        <f aca="false">IF(COUNTA(C623:G623)=0,"",IF(AND(C623="Yes",D623="Yes",E623="Yes",F623="Yes",G623="No"),"Yes","No"))</f>
        <v/>
      </c>
      <c r="I623" s="32"/>
      <c r="J623" s="32"/>
    </row>
    <row r="624" customFormat="false" ht="15" hidden="false" customHeight="false" outlineLevel="0" collapsed="false">
      <c r="A624" s="32"/>
      <c r="B624" s="32"/>
      <c r="C624" s="32"/>
      <c r="D624" s="32"/>
      <c r="E624" s="32"/>
      <c r="F624" s="32"/>
      <c r="G624" s="32"/>
      <c r="H624" s="28" t="str">
        <f aca="false">IF(COUNTA(C624:G624)=0,"",IF(AND(C624="Yes",D624="Yes",E624="Yes",F624="Yes",G624="No"),"Yes","No"))</f>
        <v/>
      </c>
      <c r="I624" s="32"/>
      <c r="J624" s="32"/>
    </row>
    <row r="625" customFormat="false" ht="15" hidden="false" customHeight="false" outlineLevel="0" collapsed="false">
      <c r="A625" s="32"/>
      <c r="B625" s="32"/>
      <c r="C625" s="32"/>
      <c r="D625" s="32"/>
      <c r="E625" s="32"/>
      <c r="F625" s="32"/>
      <c r="G625" s="32"/>
      <c r="H625" s="28" t="str">
        <f aca="false">IF(COUNTA(C625:G625)=0,"",IF(AND(C625="Yes",D625="Yes",E625="Yes",F625="Yes",G625="No"),"Yes","No"))</f>
        <v/>
      </c>
      <c r="I625" s="32"/>
      <c r="J625" s="32"/>
    </row>
    <row r="626" customFormat="false" ht="15" hidden="false" customHeight="false" outlineLevel="0" collapsed="false">
      <c r="A626" s="32"/>
      <c r="B626" s="32"/>
      <c r="C626" s="32"/>
      <c r="D626" s="32"/>
      <c r="E626" s="32"/>
      <c r="F626" s="32"/>
      <c r="G626" s="32"/>
      <c r="H626" s="28" t="str">
        <f aca="false">IF(COUNTA(C626:G626)=0,"",IF(AND(C626="Yes",D626="Yes",E626="Yes",F626="Yes",G626="No"),"Yes","No"))</f>
        <v/>
      </c>
      <c r="I626" s="32"/>
      <c r="J626" s="32"/>
    </row>
    <row r="627" customFormat="false" ht="15" hidden="false" customHeight="false" outlineLevel="0" collapsed="false">
      <c r="A627" s="32"/>
      <c r="B627" s="32"/>
      <c r="C627" s="32"/>
      <c r="D627" s="32"/>
      <c r="E627" s="32"/>
      <c r="F627" s="32"/>
      <c r="G627" s="32"/>
      <c r="H627" s="28" t="str">
        <f aca="false">IF(COUNTA(C627:G627)=0,"",IF(AND(C627="Yes",D627="Yes",E627="Yes",F627="Yes",G627="No"),"Yes","No"))</f>
        <v/>
      </c>
      <c r="I627" s="32"/>
      <c r="J627" s="32"/>
    </row>
    <row r="628" customFormat="false" ht="15" hidden="false" customHeight="false" outlineLevel="0" collapsed="false">
      <c r="A628" s="32"/>
      <c r="B628" s="32"/>
      <c r="C628" s="32"/>
      <c r="D628" s="32"/>
      <c r="E628" s="32"/>
      <c r="F628" s="32"/>
      <c r="G628" s="32"/>
      <c r="H628" s="28" t="str">
        <f aca="false">IF(COUNTA(C628:G628)=0,"",IF(AND(C628="Yes",D628="Yes",E628="Yes",F628="Yes",G628="No"),"Yes","No"))</f>
        <v/>
      </c>
      <c r="I628" s="32"/>
      <c r="J628" s="32"/>
    </row>
    <row r="629" customFormat="false" ht="15" hidden="false" customHeight="false" outlineLevel="0" collapsed="false">
      <c r="A629" s="32"/>
      <c r="B629" s="32"/>
      <c r="C629" s="32"/>
      <c r="D629" s="32"/>
      <c r="E629" s="32"/>
      <c r="F629" s="32"/>
      <c r="G629" s="32"/>
      <c r="H629" s="28" t="str">
        <f aca="false">IF(COUNTA(C629:G629)=0,"",IF(AND(C629="Yes",D629="Yes",E629="Yes",F629="Yes",G629="No"),"Yes","No"))</f>
        <v/>
      </c>
      <c r="I629" s="32"/>
      <c r="J629" s="32"/>
    </row>
    <row r="630" customFormat="false" ht="15" hidden="false" customHeight="false" outlineLevel="0" collapsed="false">
      <c r="A630" s="32"/>
      <c r="B630" s="32"/>
      <c r="C630" s="32"/>
      <c r="D630" s="32"/>
      <c r="E630" s="32"/>
      <c r="F630" s="32"/>
      <c r="G630" s="32"/>
      <c r="H630" s="28" t="str">
        <f aca="false">IF(COUNTA(C630:G630)=0,"",IF(AND(C630="Yes",D630="Yes",E630="Yes",F630="Yes",G630="No"),"Yes","No"))</f>
        <v/>
      </c>
      <c r="I630" s="32"/>
      <c r="J630" s="32"/>
    </row>
    <row r="631" customFormat="false" ht="15" hidden="false" customHeight="false" outlineLevel="0" collapsed="false">
      <c r="A631" s="32"/>
      <c r="B631" s="32"/>
      <c r="C631" s="32"/>
      <c r="D631" s="32"/>
      <c r="E631" s="32"/>
      <c r="F631" s="32"/>
      <c r="G631" s="32"/>
      <c r="H631" s="28" t="str">
        <f aca="false">IF(COUNTA(C631:G631)=0,"",IF(AND(C631="Yes",D631="Yes",E631="Yes",F631="Yes",G631="No"),"Yes","No"))</f>
        <v/>
      </c>
      <c r="I631" s="32"/>
      <c r="J631" s="32"/>
    </row>
    <row r="632" customFormat="false" ht="15" hidden="false" customHeight="false" outlineLevel="0" collapsed="false">
      <c r="A632" s="32"/>
      <c r="B632" s="32"/>
      <c r="C632" s="32"/>
      <c r="D632" s="32"/>
      <c r="E632" s="32"/>
      <c r="F632" s="32"/>
      <c r="G632" s="32"/>
      <c r="H632" s="28" t="str">
        <f aca="false">IF(COUNTA(C632:G632)=0,"",IF(AND(C632="Yes",D632="Yes",E632="Yes",F632="Yes",G632="No"),"Yes","No"))</f>
        <v/>
      </c>
      <c r="I632" s="32"/>
      <c r="J632" s="32"/>
    </row>
    <row r="633" customFormat="false" ht="15" hidden="false" customHeight="false" outlineLevel="0" collapsed="false">
      <c r="A633" s="32"/>
      <c r="B633" s="32"/>
      <c r="C633" s="32"/>
      <c r="D633" s="32"/>
      <c r="E633" s="32"/>
      <c r="F633" s="32"/>
      <c r="G633" s="32"/>
      <c r="H633" s="28" t="str">
        <f aca="false">IF(COUNTA(C633:G633)=0,"",IF(AND(C633="Yes",D633="Yes",E633="Yes",F633="Yes",G633="No"),"Yes","No"))</f>
        <v/>
      </c>
      <c r="I633" s="32"/>
      <c r="J633" s="32"/>
    </row>
    <row r="634" customFormat="false" ht="15" hidden="false" customHeight="false" outlineLevel="0" collapsed="false">
      <c r="A634" s="32"/>
      <c r="B634" s="32"/>
      <c r="C634" s="32"/>
      <c r="D634" s="32"/>
      <c r="E634" s="32"/>
      <c r="F634" s="32"/>
      <c r="G634" s="32"/>
      <c r="H634" s="28" t="str">
        <f aca="false">IF(COUNTA(C634:G634)=0,"",IF(AND(C634="Yes",D634="Yes",E634="Yes",F634="Yes",G634="No"),"Yes","No"))</f>
        <v/>
      </c>
      <c r="I634" s="32"/>
      <c r="J634" s="32"/>
    </row>
    <row r="635" customFormat="false" ht="15" hidden="false" customHeight="false" outlineLevel="0" collapsed="false">
      <c r="A635" s="32"/>
      <c r="B635" s="32"/>
      <c r="C635" s="32"/>
      <c r="D635" s="32"/>
      <c r="E635" s="32"/>
      <c r="F635" s="32"/>
      <c r="G635" s="32"/>
      <c r="H635" s="28" t="str">
        <f aca="false">IF(COUNTA(C635:G635)=0,"",IF(AND(C635="Yes",D635="Yes",E635="Yes",F635="Yes",G635="No"),"Yes","No"))</f>
        <v/>
      </c>
      <c r="I635" s="32"/>
      <c r="J635" s="32"/>
    </row>
    <row r="636" customFormat="false" ht="15" hidden="false" customHeight="false" outlineLevel="0" collapsed="false">
      <c r="A636" s="32"/>
      <c r="B636" s="32"/>
      <c r="C636" s="32"/>
      <c r="D636" s="32"/>
      <c r="E636" s="32"/>
      <c r="F636" s="32"/>
      <c r="G636" s="32"/>
      <c r="H636" s="28" t="str">
        <f aca="false">IF(COUNTA(C636:G636)=0,"",IF(AND(C636="Yes",D636="Yes",E636="Yes",F636="Yes",G636="No"),"Yes","No"))</f>
        <v/>
      </c>
      <c r="I636" s="32"/>
      <c r="J636" s="32"/>
    </row>
    <row r="637" customFormat="false" ht="15" hidden="false" customHeight="false" outlineLevel="0" collapsed="false">
      <c r="A637" s="32"/>
      <c r="B637" s="32"/>
      <c r="C637" s="32"/>
      <c r="D637" s="32"/>
      <c r="E637" s="32"/>
      <c r="F637" s="32"/>
      <c r="G637" s="32"/>
      <c r="H637" s="28" t="str">
        <f aca="false">IF(COUNTA(C637:G637)=0,"",IF(AND(C637="Yes",D637="Yes",E637="Yes",F637="Yes",G637="No"),"Yes","No"))</f>
        <v/>
      </c>
      <c r="I637" s="32"/>
      <c r="J637" s="32"/>
    </row>
    <row r="638" customFormat="false" ht="15" hidden="false" customHeight="false" outlineLevel="0" collapsed="false">
      <c r="A638" s="32"/>
      <c r="B638" s="32"/>
      <c r="C638" s="32"/>
      <c r="D638" s="32"/>
      <c r="E638" s="32"/>
      <c r="F638" s="32"/>
      <c r="G638" s="32"/>
      <c r="H638" s="28" t="str">
        <f aca="false">IF(COUNTA(C638:G638)=0,"",IF(AND(C638="Yes",D638="Yes",E638="Yes",F638="Yes",G638="No"),"Yes","No"))</f>
        <v/>
      </c>
      <c r="I638" s="32"/>
      <c r="J638" s="32"/>
    </row>
    <row r="639" customFormat="false" ht="15" hidden="false" customHeight="false" outlineLevel="0" collapsed="false">
      <c r="A639" s="32"/>
      <c r="B639" s="32"/>
      <c r="C639" s="32"/>
      <c r="D639" s="32"/>
      <c r="E639" s="32"/>
      <c r="F639" s="32"/>
      <c r="G639" s="32"/>
      <c r="H639" s="28" t="str">
        <f aca="false">IF(COUNTA(C639:G639)=0,"",IF(AND(C639="Yes",D639="Yes",E639="Yes",F639="Yes",G639="No"),"Yes","No"))</f>
        <v/>
      </c>
      <c r="I639" s="32"/>
      <c r="J639" s="32"/>
    </row>
    <row r="640" customFormat="false" ht="15" hidden="false" customHeight="false" outlineLevel="0" collapsed="false">
      <c r="A640" s="32"/>
      <c r="B640" s="32"/>
      <c r="C640" s="32"/>
      <c r="D640" s="32"/>
      <c r="E640" s="32"/>
      <c r="F640" s="32"/>
      <c r="G640" s="32"/>
      <c r="H640" s="28" t="str">
        <f aca="false">IF(COUNTA(C640:G640)=0,"",IF(AND(C640="Yes",D640="Yes",E640="Yes",F640="Yes",G640="No"),"Yes","No"))</f>
        <v/>
      </c>
      <c r="I640" s="32"/>
      <c r="J640" s="32"/>
    </row>
    <row r="641" customFormat="false" ht="15" hidden="false" customHeight="false" outlineLevel="0" collapsed="false">
      <c r="A641" s="32"/>
      <c r="B641" s="32"/>
      <c r="C641" s="32"/>
      <c r="D641" s="32"/>
      <c r="E641" s="32"/>
      <c r="F641" s="32"/>
      <c r="G641" s="32"/>
      <c r="H641" s="28" t="str">
        <f aca="false">IF(COUNTA(C641:G641)=0,"",IF(AND(C641="Yes",D641="Yes",E641="Yes",F641="Yes",G641="No"),"Yes","No"))</f>
        <v/>
      </c>
      <c r="I641" s="32"/>
      <c r="J641" s="32"/>
    </row>
    <row r="642" customFormat="false" ht="15" hidden="false" customHeight="false" outlineLevel="0" collapsed="false">
      <c r="A642" s="32"/>
      <c r="B642" s="32"/>
      <c r="C642" s="32"/>
      <c r="D642" s="32"/>
      <c r="E642" s="32"/>
      <c r="F642" s="32"/>
      <c r="G642" s="32"/>
      <c r="H642" s="28" t="str">
        <f aca="false">IF(COUNTA(C642:G642)=0,"",IF(AND(C642="Yes",D642="Yes",E642="Yes",F642="Yes",G642="No"),"Yes","No"))</f>
        <v/>
      </c>
      <c r="I642" s="32"/>
      <c r="J642" s="32"/>
    </row>
    <row r="643" customFormat="false" ht="15" hidden="false" customHeight="false" outlineLevel="0" collapsed="false">
      <c r="A643" s="32"/>
      <c r="B643" s="32"/>
      <c r="C643" s="32"/>
      <c r="D643" s="32"/>
      <c r="E643" s="32"/>
      <c r="F643" s="32"/>
      <c r="G643" s="32"/>
      <c r="H643" s="28" t="str">
        <f aca="false">IF(COUNTA(C643:G643)=0,"",IF(AND(C643="Yes",D643="Yes",E643="Yes",F643="Yes",G643="No"),"Yes","No"))</f>
        <v/>
      </c>
      <c r="I643" s="32"/>
      <c r="J643" s="32"/>
    </row>
    <row r="644" customFormat="false" ht="15" hidden="false" customHeight="false" outlineLevel="0" collapsed="false">
      <c r="A644" s="32"/>
      <c r="B644" s="32"/>
      <c r="C644" s="32"/>
      <c r="D644" s="32"/>
      <c r="E644" s="32"/>
      <c r="F644" s="32"/>
      <c r="G644" s="32"/>
      <c r="H644" s="28" t="str">
        <f aca="false">IF(COUNTA(C644:G644)=0,"",IF(AND(C644="Yes",D644="Yes",E644="Yes",F644="Yes",G644="No"),"Yes","No"))</f>
        <v/>
      </c>
      <c r="I644" s="32"/>
      <c r="J644" s="32"/>
    </row>
    <row r="645" customFormat="false" ht="15" hidden="false" customHeight="false" outlineLevel="0" collapsed="false">
      <c r="A645" s="32"/>
      <c r="B645" s="32"/>
      <c r="C645" s="32"/>
      <c r="D645" s="32"/>
      <c r="E645" s="32"/>
      <c r="F645" s="32"/>
      <c r="G645" s="32"/>
      <c r="H645" s="28" t="str">
        <f aca="false">IF(COUNTA(C645:G645)=0,"",IF(AND(C645="Yes",D645="Yes",E645="Yes",F645="Yes",G645="No"),"Yes","No"))</f>
        <v/>
      </c>
      <c r="I645" s="32"/>
      <c r="J645" s="32"/>
    </row>
    <row r="646" customFormat="false" ht="15" hidden="false" customHeight="false" outlineLevel="0" collapsed="false">
      <c r="A646" s="32"/>
      <c r="B646" s="32"/>
      <c r="C646" s="32"/>
      <c r="D646" s="32"/>
      <c r="E646" s="32"/>
      <c r="F646" s="32"/>
      <c r="G646" s="32"/>
      <c r="H646" s="28" t="str">
        <f aca="false">IF(COUNTA(C646:G646)=0,"",IF(AND(C646="Yes",D646="Yes",E646="Yes",F646="Yes",G646="No"),"Yes","No"))</f>
        <v/>
      </c>
      <c r="I646" s="32"/>
      <c r="J646" s="32"/>
    </row>
    <row r="647" customFormat="false" ht="15" hidden="false" customHeight="false" outlineLevel="0" collapsed="false">
      <c r="A647" s="32"/>
      <c r="B647" s="32"/>
      <c r="C647" s="32"/>
      <c r="D647" s="32"/>
      <c r="E647" s="32"/>
      <c r="F647" s="32"/>
      <c r="G647" s="32"/>
      <c r="H647" s="28" t="str">
        <f aca="false">IF(COUNTA(C647:G647)=0,"",IF(AND(C647="Yes",D647="Yes",E647="Yes",F647="Yes",G647="No"),"Yes","No"))</f>
        <v/>
      </c>
      <c r="I647" s="32"/>
      <c r="J647" s="32"/>
    </row>
    <row r="648" customFormat="false" ht="15" hidden="false" customHeight="false" outlineLevel="0" collapsed="false">
      <c r="A648" s="32"/>
      <c r="B648" s="32"/>
      <c r="C648" s="32"/>
      <c r="D648" s="32"/>
      <c r="E648" s="32"/>
      <c r="F648" s="32"/>
      <c r="G648" s="32"/>
      <c r="H648" s="28" t="str">
        <f aca="false">IF(COUNTA(C648:G648)=0,"",IF(AND(C648="Yes",D648="Yes",E648="Yes",F648="Yes",G648="No"),"Yes","No"))</f>
        <v/>
      </c>
      <c r="I648" s="32"/>
      <c r="J648" s="32"/>
    </row>
    <row r="649" customFormat="false" ht="15" hidden="false" customHeight="false" outlineLevel="0" collapsed="false">
      <c r="A649" s="32"/>
      <c r="B649" s="32"/>
      <c r="C649" s="32"/>
      <c r="D649" s="32"/>
      <c r="E649" s="32"/>
      <c r="F649" s="32"/>
      <c r="G649" s="32"/>
      <c r="H649" s="28" t="str">
        <f aca="false">IF(COUNTA(C649:G649)=0,"",IF(AND(C649="Yes",D649="Yes",E649="Yes",F649="Yes",G649="No"),"Yes","No"))</f>
        <v/>
      </c>
      <c r="I649" s="32"/>
      <c r="J649" s="32"/>
    </row>
    <row r="650" customFormat="false" ht="15" hidden="false" customHeight="false" outlineLevel="0" collapsed="false">
      <c r="A650" s="32"/>
      <c r="B650" s="32"/>
      <c r="C650" s="32"/>
      <c r="D650" s="32"/>
      <c r="E650" s="32"/>
      <c r="F650" s="32"/>
      <c r="G650" s="32"/>
      <c r="H650" s="28" t="str">
        <f aca="false">IF(COUNTA(C650:G650)=0,"",IF(AND(C650="Yes",D650="Yes",E650="Yes",F650="Yes",G650="No"),"Yes","No"))</f>
        <v/>
      </c>
      <c r="I650" s="32"/>
      <c r="J650" s="32"/>
    </row>
    <row r="651" customFormat="false" ht="15" hidden="false" customHeight="false" outlineLevel="0" collapsed="false">
      <c r="A651" s="32"/>
      <c r="B651" s="32"/>
      <c r="C651" s="32"/>
      <c r="D651" s="32"/>
      <c r="E651" s="32"/>
      <c r="F651" s="32"/>
      <c r="G651" s="32"/>
      <c r="H651" s="28" t="str">
        <f aca="false">IF(COUNTA(C651:G651)=0,"",IF(AND(C651="Yes",D651="Yes",E651="Yes",F651="Yes",G651="No"),"Yes","No"))</f>
        <v/>
      </c>
      <c r="I651" s="32"/>
      <c r="J651" s="32"/>
    </row>
    <row r="652" customFormat="false" ht="15" hidden="false" customHeight="false" outlineLevel="0" collapsed="false">
      <c r="A652" s="32"/>
      <c r="B652" s="32"/>
      <c r="C652" s="32"/>
      <c r="D652" s="32"/>
      <c r="E652" s="32"/>
      <c r="F652" s="32"/>
      <c r="G652" s="32"/>
      <c r="H652" s="28" t="str">
        <f aca="false">IF(COUNTA(C652:G652)=0,"",IF(AND(C652="Yes",D652="Yes",E652="Yes",F652="Yes",G652="No"),"Yes","No"))</f>
        <v/>
      </c>
      <c r="I652" s="32"/>
      <c r="J652" s="32"/>
    </row>
    <row r="653" customFormat="false" ht="15" hidden="false" customHeight="false" outlineLevel="0" collapsed="false">
      <c r="A653" s="32"/>
      <c r="B653" s="32"/>
      <c r="C653" s="32"/>
      <c r="D653" s="32"/>
      <c r="E653" s="32"/>
      <c r="F653" s="32"/>
      <c r="G653" s="32"/>
      <c r="H653" s="28" t="str">
        <f aca="false">IF(COUNTA(C653:G653)=0,"",IF(AND(C653="Yes",D653="Yes",E653="Yes",F653="Yes",G653="No"),"Yes","No"))</f>
        <v/>
      </c>
      <c r="I653" s="32"/>
      <c r="J653" s="32"/>
    </row>
    <row r="654" customFormat="false" ht="15" hidden="false" customHeight="false" outlineLevel="0" collapsed="false">
      <c r="A654" s="32"/>
      <c r="B654" s="32"/>
      <c r="C654" s="32"/>
      <c r="D654" s="32"/>
      <c r="E654" s="32"/>
      <c r="F654" s="32"/>
      <c r="G654" s="32"/>
      <c r="H654" s="28" t="str">
        <f aca="false">IF(COUNTA(C654:G654)=0,"",IF(AND(C654="Yes",D654="Yes",E654="Yes",F654="Yes",G654="No"),"Yes","No"))</f>
        <v/>
      </c>
      <c r="I654" s="32"/>
      <c r="J654" s="32"/>
    </row>
    <row r="655" customFormat="false" ht="15" hidden="false" customHeight="false" outlineLevel="0" collapsed="false">
      <c r="A655" s="32"/>
      <c r="B655" s="32"/>
      <c r="C655" s="32"/>
      <c r="D655" s="32"/>
      <c r="E655" s="32"/>
      <c r="F655" s="32"/>
      <c r="G655" s="32"/>
      <c r="H655" s="28" t="str">
        <f aca="false">IF(COUNTA(C655:G655)=0,"",IF(AND(C655="Yes",D655="Yes",E655="Yes",F655="Yes",G655="No"),"Yes","No"))</f>
        <v/>
      </c>
      <c r="I655" s="32"/>
      <c r="J655" s="32"/>
    </row>
    <row r="656" customFormat="false" ht="15" hidden="false" customHeight="false" outlineLevel="0" collapsed="false">
      <c r="A656" s="32"/>
      <c r="B656" s="32"/>
      <c r="C656" s="32"/>
      <c r="D656" s="32"/>
      <c r="E656" s="32"/>
      <c r="F656" s="32"/>
      <c r="G656" s="32"/>
      <c r="H656" s="28" t="str">
        <f aca="false">IF(COUNTA(C656:G656)=0,"",IF(AND(C656="Yes",D656="Yes",E656="Yes",F656="Yes",G656="No"),"Yes","No"))</f>
        <v/>
      </c>
      <c r="I656" s="32"/>
      <c r="J656" s="32"/>
    </row>
    <row r="657" customFormat="false" ht="15" hidden="false" customHeight="false" outlineLevel="0" collapsed="false">
      <c r="A657" s="32"/>
      <c r="B657" s="32"/>
      <c r="C657" s="32"/>
      <c r="D657" s="32"/>
      <c r="E657" s="32"/>
      <c r="F657" s="32"/>
      <c r="G657" s="32"/>
      <c r="H657" s="28" t="str">
        <f aca="false">IF(COUNTA(C657:G657)=0,"",IF(AND(C657="Yes",D657="Yes",E657="Yes",F657="Yes",G657="No"),"Yes","No"))</f>
        <v/>
      </c>
      <c r="I657" s="32"/>
      <c r="J657" s="32"/>
    </row>
    <row r="658" customFormat="false" ht="15" hidden="false" customHeight="false" outlineLevel="0" collapsed="false">
      <c r="A658" s="32"/>
      <c r="B658" s="32"/>
      <c r="C658" s="32"/>
      <c r="D658" s="32"/>
      <c r="E658" s="32"/>
      <c r="F658" s="32"/>
      <c r="G658" s="32"/>
      <c r="H658" s="28" t="str">
        <f aca="false">IF(COUNTA(C658:G658)=0,"",IF(AND(C658="Yes",D658="Yes",E658="Yes",F658="Yes",G658="No"),"Yes","No"))</f>
        <v/>
      </c>
      <c r="I658" s="32"/>
      <c r="J658" s="32"/>
    </row>
    <row r="659" customFormat="false" ht="15" hidden="false" customHeight="false" outlineLevel="0" collapsed="false">
      <c r="A659" s="32"/>
      <c r="B659" s="32"/>
      <c r="C659" s="32"/>
      <c r="D659" s="32"/>
      <c r="E659" s="32"/>
      <c r="F659" s="32"/>
      <c r="G659" s="32"/>
      <c r="H659" s="28" t="str">
        <f aca="false">IF(COUNTA(C659:G659)=0,"",IF(AND(C659="Yes",D659="Yes",E659="Yes",F659="Yes",G659="No"),"Yes","No"))</f>
        <v/>
      </c>
      <c r="I659" s="32"/>
      <c r="J659" s="32"/>
    </row>
    <row r="660" customFormat="false" ht="15" hidden="false" customHeight="false" outlineLevel="0" collapsed="false">
      <c r="A660" s="32"/>
      <c r="B660" s="32"/>
      <c r="C660" s="32"/>
      <c r="D660" s="32"/>
      <c r="E660" s="32"/>
      <c r="F660" s="32"/>
      <c r="G660" s="32"/>
      <c r="H660" s="28" t="str">
        <f aca="false">IF(COUNTA(C660:G660)=0,"",IF(AND(C660="Yes",D660="Yes",E660="Yes",F660="Yes",G660="No"),"Yes","No"))</f>
        <v/>
      </c>
      <c r="I660" s="32"/>
      <c r="J660" s="32"/>
    </row>
    <row r="661" customFormat="false" ht="15" hidden="false" customHeight="false" outlineLevel="0" collapsed="false">
      <c r="A661" s="32"/>
      <c r="B661" s="32"/>
      <c r="C661" s="32"/>
      <c r="D661" s="32"/>
      <c r="E661" s="32"/>
      <c r="F661" s="32"/>
      <c r="G661" s="32"/>
      <c r="H661" s="28" t="str">
        <f aca="false">IF(COUNTA(C661:G661)=0,"",IF(AND(C661="Yes",D661="Yes",E661="Yes",F661="Yes",G661="No"),"Yes","No"))</f>
        <v/>
      </c>
      <c r="I661" s="32"/>
      <c r="J661" s="32"/>
    </row>
    <row r="662" customFormat="false" ht="15" hidden="false" customHeight="false" outlineLevel="0" collapsed="false">
      <c r="A662" s="32"/>
      <c r="B662" s="32"/>
      <c r="C662" s="32"/>
      <c r="D662" s="32"/>
      <c r="E662" s="32"/>
      <c r="F662" s="32"/>
      <c r="G662" s="32"/>
      <c r="H662" s="28" t="str">
        <f aca="false">IF(COUNTA(C662:G662)=0,"",IF(AND(C662="Yes",D662="Yes",E662="Yes",F662="Yes",G662="No"),"Yes","No"))</f>
        <v/>
      </c>
      <c r="I662" s="32"/>
      <c r="J662" s="32"/>
    </row>
    <row r="663" customFormat="false" ht="15" hidden="false" customHeight="false" outlineLevel="0" collapsed="false">
      <c r="A663" s="32"/>
      <c r="B663" s="32"/>
      <c r="C663" s="32"/>
      <c r="D663" s="32"/>
      <c r="E663" s="32"/>
      <c r="F663" s="32"/>
      <c r="G663" s="32"/>
      <c r="H663" s="28" t="str">
        <f aca="false">IF(COUNTA(C663:G663)=0,"",IF(AND(C663="Yes",D663="Yes",E663="Yes",F663="Yes",G663="No"),"Yes","No"))</f>
        <v/>
      </c>
      <c r="I663" s="32"/>
      <c r="J663" s="32"/>
    </row>
    <row r="664" customFormat="false" ht="15" hidden="false" customHeight="false" outlineLevel="0" collapsed="false">
      <c r="A664" s="32"/>
      <c r="B664" s="32"/>
      <c r="C664" s="32"/>
      <c r="D664" s="32"/>
      <c r="E664" s="32"/>
      <c r="F664" s="32"/>
      <c r="G664" s="32"/>
      <c r="H664" s="28" t="str">
        <f aca="false">IF(COUNTA(C664:G664)=0,"",IF(AND(C664="Yes",D664="Yes",E664="Yes",F664="Yes",G664="No"),"Yes","No"))</f>
        <v/>
      </c>
      <c r="I664" s="32"/>
      <c r="J664" s="32"/>
    </row>
    <row r="665" customFormat="false" ht="15" hidden="false" customHeight="false" outlineLevel="0" collapsed="false">
      <c r="A665" s="32"/>
      <c r="B665" s="32"/>
      <c r="C665" s="32"/>
      <c r="D665" s="32"/>
      <c r="E665" s="32"/>
      <c r="F665" s="32"/>
      <c r="G665" s="32"/>
      <c r="H665" s="28" t="str">
        <f aca="false">IF(COUNTA(C665:G665)=0,"",IF(AND(C665="Yes",D665="Yes",E665="Yes",F665="Yes",G665="No"),"Yes","No"))</f>
        <v/>
      </c>
      <c r="I665" s="32"/>
      <c r="J665" s="32"/>
    </row>
    <row r="666" customFormat="false" ht="15" hidden="false" customHeight="false" outlineLevel="0" collapsed="false">
      <c r="A666" s="32"/>
      <c r="B666" s="32"/>
      <c r="C666" s="32"/>
      <c r="D666" s="32"/>
      <c r="E666" s="32"/>
      <c r="F666" s="32"/>
      <c r="G666" s="32"/>
      <c r="H666" s="28" t="str">
        <f aca="false">IF(COUNTA(C666:G666)=0,"",IF(AND(C666="Yes",D666="Yes",E666="Yes",F666="Yes",G666="No"),"Yes","No"))</f>
        <v/>
      </c>
      <c r="I666" s="32"/>
      <c r="J666" s="32"/>
    </row>
    <row r="667" customFormat="false" ht="15" hidden="false" customHeight="false" outlineLevel="0" collapsed="false">
      <c r="A667" s="32"/>
      <c r="B667" s="32"/>
      <c r="C667" s="32"/>
      <c r="D667" s="32"/>
      <c r="E667" s="32"/>
      <c r="F667" s="32"/>
      <c r="G667" s="32"/>
      <c r="H667" s="28" t="str">
        <f aca="false">IF(COUNTA(C667:G667)=0,"",IF(AND(C667="Yes",D667="Yes",E667="Yes",F667="Yes",G667="No"),"Yes","No"))</f>
        <v/>
      </c>
      <c r="I667" s="32"/>
      <c r="J667" s="32"/>
    </row>
    <row r="668" customFormat="false" ht="15" hidden="false" customHeight="false" outlineLevel="0" collapsed="false">
      <c r="A668" s="32"/>
      <c r="B668" s="32"/>
      <c r="C668" s="32"/>
      <c r="D668" s="32"/>
      <c r="E668" s="32"/>
      <c r="F668" s="32"/>
      <c r="G668" s="32"/>
      <c r="H668" s="28" t="str">
        <f aca="false">IF(COUNTA(C668:G668)=0,"",IF(AND(C668="Yes",D668="Yes",E668="Yes",F668="Yes",G668="No"),"Yes","No"))</f>
        <v/>
      </c>
      <c r="I668" s="32"/>
      <c r="J668" s="32"/>
    </row>
    <row r="669" customFormat="false" ht="15" hidden="false" customHeight="false" outlineLevel="0" collapsed="false">
      <c r="A669" s="32"/>
      <c r="B669" s="32"/>
      <c r="C669" s="32"/>
      <c r="D669" s="32"/>
      <c r="E669" s="32"/>
      <c r="F669" s="32"/>
      <c r="G669" s="32"/>
      <c r="H669" s="28" t="str">
        <f aca="false">IF(COUNTA(C669:G669)=0,"",IF(AND(C669="Yes",D669="Yes",E669="Yes",F669="Yes",G669="No"),"Yes","No"))</f>
        <v/>
      </c>
      <c r="I669" s="32"/>
      <c r="J669" s="32"/>
    </row>
    <row r="670" customFormat="false" ht="15" hidden="false" customHeight="false" outlineLevel="0" collapsed="false">
      <c r="A670" s="32"/>
      <c r="B670" s="32"/>
      <c r="C670" s="32"/>
      <c r="D670" s="32"/>
      <c r="E670" s="32"/>
      <c r="F670" s="32"/>
      <c r="G670" s="32"/>
      <c r="H670" s="28" t="str">
        <f aca="false">IF(COUNTA(C670:G670)=0,"",IF(AND(C670="Yes",D670="Yes",E670="Yes",F670="Yes",G670="No"),"Yes","No"))</f>
        <v/>
      </c>
      <c r="I670" s="32"/>
      <c r="J670" s="32"/>
    </row>
    <row r="671" customFormat="false" ht="15" hidden="false" customHeight="false" outlineLevel="0" collapsed="false">
      <c r="A671" s="32"/>
      <c r="B671" s="32"/>
      <c r="C671" s="32"/>
      <c r="D671" s="32"/>
      <c r="E671" s="32"/>
      <c r="F671" s="32"/>
      <c r="G671" s="32"/>
      <c r="H671" s="28" t="str">
        <f aca="false">IF(COUNTA(C671:G671)=0,"",IF(AND(C671="Yes",D671="Yes",E671="Yes",F671="Yes",G671="No"),"Yes","No"))</f>
        <v/>
      </c>
      <c r="I671" s="32"/>
      <c r="J671" s="32"/>
    </row>
    <row r="672" customFormat="false" ht="15" hidden="false" customHeight="false" outlineLevel="0" collapsed="false">
      <c r="A672" s="32"/>
      <c r="B672" s="32"/>
      <c r="C672" s="32"/>
      <c r="D672" s="32"/>
      <c r="E672" s="32"/>
      <c r="F672" s="32"/>
      <c r="G672" s="32"/>
      <c r="H672" s="28" t="str">
        <f aca="false">IF(COUNTA(C672:G672)=0,"",IF(AND(C672="Yes",D672="Yes",E672="Yes",F672="Yes",G672="No"),"Yes","No"))</f>
        <v/>
      </c>
      <c r="I672" s="32"/>
      <c r="J672" s="32"/>
    </row>
    <row r="673" customFormat="false" ht="15" hidden="false" customHeight="false" outlineLevel="0" collapsed="false">
      <c r="A673" s="32"/>
      <c r="B673" s="32"/>
      <c r="C673" s="32"/>
      <c r="D673" s="32"/>
      <c r="E673" s="32"/>
      <c r="F673" s="32"/>
      <c r="G673" s="32"/>
      <c r="H673" s="28" t="str">
        <f aca="false">IF(COUNTA(C673:G673)=0,"",IF(AND(C673="Yes",D673="Yes",E673="Yes",F673="Yes",G673="No"),"Yes","No"))</f>
        <v/>
      </c>
      <c r="I673" s="32"/>
      <c r="J673" s="32"/>
    </row>
    <row r="674" customFormat="false" ht="15" hidden="false" customHeight="false" outlineLevel="0" collapsed="false">
      <c r="A674" s="32"/>
      <c r="B674" s="32"/>
      <c r="C674" s="32"/>
      <c r="D674" s="32"/>
      <c r="E674" s="32"/>
      <c r="F674" s="32"/>
      <c r="G674" s="32"/>
      <c r="H674" s="28" t="str">
        <f aca="false">IF(COUNTA(C674:G674)=0,"",IF(AND(C674="Yes",D674="Yes",E674="Yes",F674="Yes",G674="No"),"Yes","No"))</f>
        <v/>
      </c>
      <c r="I674" s="32"/>
      <c r="J674" s="32"/>
    </row>
    <row r="675" customFormat="false" ht="15" hidden="false" customHeight="false" outlineLevel="0" collapsed="false">
      <c r="A675" s="32"/>
      <c r="B675" s="32"/>
      <c r="C675" s="32"/>
      <c r="D675" s="32"/>
      <c r="E675" s="32"/>
      <c r="F675" s="32"/>
      <c r="G675" s="32"/>
      <c r="H675" s="28" t="str">
        <f aca="false">IF(COUNTA(C675:G675)=0,"",IF(AND(C675="Yes",D675="Yes",E675="Yes",F675="Yes",G675="No"),"Yes","No"))</f>
        <v/>
      </c>
      <c r="I675" s="32"/>
      <c r="J675" s="32"/>
    </row>
    <row r="676" customFormat="false" ht="15" hidden="false" customHeight="false" outlineLevel="0" collapsed="false">
      <c r="A676" s="32"/>
      <c r="B676" s="32"/>
      <c r="C676" s="32"/>
      <c r="D676" s="32"/>
      <c r="E676" s="32"/>
      <c r="F676" s="32"/>
      <c r="G676" s="32"/>
      <c r="H676" s="28" t="str">
        <f aca="false">IF(COUNTA(C676:G676)=0,"",IF(AND(C676="Yes",D676="Yes",E676="Yes",F676="Yes",G676="No"),"Yes","No"))</f>
        <v/>
      </c>
      <c r="I676" s="32"/>
      <c r="J676" s="32"/>
    </row>
    <row r="677" customFormat="false" ht="15" hidden="false" customHeight="false" outlineLevel="0" collapsed="false">
      <c r="A677" s="32"/>
      <c r="B677" s="32"/>
      <c r="C677" s="32"/>
      <c r="D677" s="32"/>
      <c r="E677" s="32"/>
      <c r="F677" s="32"/>
      <c r="G677" s="32"/>
      <c r="H677" s="28" t="str">
        <f aca="false">IF(COUNTA(C677:G677)=0,"",IF(AND(C677="Yes",D677="Yes",E677="Yes",F677="Yes",G677="No"),"Yes","No"))</f>
        <v/>
      </c>
      <c r="I677" s="32"/>
      <c r="J677" s="32"/>
    </row>
    <row r="678" customFormat="false" ht="15" hidden="false" customHeight="false" outlineLevel="0" collapsed="false">
      <c r="A678" s="32"/>
      <c r="B678" s="32"/>
      <c r="C678" s="32"/>
      <c r="D678" s="32"/>
      <c r="E678" s="32"/>
      <c r="F678" s="32"/>
      <c r="G678" s="32"/>
      <c r="H678" s="28" t="str">
        <f aca="false">IF(COUNTA(C678:G678)=0,"",IF(AND(C678="Yes",D678="Yes",E678="Yes",F678="Yes",G678="No"),"Yes","No"))</f>
        <v/>
      </c>
      <c r="I678" s="32"/>
      <c r="J678" s="32"/>
    </row>
    <row r="679" customFormat="false" ht="15" hidden="false" customHeight="false" outlineLevel="0" collapsed="false">
      <c r="A679" s="32"/>
      <c r="B679" s="32"/>
      <c r="C679" s="32"/>
      <c r="D679" s="32"/>
      <c r="E679" s="32"/>
      <c r="F679" s="32"/>
      <c r="G679" s="32"/>
      <c r="H679" s="28" t="str">
        <f aca="false">IF(COUNTA(C679:G679)=0,"",IF(AND(C679="Yes",D679="Yes",E679="Yes",F679="Yes",G679="No"),"Yes","No"))</f>
        <v/>
      </c>
      <c r="I679" s="32"/>
      <c r="J679" s="32"/>
    </row>
    <row r="680" customFormat="false" ht="15" hidden="false" customHeight="false" outlineLevel="0" collapsed="false">
      <c r="A680" s="32"/>
      <c r="B680" s="32"/>
      <c r="C680" s="32"/>
      <c r="D680" s="32"/>
      <c r="E680" s="32"/>
      <c r="F680" s="32"/>
      <c r="G680" s="32"/>
      <c r="H680" s="28" t="str">
        <f aca="false">IF(COUNTA(C680:G680)=0,"",IF(AND(C680="Yes",D680="Yes",E680="Yes",F680="Yes",G680="No"),"Yes","No"))</f>
        <v/>
      </c>
      <c r="I680" s="32"/>
      <c r="J680" s="32"/>
    </row>
    <row r="681" customFormat="false" ht="15" hidden="false" customHeight="false" outlineLevel="0" collapsed="false">
      <c r="A681" s="32"/>
      <c r="B681" s="32"/>
      <c r="C681" s="32"/>
      <c r="D681" s="32"/>
      <c r="E681" s="32"/>
      <c r="F681" s="32"/>
      <c r="G681" s="32"/>
      <c r="H681" s="28" t="str">
        <f aca="false">IF(COUNTA(C681:G681)=0,"",IF(AND(C681="Yes",D681="Yes",E681="Yes",F681="Yes",G681="No"),"Yes","No"))</f>
        <v/>
      </c>
      <c r="I681" s="32"/>
      <c r="J681" s="32"/>
    </row>
    <row r="682" customFormat="false" ht="15" hidden="false" customHeight="false" outlineLevel="0" collapsed="false">
      <c r="A682" s="32"/>
      <c r="B682" s="32"/>
      <c r="C682" s="32"/>
      <c r="D682" s="32"/>
      <c r="E682" s="32"/>
      <c r="F682" s="32"/>
      <c r="G682" s="32"/>
      <c r="H682" s="28" t="str">
        <f aca="false">IF(COUNTA(C682:G682)=0,"",IF(AND(C682="Yes",D682="Yes",E682="Yes",F682="Yes",G682="No"),"Yes","No"))</f>
        <v/>
      </c>
      <c r="I682" s="32"/>
      <c r="J682" s="32"/>
    </row>
    <row r="683" customFormat="false" ht="15" hidden="false" customHeight="false" outlineLevel="0" collapsed="false">
      <c r="A683" s="32"/>
      <c r="B683" s="32"/>
      <c r="C683" s="32"/>
      <c r="D683" s="32"/>
      <c r="E683" s="32"/>
      <c r="F683" s="32"/>
      <c r="G683" s="32"/>
      <c r="H683" s="28" t="str">
        <f aca="false">IF(COUNTA(C683:G683)=0,"",IF(AND(C683="Yes",D683="Yes",E683="Yes",F683="Yes",G683="No"),"Yes","No"))</f>
        <v/>
      </c>
      <c r="I683" s="32"/>
      <c r="J683" s="32"/>
    </row>
    <row r="684" customFormat="false" ht="15" hidden="false" customHeight="false" outlineLevel="0" collapsed="false">
      <c r="A684" s="32"/>
      <c r="B684" s="32"/>
      <c r="C684" s="32"/>
      <c r="D684" s="32"/>
      <c r="E684" s="32"/>
      <c r="F684" s="32"/>
      <c r="G684" s="32"/>
      <c r="H684" s="28" t="str">
        <f aca="false">IF(COUNTA(C684:G684)=0,"",IF(AND(C684="Yes",D684="Yes",E684="Yes",F684="Yes",G684="No"),"Yes","No"))</f>
        <v/>
      </c>
      <c r="I684" s="32"/>
      <c r="J684" s="32"/>
    </row>
    <row r="685" customFormat="false" ht="15" hidden="false" customHeight="false" outlineLevel="0" collapsed="false">
      <c r="A685" s="32"/>
      <c r="B685" s="32"/>
      <c r="C685" s="32"/>
      <c r="D685" s="32"/>
      <c r="E685" s="32"/>
      <c r="F685" s="32"/>
      <c r="G685" s="32"/>
      <c r="H685" s="28" t="str">
        <f aca="false">IF(COUNTA(C685:G685)=0,"",IF(AND(C685="Yes",D685="Yes",E685="Yes",F685="Yes",G685="No"),"Yes","No"))</f>
        <v/>
      </c>
      <c r="I685" s="32"/>
      <c r="J685" s="32"/>
    </row>
    <row r="686" customFormat="false" ht="15" hidden="false" customHeight="false" outlineLevel="0" collapsed="false">
      <c r="A686" s="32"/>
      <c r="B686" s="32"/>
      <c r="C686" s="32"/>
      <c r="D686" s="32"/>
      <c r="E686" s="32"/>
      <c r="F686" s="32"/>
      <c r="G686" s="32"/>
      <c r="H686" s="28" t="str">
        <f aca="false">IF(COUNTA(C686:G686)=0,"",IF(AND(C686="Yes",D686="Yes",E686="Yes",F686="Yes",G686="No"),"Yes","No"))</f>
        <v/>
      </c>
      <c r="I686" s="32"/>
      <c r="J686" s="32"/>
    </row>
    <row r="687" customFormat="false" ht="15" hidden="false" customHeight="false" outlineLevel="0" collapsed="false">
      <c r="A687" s="32"/>
      <c r="B687" s="32"/>
      <c r="C687" s="32"/>
      <c r="D687" s="32"/>
      <c r="E687" s="32"/>
      <c r="F687" s="32"/>
      <c r="G687" s="32"/>
      <c r="H687" s="28" t="str">
        <f aca="false">IF(COUNTA(C687:G687)=0,"",IF(AND(C687="Yes",D687="Yes",E687="Yes",F687="Yes",G687="No"),"Yes","No"))</f>
        <v/>
      </c>
      <c r="I687" s="32"/>
      <c r="J687" s="32"/>
    </row>
    <row r="688" customFormat="false" ht="15" hidden="false" customHeight="false" outlineLevel="0" collapsed="false">
      <c r="A688" s="32"/>
      <c r="B688" s="32"/>
      <c r="C688" s="32"/>
      <c r="D688" s="32"/>
      <c r="E688" s="32"/>
      <c r="F688" s="32"/>
      <c r="G688" s="32"/>
      <c r="H688" s="28" t="str">
        <f aca="false">IF(COUNTA(C688:G688)=0,"",IF(AND(C688="Yes",D688="Yes",E688="Yes",F688="Yes",G688="No"),"Yes","No"))</f>
        <v/>
      </c>
      <c r="I688" s="32"/>
      <c r="J688" s="32"/>
    </row>
    <row r="689" customFormat="false" ht="15" hidden="false" customHeight="false" outlineLevel="0" collapsed="false">
      <c r="A689" s="32"/>
      <c r="B689" s="32"/>
      <c r="C689" s="32"/>
      <c r="D689" s="32"/>
      <c r="E689" s="32"/>
      <c r="F689" s="32"/>
      <c r="G689" s="32"/>
      <c r="H689" s="28" t="str">
        <f aca="false">IF(COUNTA(C689:G689)=0,"",IF(AND(C689="Yes",D689="Yes",E689="Yes",F689="Yes",G689="No"),"Yes","No"))</f>
        <v/>
      </c>
      <c r="I689" s="32"/>
      <c r="J689" s="32"/>
    </row>
    <row r="690" customFormat="false" ht="15" hidden="false" customHeight="false" outlineLevel="0" collapsed="false">
      <c r="A690" s="32"/>
      <c r="B690" s="32"/>
      <c r="C690" s="32"/>
      <c r="D690" s="32"/>
      <c r="E690" s="32"/>
      <c r="F690" s="32"/>
      <c r="G690" s="32"/>
      <c r="H690" s="28" t="str">
        <f aca="false">IF(COUNTA(C690:G690)=0,"",IF(AND(C690="Yes",D690="Yes",E690="Yes",F690="Yes",G690="No"),"Yes","No"))</f>
        <v/>
      </c>
      <c r="I690" s="32"/>
      <c r="J690" s="32"/>
    </row>
    <row r="691" customFormat="false" ht="15" hidden="false" customHeight="false" outlineLevel="0" collapsed="false">
      <c r="A691" s="32"/>
      <c r="B691" s="32"/>
      <c r="C691" s="32"/>
      <c r="D691" s="32"/>
      <c r="E691" s="32"/>
      <c r="F691" s="32"/>
      <c r="G691" s="32"/>
      <c r="H691" s="28" t="str">
        <f aca="false">IF(COUNTA(C691:G691)=0,"",IF(AND(C691="Yes",D691="Yes",E691="Yes",F691="Yes",G691="No"),"Yes","No"))</f>
        <v/>
      </c>
      <c r="I691" s="32"/>
      <c r="J691" s="32"/>
    </row>
    <row r="692" customFormat="false" ht="15" hidden="false" customHeight="false" outlineLevel="0" collapsed="false">
      <c r="A692" s="32"/>
      <c r="B692" s="32"/>
      <c r="C692" s="32"/>
      <c r="D692" s="32"/>
      <c r="E692" s="32"/>
      <c r="F692" s="32"/>
      <c r="G692" s="32"/>
      <c r="H692" s="28" t="str">
        <f aca="false">IF(COUNTA(C692:G692)=0,"",IF(AND(C692="Yes",D692="Yes",E692="Yes",F692="Yes",G692="No"),"Yes","No"))</f>
        <v/>
      </c>
      <c r="I692" s="32"/>
      <c r="J692" s="32"/>
    </row>
    <row r="693" customFormat="false" ht="15" hidden="false" customHeight="false" outlineLevel="0" collapsed="false">
      <c r="A693" s="32"/>
      <c r="B693" s="32"/>
      <c r="C693" s="32"/>
      <c r="D693" s="32"/>
      <c r="E693" s="32"/>
      <c r="F693" s="32"/>
      <c r="G693" s="32"/>
      <c r="H693" s="28" t="str">
        <f aca="false">IF(COUNTA(C693:G693)=0,"",IF(AND(C693="Yes",D693="Yes",E693="Yes",F693="Yes",G693="No"),"Yes","No"))</f>
        <v/>
      </c>
      <c r="I693" s="32"/>
      <c r="J693" s="32"/>
    </row>
    <row r="694" customFormat="false" ht="15" hidden="false" customHeight="false" outlineLevel="0" collapsed="false">
      <c r="A694" s="32"/>
      <c r="B694" s="32"/>
      <c r="C694" s="32"/>
      <c r="D694" s="32"/>
      <c r="E694" s="32"/>
      <c r="F694" s="32"/>
      <c r="G694" s="32"/>
      <c r="H694" s="28" t="str">
        <f aca="false">IF(COUNTA(C694:G694)=0,"",IF(AND(C694="Yes",D694="Yes",E694="Yes",F694="Yes",G694="No"),"Yes","No"))</f>
        <v/>
      </c>
      <c r="I694" s="32"/>
      <c r="J694" s="32"/>
    </row>
    <row r="695" customFormat="false" ht="15" hidden="false" customHeight="false" outlineLevel="0" collapsed="false">
      <c r="A695" s="32"/>
      <c r="B695" s="32"/>
      <c r="C695" s="32"/>
      <c r="D695" s="32"/>
      <c r="E695" s="32"/>
      <c r="F695" s="32"/>
      <c r="G695" s="32"/>
      <c r="H695" s="28" t="str">
        <f aca="false">IF(COUNTA(C695:G695)=0,"",IF(AND(C695="Yes",D695="Yes",E695="Yes",F695="Yes",G695="No"),"Yes","No"))</f>
        <v/>
      </c>
      <c r="I695" s="32"/>
      <c r="J695" s="32"/>
    </row>
    <row r="696" customFormat="false" ht="15" hidden="false" customHeight="false" outlineLevel="0" collapsed="false">
      <c r="A696" s="32"/>
      <c r="B696" s="32"/>
      <c r="C696" s="32"/>
      <c r="D696" s="32"/>
      <c r="E696" s="32"/>
      <c r="F696" s="32"/>
      <c r="G696" s="32"/>
      <c r="H696" s="28" t="str">
        <f aca="false">IF(COUNTA(C696:G696)=0,"",IF(AND(C696="Yes",D696="Yes",E696="Yes",F696="Yes",G696="No"),"Yes","No"))</f>
        <v/>
      </c>
      <c r="I696" s="32"/>
      <c r="J696" s="32"/>
    </row>
    <row r="697" customFormat="false" ht="15" hidden="false" customHeight="false" outlineLevel="0" collapsed="false">
      <c r="A697" s="32"/>
      <c r="B697" s="32"/>
      <c r="C697" s="32"/>
      <c r="D697" s="32"/>
      <c r="E697" s="32"/>
      <c r="F697" s="32"/>
      <c r="G697" s="32"/>
      <c r="H697" s="28" t="str">
        <f aca="false">IF(COUNTA(C697:G697)=0,"",IF(AND(C697="Yes",D697="Yes",E697="Yes",F697="Yes",G697="No"),"Yes","No"))</f>
        <v/>
      </c>
      <c r="I697" s="32"/>
      <c r="J697" s="32"/>
    </row>
    <row r="698" customFormat="false" ht="15" hidden="false" customHeight="false" outlineLevel="0" collapsed="false">
      <c r="A698" s="32"/>
      <c r="B698" s="32"/>
      <c r="C698" s="32"/>
      <c r="D698" s="32"/>
      <c r="E698" s="32"/>
      <c r="F698" s="32"/>
      <c r="G698" s="32"/>
      <c r="H698" s="28" t="str">
        <f aca="false">IF(COUNTA(C698:G698)=0,"",IF(AND(C698="Yes",D698="Yes",E698="Yes",F698="Yes",G698="No"),"Yes","No"))</f>
        <v/>
      </c>
      <c r="I698" s="32"/>
      <c r="J698" s="32"/>
    </row>
    <row r="699" customFormat="false" ht="15" hidden="false" customHeight="false" outlineLevel="0" collapsed="false">
      <c r="A699" s="32"/>
      <c r="B699" s="32"/>
      <c r="C699" s="32"/>
      <c r="D699" s="32"/>
      <c r="E699" s="32"/>
      <c r="F699" s="32"/>
      <c r="G699" s="32"/>
      <c r="H699" s="28" t="str">
        <f aca="false">IF(COUNTA(C699:G699)=0,"",IF(AND(C699="Yes",D699="Yes",E699="Yes",F699="Yes",G699="No"),"Yes","No"))</f>
        <v/>
      </c>
      <c r="I699" s="32"/>
      <c r="J699" s="32"/>
    </row>
    <row r="700" customFormat="false" ht="15" hidden="false" customHeight="false" outlineLevel="0" collapsed="false">
      <c r="A700" s="32"/>
      <c r="B700" s="32"/>
      <c r="C700" s="32"/>
      <c r="D700" s="32"/>
      <c r="E700" s="32"/>
      <c r="F700" s="32"/>
      <c r="G700" s="32"/>
      <c r="H700" s="28" t="str">
        <f aca="false">IF(COUNTA(C700:G700)=0,"",IF(AND(C700="Yes",D700="Yes",E700="Yes",F700="Yes",G700="No"),"Yes","No"))</f>
        <v/>
      </c>
      <c r="I700" s="32"/>
      <c r="J700" s="32"/>
    </row>
    <row r="701" customFormat="false" ht="15" hidden="false" customHeight="false" outlineLevel="0" collapsed="false">
      <c r="A701" s="32"/>
      <c r="B701" s="32"/>
      <c r="C701" s="32"/>
      <c r="D701" s="32"/>
      <c r="E701" s="32"/>
      <c r="F701" s="32"/>
      <c r="G701" s="32"/>
      <c r="H701" s="28" t="str">
        <f aca="false">IF(COUNTA(C701:G701)=0,"",IF(AND(C701="Yes",D701="Yes",E701="Yes",F701="Yes",G701="No"),"Yes","No"))</f>
        <v/>
      </c>
      <c r="I701" s="32"/>
      <c r="J701" s="32"/>
    </row>
    <row r="702" customFormat="false" ht="15" hidden="false" customHeight="false" outlineLevel="0" collapsed="false">
      <c r="A702" s="32"/>
      <c r="B702" s="32"/>
      <c r="C702" s="32"/>
      <c r="D702" s="32"/>
      <c r="E702" s="32"/>
      <c r="F702" s="32"/>
      <c r="G702" s="32"/>
      <c r="H702" s="28" t="str">
        <f aca="false">IF(COUNTA(C702:G702)=0,"",IF(AND(C702="Yes",D702="Yes",E702="Yes",F702="Yes",G702="No"),"Yes","No"))</f>
        <v/>
      </c>
      <c r="I702" s="32"/>
      <c r="J702" s="32"/>
    </row>
    <row r="703" customFormat="false" ht="15" hidden="false" customHeight="false" outlineLevel="0" collapsed="false">
      <c r="A703" s="32"/>
      <c r="B703" s="32"/>
      <c r="C703" s="32"/>
      <c r="D703" s="32"/>
      <c r="E703" s="32"/>
      <c r="F703" s="32"/>
      <c r="G703" s="32"/>
      <c r="H703" s="28" t="str">
        <f aca="false">IF(COUNTA(C703:G703)=0,"",IF(AND(C703="Yes",D703="Yes",E703="Yes",F703="Yes",G703="No"),"Yes","No"))</f>
        <v/>
      </c>
      <c r="I703" s="32"/>
      <c r="J703" s="32"/>
    </row>
    <row r="704" customFormat="false" ht="15" hidden="false" customHeight="false" outlineLevel="0" collapsed="false">
      <c r="A704" s="32"/>
      <c r="B704" s="32"/>
      <c r="C704" s="32"/>
      <c r="D704" s="32"/>
      <c r="E704" s="32"/>
      <c r="F704" s="32"/>
      <c r="G704" s="32"/>
      <c r="H704" s="28" t="str">
        <f aca="false">IF(COUNTA(C704:G704)=0,"",IF(AND(C704="Yes",D704="Yes",E704="Yes",F704="Yes",G704="No"),"Yes","No"))</f>
        <v/>
      </c>
      <c r="I704" s="32"/>
      <c r="J704" s="32"/>
    </row>
    <row r="705" customFormat="false" ht="15" hidden="false" customHeight="false" outlineLevel="0" collapsed="false">
      <c r="A705" s="32"/>
      <c r="B705" s="32"/>
      <c r="C705" s="32"/>
      <c r="D705" s="32"/>
      <c r="E705" s="32"/>
      <c r="F705" s="32"/>
      <c r="G705" s="32"/>
      <c r="H705" s="28" t="str">
        <f aca="false">IF(COUNTA(C705:G705)=0,"",IF(AND(C705="Yes",D705="Yes",E705="Yes",F705="Yes",G705="No"),"Yes","No"))</f>
        <v/>
      </c>
      <c r="I705" s="32"/>
      <c r="J705" s="32"/>
    </row>
    <row r="706" customFormat="false" ht="15" hidden="false" customHeight="false" outlineLevel="0" collapsed="false">
      <c r="A706" s="32"/>
      <c r="B706" s="32"/>
      <c r="C706" s="32"/>
      <c r="D706" s="32"/>
      <c r="E706" s="32"/>
      <c r="F706" s="32"/>
      <c r="G706" s="32"/>
      <c r="H706" s="28" t="str">
        <f aca="false">IF(COUNTA(C706:G706)=0,"",IF(AND(C706="Yes",D706="Yes",E706="Yes",F706="Yes",G706="No"),"Yes","No"))</f>
        <v/>
      </c>
      <c r="I706" s="32"/>
      <c r="J706" s="32"/>
    </row>
    <row r="707" customFormat="false" ht="15" hidden="false" customHeight="false" outlineLevel="0" collapsed="false">
      <c r="A707" s="32"/>
      <c r="B707" s="32"/>
      <c r="C707" s="32"/>
      <c r="D707" s="32"/>
      <c r="E707" s="32"/>
      <c r="F707" s="32"/>
      <c r="G707" s="32"/>
      <c r="H707" s="28" t="str">
        <f aca="false">IF(COUNTA(C707:G707)=0,"",IF(AND(C707="Yes",D707="Yes",E707="Yes",F707="Yes",G707="No"),"Yes","No"))</f>
        <v/>
      </c>
      <c r="I707" s="32"/>
      <c r="J707" s="32"/>
    </row>
    <row r="708" customFormat="false" ht="15" hidden="false" customHeight="false" outlineLevel="0" collapsed="false">
      <c r="A708" s="32"/>
      <c r="B708" s="32"/>
      <c r="C708" s="32"/>
      <c r="D708" s="32"/>
      <c r="E708" s="32"/>
      <c r="F708" s="32"/>
      <c r="G708" s="32"/>
      <c r="H708" s="28" t="str">
        <f aca="false">IF(COUNTA(C708:G708)=0,"",IF(AND(C708="Yes",D708="Yes",E708="Yes",F708="Yes",G708="No"),"Yes","No"))</f>
        <v/>
      </c>
      <c r="I708" s="32"/>
      <c r="J708" s="32"/>
    </row>
    <row r="709" customFormat="false" ht="15" hidden="false" customHeight="false" outlineLevel="0" collapsed="false">
      <c r="A709" s="32"/>
      <c r="B709" s="32"/>
      <c r="C709" s="32"/>
      <c r="D709" s="32"/>
      <c r="E709" s="32"/>
      <c r="F709" s="32"/>
      <c r="G709" s="32"/>
      <c r="H709" s="28" t="str">
        <f aca="false">IF(COUNTA(C709:G709)=0,"",IF(AND(C709="Yes",D709="Yes",E709="Yes",F709="Yes",G709="No"),"Yes","No"))</f>
        <v/>
      </c>
      <c r="I709" s="32"/>
      <c r="J709" s="32"/>
    </row>
    <row r="710" customFormat="false" ht="15" hidden="false" customHeight="false" outlineLevel="0" collapsed="false">
      <c r="A710" s="32"/>
      <c r="B710" s="32"/>
      <c r="C710" s="32"/>
      <c r="D710" s="32"/>
      <c r="E710" s="32"/>
      <c r="F710" s="32"/>
      <c r="G710" s="32"/>
      <c r="H710" s="28" t="str">
        <f aca="false">IF(COUNTA(C710:G710)=0,"",IF(AND(C710="Yes",D710="Yes",E710="Yes",F710="Yes",G710="No"),"Yes","No"))</f>
        <v/>
      </c>
      <c r="I710" s="32"/>
      <c r="J710" s="32"/>
    </row>
    <row r="711" customFormat="false" ht="15" hidden="false" customHeight="false" outlineLevel="0" collapsed="false">
      <c r="A711" s="32"/>
      <c r="B711" s="32"/>
      <c r="C711" s="32"/>
      <c r="D711" s="32"/>
      <c r="E711" s="32"/>
      <c r="F711" s="32"/>
      <c r="G711" s="32"/>
      <c r="H711" s="28" t="str">
        <f aca="false">IF(COUNTA(C711:G711)=0,"",IF(AND(C711="Yes",D711="Yes",E711="Yes",F711="Yes",G711="No"),"Yes","No"))</f>
        <v/>
      </c>
      <c r="I711" s="32"/>
      <c r="J711" s="32"/>
    </row>
    <row r="712" customFormat="false" ht="15" hidden="false" customHeight="false" outlineLevel="0" collapsed="false">
      <c r="A712" s="32"/>
      <c r="B712" s="32"/>
      <c r="C712" s="32"/>
      <c r="D712" s="32"/>
      <c r="E712" s="32"/>
      <c r="F712" s="32"/>
      <c r="G712" s="32"/>
      <c r="H712" s="28" t="str">
        <f aca="false">IF(COUNTA(C712:G712)=0,"",IF(AND(C712="Yes",D712="Yes",E712="Yes",F712="Yes",G712="No"),"Yes","No"))</f>
        <v/>
      </c>
      <c r="I712" s="32"/>
      <c r="J712" s="32"/>
    </row>
    <row r="713" customFormat="false" ht="15" hidden="false" customHeight="false" outlineLevel="0" collapsed="false">
      <c r="A713" s="32"/>
      <c r="B713" s="32"/>
      <c r="C713" s="32"/>
      <c r="D713" s="32"/>
      <c r="E713" s="32"/>
      <c r="F713" s="32"/>
      <c r="G713" s="32"/>
      <c r="H713" s="28" t="str">
        <f aca="false">IF(COUNTA(C713:G713)=0,"",IF(AND(C713="Yes",D713="Yes",E713="Yes",F713="Yes",G713="No"),"Yes","No"))</f>
        <v/>
      </c>
      <c r="I713" s="32"/>
      <c r="J713" s="32"/>
    </row>
    <row r="714" customFormat="false" ht="15" hidden="false" customHeight="false" outlineLevel="0" collapsed="false">
      <c r="A714" s="32"/>
      <c r="B714" s="32"/>
      <c r="C714" s="32"/>
      <c r="D714" s="32"/>
      <c r="E714" s="32"/>
      <c r="F714" s="32"/>
      <c r="G714" s="32"/>
      <c r="H714" s="28" t="str">
        <f aca="false">IF(COUNTA(C714:G714)=0,"",IF(AND(C714="Yes",D714="Yes",E714="Yes",F714="Yes",G714="No"),"Yes","No"))</f>
        <v/>
      </c>
      <c r="I714" s="32"/>
      <c r="J714" s="32"/>
    </row>
    <row r="715" customFormat="false" ht="15" hidden="false" customHeight="false" outlineLevel="0" collapsed="false">
      <c r="A715" s="32"/>
      <c r="B715" s="32"/>
      <c r="C715" s="32"/>
      <c r="D715" s="32"/>
      <c r="E715" s="32"/>
      <c r="F715" s="32"/>
      <c r="G715" s="32"/>
      <c r="H715" s="28" t="str">
        <f aca="false">IF(COUNTA(C715:G715)=0,"",IF(AND(C715="Yes",D715="Yes",E715="Yes",F715="Yes",G715="No"),"Yes","No"))</f>
        <v/>
      </c>
      <c r="I715" s="32"/>
      <c r="J715" s="32"/>
    </row>
    <row r="716" customFormat="false" ht="15" hidden="false" customHeight="false" outlineLevel="0" collapsed="false">
      <c r="A716" s="32"/>
      <c r="B716" s="32"/>
      <c r="C716" s="32"/>
      <c r="D716" s="32"/>
      <c r="E716" s="32"/>
      <c r="F716" s="32"/>
      <c r="G716" s="32"/>
      <c r="H716" s="28" t="str">
        <f aca="false">IF(COUNTA(C716:G716)=0,"",IF(AND(C716="Yes",D716="Yes",E716="Yes",F716="Yes",G716="No"),"Yes","No"))</f>
        <v/>
      </c>
      <c r="I716" s="32"/>
      <c r="J716" s="32"/>
    </row>
    <row r="717" customFormat="false" ht="15" hidden="false" customHeight="false" outlineLevel="0" collapsed="false">
      <c r="A717" s="32"/>
      <c r="B717" s="32"/>
      <c r="C717" s="32"/>
      <c r="D717" s="32"/>
      <c r="E717" s="32"/>
      <c r="F717" s="32"/>
      <c r="G717" s="32"/>
      <c r="H717" s="28" t="str">
        <f aca="false">IF(COUNTA(C717:G717)=0,"",IF(AND(C717="Yes",D717="Yes",E717="Yes",F717="Yes",G717="No"),"Yes","No"))</f>
        <v/>
      </c>
      <c r="I717" s="32"/>
      <c r="J717" s="32"/>
    </row>
    <row r="718" customFormat="false" ht="15" hidden="false" customHeight="false" outlineLevel="0" collapsed="false">
      <c r="A718" s="32"/>
      <c r="B718" s="32"/>
      <c r="C718" s="32"/>
      <c r="D718" s="32"/>
      <c r="E718" s="32"/>
      <c r="F718" s="32"/>
      <c r="G718" s="32"/>
      <c r="H718" s="28" t="str">
        <f aca="false">IF(COUNTA(C718:G718)=0,"",IF(AND(C718="Yes",D718="Yes",E718="Yes",F718="Yes",G718="No"),"Yes","No"))</f>
        <v/>
      </c>
      <c r="I718" s="32"/>
      <c r="J718" s="32"/>
    </row>
    <row r="719" customFormat="false" ht="15" hidden="false" customHeight="false" outlineLevel="0" collapsed="false">
      <c r="A719" s="32"/>
      <c r="B719" s="32"/>
      <c r="C719" s="32"/>
      <c r="D719" s="32"/>
      <c r="E719" s="32"/>
      <c r="F719" s="32"/>
      <c r="G719" s="32"/>
      <c r="H719" s="28" t="str">
        <f aca="false">IF(COUNTA(C719:G719)=0,"",IF(AND(C719="Yes",D719="Yes",E719="Yes",F719="Yes",G719="No"),"Yes","No"))</f>
        <v/>
      </c>
      <c r="I719" s="32"/>
      <c r="J719" s="32"/>
    </row>
    <row r="720" customFormat="false" ht="15" hidden="false" customHeight="false" outlineLevel="0" collapsed="false">
      <c r="A720" s="32"/>
      <c r="B720" s="32"/>
      <c r="C720" s="32"/>
      <c r="D720" s="32"/>
      <c r="E720" s="32"/>
      <c r="F720" s="32"/>
      <c r="G720" s="32"/>
      <c r="H720" s="28" t="str">
        <f aca="false">IF(COUNTA(C720:G720)=0,"",IF(AND(C720="Yes",D720="Yes",E720="Yes",F720="Yes",G720="No"),"Yes","No"))</f>
        <v/>
      </c>
      <c r="I720" s="32"/>
      <c r="J720" s="32"/>
    </row>
    <row r="721" customFormat="false" ht="15" hidden="false" customHeight="false" outlineLevel="0" collapsed="false">
      <c r="A721" s="32"/>
      <c r="B721" s="32"/>
      <c r="C721" s="32"/>
      <c r="D721" s="32"/>
      <c r="E721" s="32"/>
      <c r="F721" s="32"/>
      <c r="G721" s="32"/>
      <c r="H721" s="28" t="str">
        <f aca="false">IF(COUNTA(C721:G721)=0,"",IF(AND(C721="Yes",D721="Yes",E721="Yes",F721="Yes",G721="No"),"Yes","No"))</f>
        <v/>
      </c>
      <c r="I721" s="32"/>
      <c r="J721" s="32"/>
    </row>
    <row r="722" customFormat="false" ht="15" hidden="false" customHeight="false" outlineLevel="0" collapsed="false">
      <c r="A722" s="32"/>
      <c r="B722" s="32"/>
      <c r="C722" s="32"/>
      <c r="D722" s="32"/>
      <c r="E722" s="32"/>
      <c r="F722" s="32"/>
      <c r="G722" s="32"/>
      <c r="H722" s="28" t="str">
        <f aca="false">IF(COUNTA(C722:G722)=0,"",IF(AND(C722="Yes",D722="Yes",E722="Yes",F722="Yes",G722="No"),"Yes","No"))</f>
        <v/>
      </c>
      <c r="I722" s="32"/>
      <c r="J722" s="32"/>
    </row>
    <row r="723" customFormat="false" ht="15" hidden="false" customHeight="false" outlineLevel="0" collapsed="false">
      <c r="A723" s="32"/>
      <c r="B723" s="32"/>
      <c r="C723" s="32"/>
      <c r="D723" s="32"/>
      <c r="E723" s="32"/>
      <c r="F723" s="32"/>
      <c r="G723" s="32"/>
      <c r="H723" s="28" t="str">
        <f aca="false">IF(COUNTA(C723:G723)=0,"",IF(AND(C723="Yes",D723="Yes",E723="Yes",F723="Yes",G723="No"),"Yes","No"))</f>
        <v/>
      </c>
      <c r="I723" s="32"/>
      <c r="J723" s="32"/>
    </row>
    <row r="724" customFormat="false" ht="15" hidden="false" customHeight="false" outlineLevel="0" collapsed="false">
      <c r="A724" s="32"/>
      <c r="B724" s="32"/>
      <c r="C724" s="32"/>
      <c r="D724" s="32"/>
      <c r="E724" s="32"/>
      <c r="F724" s="32"/>
      <c r="G724" s="32"/>
      <c r="H724" s="28" t="str">
        <f aca="false">IF(COUNTA(C724:G724)=0,"",IF(AND(C724="Yes",D724="Yes",E724="Yes",F724="Yes",G724="No"),"Yes","No"))</f>
        <v/>
      </c>
      <c r="I724" s="32"/>
      <c r="J724" s="32"/>
    </row>
    <row r="725" customFormat="false" ht="15" hidden="false" customHeight="false" outlineLevel="0" collapsed="false">
      <c r="A725" s="32"/>
      <c r="B725" s="32"/>
      <c r="C725" s="32"/>
      <c r="D725" s="32"/>
      <c r="E725" s="32"/>
      <c r="F725" s="32"/>
      <c r="G725" s="32"/>
      <c r="H725" s="28" t="str">
        <f aca="false">IF(COUNTA(C725:G725)=0,"",IF(AND(C725="Yes",D725="Yes",E725="Yes",F725="Yes",G725="No"),"Yes","No"))</f>
        <v/>
      </c>
      <c r="I725" s="32"/>
      <c r="J725" s="32"/>
    </row>
    <row r="726" customFormat="false" ht="15" hidden="false" customHeight="false" outlineLevel="0" collapsed="false">
      <c r="A726" s="32"/>
      <c r="B726" s="32"/>
      <c r="C726" s="32"/>
      <c r="D726" s="32"/>
      <c r="E726" s="32"/>
      <c r="F726" s="32"/>
      <c r="G726" s="32"/>
      <c r="H726" s="28" t="str">
        <f aca="false">IF(COUNTA(C726:G726)=0,"",IF(AND(C726="Yes",D726="Yes",E726="Yes",F726="Yes",G726="No"),"Yes","No"))</f>
        <v/>
      </c>
      <c r="I726" s="32"/>
      <c r="J726" s="32"/>
    </row>
    <row r="727" customFormat="false" ht="15" hidden="false" customHeight="false" outlineLevel="0" collapsed="false">
      <c r="A727" s="32"/>
      <c r="B727" s="32"/>
      <c r="C727" s="32"/>
      <c r="D727" s="32"/>
      <c r="E727" s="32"/>
      <c r="F727" s="32"/>
      <c r="G727" s="32"/>
      <c r="H727" s="28" t="str">
        <f aca="false">IF(COUNTA(C727:G727)=0,"",IF(AND(C727="Yes",D727="Yes",E727="Yes",F727="Yes",G727="No"),"Yes","No"))</f>
        <v/>
      </c>
      <c r="I727" s="32"/>
      <c r="J727" s="32"/>
    </row>
    <row r="728" customFormat="false" ht="15" hidden="false" customHeight="false" outlineLevel="0" collapsed="false">
      <c r="A728" s="32"/>
      <c r="B728" s="32"/>
      <c r="C728" s="32"/>
      <c r="D728" s="32"/>
      <c r="E728" s="32"/>
      <c r="F728" s="32"/>
      <c r="G728" s="32"/>
      <c r="H728" s="28" t="str">
        <f aca="false">IF(COUNTA(C728:G728)=0,"",IF(AND(C728="Yes",D728="Yes",E728="Yes",F728="Yes",G728="No"),"Yes","No"))</f>
        <v/>
      </c>
      <c r="I728" s="32"/>
      <c r="J728" s="32"/>
    </row>
    <row r="729" customFormat="false" ht="15" hidden="false" customHeight="false" outlineLevel="0" collapsed="false">
      <c r="A729" s="32"/>
      <c r="B729" s="32"/>
      <c r="C729" s="32"/>
      <c r="D729" s="32"/>
      <c r="E729" s="32"/>
      <c r="F729" s="32"/>
      <c r="G729" s="32"/>
      <c r="H729" s="28" t="str">
        <f aca="false">IF(COUNTA(C729:G729)=0,"",IF(AND(C729="Yes",D729="Yes",E729="Yes",F729="Yes",G729="No"),"Yes","No"))</f>
        <v/>
      </c>
      <c r="I729" s="32"/>
      <c r="J729" s="32"/>
    </row>
    <row r="730" customFormat="false" ht="15" hidden="false" customHeight="false" outlineLevel="0" collapsed="false">
      <c r="A730" s="32"/>
      <c r="B730" s="32"/>
      <c r="C730" s="32"/>
      <c r="D730" s="32"/>
      <c r="E730" s="32"/>
      <c r="F730" s="32"/>
      <c r="G730" s="32"/>
      <c r="H730" s="28" t="str">
        <f aca="false">IF(COUNTA(C730:G730)=0,"",IF(AND(C730="Yes",D730="Yes",E730="Yes",F730="Yes",G730="No"),"Yes","No"))</f>
        <v/>
      </c>
      <c r="I730" s="32"/>
      <c r="J730" s="32"/>
    </row>
    <row r="731" customFormat="false" ht="15" hidden="false" customHeight="false" outlineLevel="0" collapsed="false">
      <c r="A731" s="32"/>
      <c r="B731" s="32"/>
      <c r="C731" s="32"/>
      <c r="D731" s="32"/>
      <c r="E731" s="32"/>
      <c r="F731" s="32"/>
      <c r="G731" s="32"/>
      <c r="H731" s="28" t="str">
        <f aca="false">IF(COUNTA(C731:G731)=0,"",IF(AND(C731="Yes",D731="Yes",E731="Yes",F731="Yes",G731="No"),"Yes","No"))</f>
        <v/>
      </c>
      <c r="I731" s="32"/>
      <c r="J731" s="32"/>
    </row>
    <row r="732" customFormat="false" ht="15" hidden="false" customHeight="false" outlineLevel="0" collapsed="false">
      <c r="A732" s="32"/>
      <c r="B732" s="32"/>
      <c r="C732" s="32"/>
      <c r="D732" s="32"/>
      <c r="E732" s="32"/>
      <c r="F732" s="32"/>
      <c r="G732" s="32"/>
      <c r="H732" s="28" t="str">
        <f aca="false">IF(COUNTA(C732:G732)=0,"",IF(AND(C732="Yes",D732="Yes",E732="Yes",F732="Yes",G732="No"),"Yes","No"))</f>
        <v/>
      </c>
      <c r="I732" s="32"/>
      <c r="J732" s="32"/>
    </row>
    <row r="733" customFormat="false" ht="15" hidden="false" customHeight="false" outlineLevel="0" collapsed="false">
      <c r="A733" s="32"/>
      <c r="B733" s="32"/>
      <c r="C733" s="32"/>
      <c r="D733" s="32"/>
      <c r="E733" s="32"/>
      <c r="F733" s="32"/>
      <c r="G733" s="32"/>
      <c r="H733" s="28" t="str">
        <f aca="false">IF(COUNTA(C733:G733)=0,"",IF(AND(C733="Yes",D733="Yes",E733="Yes",F733="Yes",G733="No"),"Yes","No"))</f>
        <v/>
      </c>
      <c r="I733" s="32"/>
      <c r="J733" s="32"/>
    </row>
    <row r="734" customFormat="false" ht="15" hidden="false" customHeight="false" outlineLevel="0" collapsed="false">
      <c r="A734" s="32"/>
      <c r="B734" s="32"/>
      <c r="C734" s="32"/>
      <c r="D734" s="32"/>
      <c r="E734" s="32"/>
      <c r="F734" s="32"/>
      <c r="G734" s="32"/>
      <c r="H734" s="28" t="str">
        <f aca="false">IF(COUNTA(C734:G734)=0,"",IF(AND(C734="Yes",D734="Yes",E734="Yes",F734="Yes",G734="No"),"Yes","No"))</f>
        <v/>
      </c>
      <c r="I734" s="32"/>
      <c r="J734" s="32"/>
    </row>
    <row r="735" customFormat="false" ht="15" hidden="false" customHeight="false" outlineLevel="0" collapsed="false">
      <c r="A735" s="32"/>
      <c r="B735" s="32"/>
      <c r="C735" s="32"/>
      <c r="D735" s="32"/>
      <c r="E735" s="32"/>
      <c r="F735" s="32"/>
      <c r="G735" s="32"/>
      <c r="H735" s="28" t="str">
        <f aca="false">IF(COUNTA(C735:G735)=0,"",IF(AND(C735="Yes",D735="Yes",E735="Yes",F735="Yes",G735="No"),"Yes","No"))</f>
        <v/>
      </c>
      <c r="I735" s="32"/>
      <c r="J735" s="32"/>
    </row>
    <row r="736" customFormat="false" ht="15" hidden="false" customHeight="false" outlineLevel="0" collapsed="false">
      <c r="A736" s="32"/>
      <c r="B736" s="32"/>
      <c r="C736" s="32"/>
      <c r="D736" s="32"/>
      <c r="E736" s="32"/>
      <c r="F736" s="32"/>
      <c r="G736" s="32"/>
      <c r="H736" s="28" t="str">
        <f aca="false">IF(COUNTA(C736:G736)=0,"",IF(AND(C736="Yes",D736="Yes",E736="Yes",F736="Yes",G736="No"),"Yes","No"))</f>
        <v/>
      </c>
      <c r="I736" s="32"/>
      <c r="J736" s="32"/>
    </row>
    <row r="737" customFormat="false" ht="15" hidden="false" customHeight="false" outlineLevel="0" collapsed="false">
      <c r="A737" s="32"/>
      <c r="B737" s="32"/>
      <c r="C737" s="32"/>
      <c r="D737" s="32"/>
      <c r="E737" s="32"/>
      <c r="F737" s="32"/>
      <c r="G737" s="32"/>
      <c r="H737" s="28" t="str">
        <f aca="false">IF(COUNTA(C737:G737)=0,"",IF(AND(C737="Yes",D737="Yes",E737="Yes",F737="Yes",G737="No"),"Yes","No"))</f>
        <v/>
      </c>
      <c r="I737" s="32"/>
      <c r="J737" s="32"/>
    </row>
    <row r="738" customFormat="false" ht="15" hidden="false" customHeight="false" outlineLevel="0" collapsed="false">
      <c r="A738" s="32"/>
      <c r="B738" s="32"/>
      <c r="C738" s="32"/>
      <c r="D738" s="32"/>
      <c r="E738" s="32"/>
      <c r="F738" s="32"/>
      <c r="G738" s="32"/>
      <c r="H738" s="28" t="str">
        <f aca="false">IF(COUNTA(C738:G738)=0,"",IF(AND(C738="Yes",D738="Yes",E738="Yes",F738="Yes",G738="No"),"Yes","No"))</f>
        <v/>
      </c>
      <c r="I738" s="32"/>
      <c r="J738" s="32"/>
    </row>
    <row r="739" customFormat="false" ht="15" hidden="false" customHeight="false" outlineLevel="0" collapsed="false">
      <c r="A739" s="32"/>
      <c r="B739" s="32"/>
      <c r="C739" s="32"/>
      <c r="D739" s="32"/>
      <c r="E739" s="32"/>
      <c r="F739" s="32"/>
      <c r="G739" s="32"/>
      <c r="H739" s="28" t="str">
        <f aca="false">IF(COUNTA(C739:G739)=0,"",IF(AND(C739="Yes",D739="Yes",E739="Yes",F739="Yes",G739="No"),"Yes","No"))</f>
        <v/>
      </c>
      <c r="I739" s="32"/>
      <c r="J739" s="32"/>
    </row>
    <row r="740" customFormat="false" ht="15" hidden="false" customHeight="false" outlineLevel="0" collapsed="false">
      <c r="A740" s="32"/>
      <c r="B740" s="32"/>
      <c r="C740" s="32"/>
      <c r="D740" s="32"/>
      <c r="E740" s="32"/>
      <c r="F740" s="32"/>
      <c r="G740" s="32"/>
      <c r="H740" s="28" t="str">
        <f aca="false">IF(COUNTA(C740:G740)=0,"",IF(AND(C740="Yes",D740="Yes",E740="Yes",F740="Yes",G740="No"),"Yes","No"))</f>
        <v/>
      </c>
      <c r="I740" s="32"/>
      <c r="J740" s="32"/>
    </row>
    <row r="741" customFormat="false" ht="15" hidden="false" customHeight="false" outlineLevel="0" collapsed="false">
      <c r="A741" s="32"/>
      <c r="B741" s="32"/>
      <c r="C741" s="32"/>
      <c r="D741" s="32"/>
      <c r="E741" s="32"/>
      <c r="F741" s="32"/>
      <c r="G741" s="32"/>
      <c r="H741" s="28" t="str">
        <f aca="false">IF(COUNTA(C741:G741)=0,"",IF(AND(C741="Yes",D741="Yes",E741="Yes",F741="Yes",G741="No"),"Yes","No"))</f>
        <v/>
      </c>
      <c r="I741" s="32"/>
      <c r="J741" s="32"/>
    </row>
    <row r="742" customFormat="false" ht="15" hidden="false" customHeight="false" outlineLevel="0" collapsed="false">
      <c r="A742" s="32"/>
      <c r="B742" s="32"/>
      <c r="C742" s="32"/>
      <c r="D742" s="32"/>
      <c r="E742" s="32"/>
      <c r="F742" s="32"/>
      <c r="G742" s="32"/>
      <c r="H742" s="28" t="str">
        <f aca="false">IF(COUNTA(C742:G742)=0,"",IF(AND(C742="Yes",D742="Yes",E742="Yes",F742="Yes",G742="No"),"Yes","No"))</f>
        <v/>
      </c>
      <c r="I742" s="32"/>
      <c r="J742" s="32"/>
    </row>
    <row r="743" customFormat="false" ht="15" hidden="false" customHeight="false" outlineLevel="0" collapsed="false">
      <c r="A743" s="32"/>
      <c r="B743" s="32"/>
      <c r="C743" s="32"/>
      <c r="D743" s="32"/>
      <c r="E743" s="32"/>
      <c r="F743" s="32"/>
      <c r="G743" s="32"/>
      <c r="H743" s="28" t="str">
        <f aca="false">IF(COUNTA(C743:G743)=0,"",IF(AND(C743="Yes",D743="Yes",E743="Yes",F743="Yes",G743="No"),"Yes","No"))</f>
        <v/>
      </c>
      <c r="I743" s="32"/>
      <c r="J743" s="32"/>
    </row>
    <row r="744" customFormat="false" ht="15" hidden="false" customHeight="false" outlineLevel="0" collapsed="false">
      <c r="A744" s="32"/>
      <c r="B744" s="32"/>
      <c r="C744" s="32"/>
      <c r="D744" s="32"/>
      <c r="E744" s="32"/>
      <c r="F744" s="32"/>
      <c r="G744" s="32"/>
      <c r="H744" s="28" t="str">
        <f aca="false">IF(COUNTA(C744:G744)=0,"",IF(AND(C744="Yes",D744="Yes",E744="Yes",F744="Yes",G744="No"),"Yes","No"))</f>
        <v/>
      </c>
      <c r="I744" s="32"/>
      <c r="J744" s="32"/>
    </row>
    <row r="745" customFormat="false" ht="15" hidden="false" customHeight="false" outlineLevel="0" collapsed="false">
      <c r="A745" s="32"/>
      <c r="B745" s="32"/>
      <c r="C745" s="32"/>
      <c r="D745" s="32"/>
      <c r="E745" s="32"/>
      <c r="F745" s="32"/>
      <c r="G745" s="32"/>
      <c r="H745" s="28" t="str">
        <f aca="false">IF(COUNTA(C745:G745)=0,"",IF(AND(C745="Yes",D745="Yes",E745="Yes",F745="Yes",G745="No"),"Yes","No"))</f>
        <v/>
      </c>
      <c r="I745" s="32"/>
      <c r="J745" s="32"/>
    </row>
    <row r="746" customFormat="false" ht="15" hidden="false" customHeight="false" outlineLevel="0" collapsed="false">
      <c r="A746" s="32"/>
      <c r="B746" s="32"/>
      <c r="C746" s="32"/>
      <c r="D746" s="32"/>
      <c r="E746" s="32"/>
      <c r="F746" s="32"/>
      <c r="G746" s="32"/>
      <c r="H746" s="28" t="str">
        <f aca="false">IF(COUNTA(C746:G746)=0,"",IF(AND(C746="Yes",D746="Yes",E746="Yes",F746="Yes",G746="No"),"Yes","No"))</f>
        <v/>
      </c>
      <c r="I746" s="32"/>
      <c r="J746" s="32"/>
    </row>
    <row r="747" customFormat="false" ht="15" hidden="false" customHeight="false" outlineLevel="0" collapsed="false">
      <c r="A747" s="32"/>
      <c r="B747" s="32"/>
      <c r="C747" s="32"/>
      <c r="D747" s="32"/>
      <c r="E747" s="32"/>
      <c r="F747" s="32"/>
      <c r="G747" s="32"/>
      <c r="H747" s="28" t="str">
        <f aca="false">IF(COUNTA(C747:G747)=0,"",IF(AND(C747="Yes",D747="Yes",E747="Yes",F747="Yes",G747="No"),"Yes","No"))</f>
        <v/>
      </c>
      <c r="I747" s="32"/>
      <c r="J747" s="32"/>
    </row>
    <row r="748" customFormat="false" ht="15" hidden="false" customHeight="false" outlineLevel="0" collapsed="false">
      <c r="A748" s="32"/>
      <c r="B748" s="32"/>
      <c r="C748" s="32"/>
      <c r="D748" s="32"/>
      <c r="E748" s="32"/>
      <c r="F748" s="32"/>
      <c r="G748" s="32"/>
      <c r="H748" s="28" t="str">
        <f aca="false">IF(COUNTA(C748:G748)=0,"",IF(AND(C748="Yes",D748="Yes",E748="Yes",F748="Yes",G748="No"),"Yes","No"))</f>
        <v/>
      </c>
      <c r="I748" s="32"/>
      <c r="J748" s="32"/>
    </row>
    <row r="749" customFormat="false" ht="15" hidden="false" customHeight="false" outlineLevel="0" collapsed="false">
      <c r="A749" s="32"/>
      <c r="B749" s="32"/>
      <c r="C749" s="32"/>
      <c r="D749" s="32"/>
      <c r="E749" s="32"/>
      <c r="F749" s="32"/>
      <c r="G749" s="32"/>
      <c r="H749" s="28" t="str">
        <f aca="false">IF(COUNTA(C749:G749)=0,"",IF(AND(C749="Yes",D749="Yes",E749="Yes",F749="Yes",G749="No"),"Yes","No"))</f>
        <v/>
      </c>
      <c r="I749" s="32"/>
      <c r="J749" s="32"/>
    </row>
    <row r="750" customFormat="false" ht="15" hidden="false" customHeight="false" outlineLevel="0" collapsed="false">
      <c r="A750" s="32"/>
      <c r="B750" s="32"/>
      <c r="C750" s="32"/>
      <c r="D750" s="32"/>
      <c r="E750" s="32"/>
      <c r="F750" s="32"/>
      <c r="G750" s="32"/>
      <c r="H750" s="28" t="str">
        <f aca="false">IF(COUNTA(C750:G750)=0,"",IF(AND(C750="Yes",D750="Yes",E750="Yes",F750="Yes",G750="No"),"Yes","No"))</f>
        <v/>
      </c>
      <c r="I750" s="32"/>
      <c r="J750" s="32"/>
    </row>
    <row r="751" customFormat="false" ht="15" hidden="false" customHeight="false" outlineLevel="0" collapsed="false">
      <c r="A751" s="32"/>
      <c r="B751" s="32"/>
      <c r="C751" s="32"/>
      <c r="D751" s="32"/>
      <c r="E751" s="32"/>
      <c r="F751" s="32"/>
      <c r="G751" s="32"/>
      <c r="H751" s="28" t="str">
        <f aca="false">IF(COUNTA(C751:G751)=0,"",IF(AND(C751="Yes",D751="Yes",E751="Yes",F751="Yes",G751="No"),"Yes","No"))</f>
        <v/>
      </c>
      <c r="I751" s="32"/>
      <c r="J751" s="32"/>
    </row>
    <row r="752" customFormat="false" ht="15" hidden="false" customHeight="false" outlineLevel="0" collapsed="false">
      <c r="A752" s="32"/>
      <c r="B752" s="32"/>
      <c r="C752" s="32"/>
      <c r="D752" s="32"/>
      <c r="E752" s="32"/>
      <c r="F752" s="32"/>
      <c r="G752" s="32"/>
      <c r="H752" s="28" t="str">
        <f aca="false">IF(COUNTA(C752:G752)=0,"",IF(AND(C752="Yes",D752="Yes",E752="Yes",F752="Yes",G752="No"),"Yes","No"))</f>
        <v/>
      </c>
      <c r="I752" s="32"/>
      <c r="J752" s="32"/>
    </row>
    <row r="753" customFormat="false" ht="15" hidden="false" customHeight="false" outlineLevel="0" collapsed="false">
      <c r="A753" s="32"/>
      <c r="B753" s="32"/>
      <c r="C753" s="32"/>
      <c r="D753" s="32"/>
      <c r="E753" s="32"/>
      <c r="F753" s="32"/>
      <c r="G753" s="32"/>
      <c r="H753" s="28" t="str">
        <f aca="false">IF(COUNTA(C753:G753)=0,"",IF(AND(C753="Yes",D753="Yes",E753="Yes",F753="Yes",G753="No"),"Yes","No"))</f>
        <v/>
      </c>
      <c r="I753" s="32"/>
      <c r="J753" s="32"/>
    </row>
    <row r="754" customFormat="false" ht="15" hidden="false" customHeight="false" outlineLevel="0" collapsed="false">
      <c r="A754" s="32"/>
      <c r="B754" s="32"/>
      <c r="C754" s="32"/>
      <c r="D754" s="32"/>
      <c r="E754" s="32"/>
      <c r="F754" s="32"/>
      <c r="G754" s="32"/>
      <c r="H754" s="28" t="str">
        <f aca="false">IF(COUNTA(C754:G754)=0,"",IF(AND(C754="Yes",D754="Yes",E754="Yes",F754="Yes",G754="No"),"Yes","No"))</f>
        <v/>
      </c>
      <c r="I754" s="32"/>
      <c r="J754" s="32"/>
    </row>
    <row r="755" customFormat="false" ht="15" hidden="false" customHeight="false" outlineLevel="0" collapsed="false">
      <c r="A755" s="32"/>
      <c r="B755" s="32"/>
      <c r="C755" s="32"/>
      <c r="D755" s="32"/>
      <c r="E755" s="32"/>
      <c r="F755" s="32"/>
      <c r="G755" s="32"/>
      <c r="H755" s="28" t="str">
        <f aca="false">IF(COUNTA(C755:G755)=0,"",IF(AND(C755="Yes",D755="Yes",E755="Yes",F755="Yes",G755="No"),"Yes","No"))</f>
        <v/>
      </c>
      <c r="I755" s="32"/>
      <c r="J755" s="32"/>
    </row>
    <row r="756" customFormat="false" ht="15" hidden="false" customHeight="false" outlineLevel="0" collapsed="false">
      <c r="A756" s="32"/>
      <c r="B756" s="32"/>
      <c r="C756" s="32"/>
      <c r="D756" s="32"/>
      <c r="E756" s="32"/>
      <c r="F756" s="32"/>
      <c r="G756" s="32"/>
      <c r="H756" s="28" t="str">
        <f aca="false">IF(COUNTA(C756:G756)=0,"",IF(AND(C756="Yes",D756="Yes",E756="Yes",F756="Yes",G756="No"),"Yes","No"))</f>
        <v/>
      </c>
      <c r="I756" s="32"/>
      <c r="J756" s="32"/>
    </row>
    <row r="757" customFormat="false" ht="15" hidden="false" customHeight="false" outlineLevel="0" collapsed="false">
      <c r="A757" s="32"/>
      <c r="B757" s="32"/>
      <c r="C757" s="32"/>
      <c r="D757" s="32"/>
      <c r="E757" s="32"/>
      <c r="F757" s="32"/>
      <c r="G757" s="32"/>
      <c r="H757" s="28" t="str">
        <f aca="false">IF(COUNTA(C757:G757)=0,"",IF(AND(C757="Yes",D757="Yes",E757="Yes",F757="Yes",G757="No"),"Yes","No"))</f>
        <v/>
      </c>
      <c r="I757" s="32"/>
      <c r="J757" s="32"/>
    </row>
    <row r="758" customFormat="false" ht="15" hidden="false" customHeight="false" outlineLevel="0" collapsed="false">
      <c r="A758" s="32"/>
      <c r="B758" s="32"/>
      <c r="C758" s="32"/>
      <c r="D758" s="32"/>
      <c r="E758" s="32"/>
      <c r="F758" s="32"/>
      <c r="G758" s="32"/>
      <c r="H758" s="28" t="str">
        <f aca="false">IF(COUNTA(C758:G758)=0,"",IF(AND(C758="Yes",D758="Yes",E758="Yes",F758="Yes",G758="No"),"Yes","No"))</f>
        <v/>
      </c>
      <c r="I758" s="32"/>
      <c r="J758" s="32"/>
    </row>
    <row r="759" customFormat="false" ht="15" hidden="false" customHeight="false" outlineLevel="0" collapsed="false">
      <c r="A759" s="32"/>
      <c r="B759" s="32"/>
      <c r="C759" s="32"/>
      <c r="D759" s="32"/>
      <c r="E759" s="32"/>
      <c r="F759" s="32"/>
      <c r="G759" s="32"/>
      <c r="H759" s="28" t="str">
        <f aca="false">IF(COUNTA(C759:G759)=0,"",IF(AND(C759="Yes",D759="Yes",E759="Yes",F759="Yes",G759="No"),"Yes","No"))</f>
        <v/>
      </c>
      <c r="I759" s="32"/>
      <c r="J759" s="32"/>
    </row>
    <row r="760" customFormat="false" ht="15" hidden="false" customHeight="false" outlineLevel="0" collapsed="false">
      <c r="A760" s="32"/>
      <c r="B760" s="32"/>
      <c r="C760" s="32"/>
      <c r="D760" s="32"/>
      <c r="E760" s="32"/>
      <c r="F760" s="32"/>
      <c r="G760" s="32"/>
      <c r="H760" s="28" t="str">
        <f aca="false">IF(COUNTA(C760:G760)=0,"",IF(AND(C760="Yes",D760="Yes",E760="Yes",F760="Yes",G760="No"),"Yes","No"))</f>
        <v/>
      </c>
      <c r="I760" s="32"/>
      <c r="J760" s="32"/>
    </row>
    <row r="761" customFormat="false" ht="15" hidden="false" customHeight="false" outlineLevel="0" collapsed="false">
      <c r="A761" s="32"/>
      <c r="B761" s="32"/>
      <c r="C761" s="32"/>
      <c r="D761" s="32"/>
      <c r="E761" s="32"/>
      <c r="F761" s="32"/>
      <c r="G761" s="32"/>
      <c r="H761" s="28" t="str">
        <f aca="false">IF(COUNTA(C761:G761)=0,"",IF(AND(C761="Yes",D761="Yes",E761="Yes",F761="Yes",G761="No"),"Yes","No"))</f>
        <v/>
      </c>
      <c r="I761" s="32"/>
      <c r="J761" s="32"/>
    </row>
    <row r="762" customFormat="false" ht="15" hidden="false" customHeight="false" outlineLevel="0" collapsed="false">
      <c r="A762" s="32"/>
      <c r="B762" s="32"/>
      <c r="C762" s="32"/>
      <c r="D762" s="32"/>
      <c r="E762" s="32"/>
      <c r="F762" s="32"/>
      <c r="G762" s="32"/>
      <c r="H762" s="28" t="str">
        <f aca="false">IF(COUNTA(C762:G762)=0,"",IF(AND(C762="Yes",D762="Yes",E762="Yes",F762="Yes",G762="No"),"Yes","No"))</f>
        <v/>
      </c>
      <c r="I762" s="32"/>
      <c r="J762" s="32"/>
    </row>
    <row r="763" customFormat="false" ht="15" hidden="false" customHeight="false" outlineLevel="0" collapsed="false">
      <c r="A763" s="32"/>
      <c r="B763" s="32"/>
      <c r="C763" s="32"/>
      <c r="D763" s="32"/>
      <c r="E763" s="32"/>
      <c r="F763" s="32"/>
      <c r="G763" s="32"/>
      <c r="H763" s="28" t="str">
        <f aca="false">IF(COUNTA(C763:G763)=0,"",IF(AND(C763="Yes",D763="Yes",E763="Yes",F763="Yes",G763="No"),"Yes","No"))</f>
        <v/>
      </c>
      <c r="I763" s="32"/>
      <c r="J763" s="32"/>
    </row>
    <row r="764" customFormat="false" ht="15" hidden="false" customHeight="false" outlineLevel="0" collapsed="false">
      <c r="A764" s="32"/>
      <c r="B764" s="32"/>
      <c r="C764" s="32"/>
      <c r="D764" s="32"/>
      <c r="E764" s="32"/>
      <c r="F764" s="32"/>
      <c r="G764" s="32"/>
      <c r="H764" s="28" t="str">
        <f aca="false">IF(COUNTA(C764:G764)=0,"",IF(AND(C764="Yes",D764="Yes",E764="Yes",F764="Yes",G764="No"),"Yes","No"))</f>
        <v/>
      </c>
      <c r="I764" s="32"/>
      <c r="J764" s="32"/>
    </row>
    <row r="765" customFormat="false" ht="15" hidden="false" customHeight="false" outlineLevel="0" collapsed="false">
      <c r="A765" s="32"/>
      <c r="B765" s="32"/>
      <c r="C765" s="32"/>
      <c r="D765" s="32"/>
      <c r="E765" s="32"/>
      <c r="F765" s="32"/>
      <c r="G765" s="32"/>
      <c r="H765" s="28" t="str">
        <f aca="false">IF(COUNTA(C765:G765)=0,"",IF(AND(C765="Yes",D765="Yes",E765="Yes",F765="Yes",G765="No"),"Yes","No"))</f>
        <v/>
      </c>
      <c r="I765" s="32"/>
      <c r="J765" s="32"/>
    </row>
    <row r="766" customFormat="false" ht="15" hidden="false" customHeight="false" outlineLevel="0" collapsed="false">
      <c r="A766" s="32"/>
      <c r="B766" s="32"/>
      <c r="C766" s="32"/>
      <c r="D766" s="32"/>
      <c r="E766" s="32"/>
      <c r="F766" s="32"/>
      <c r="G766" s="32"/>
      <c r="H766" s="28" t="str">
        <f aca="false">IF(COUNTA(C766:G766)=0,"",IF(AND(C766="Yes",D766="Yes",E766="Yes",F766="Yes",G766="No"),"Yes","No"))</f>
        <v/>
      </c>
      <c r="I766" s="32"/>
      <c r="J766" s="32"/>
    </row>
    <row r="767" customFormat="false" ht="15" hidden="false" customHeight="false" outlineLevel="0" collapsed="false">
      <c r="A767" s="32"/>
      <c r="B767" s="32"/>
      <c r="C767" s="32"/>
      <c r="D767" s="32"/>
      <c r="E767" s="32"/>
      <c r="F767" s="32"/>
      <c r="G767" s="32"/>
      <c r="H767" s="28" t="str">
        <f aca="false">IF(COUNTA(C767:G767)=0,"",IF(AND(C767="Yes",D767="Yes",E767="Yes",F767="Yes",G767="No"),"Yes","No"))</f>
        <v/>
      </c>
      <c r="I767" s="32"/>
      <c r="J767" s="32"/>
    </row>
    <row r="768" customFormat="false" ht="15" hidden="false" customHeight="false" outlineLevel="0" collapsed="false">
      <c r="A768" s="32"/>
      <c r="B768" s="32"/>
      <c r="C768" s="32"/>
      <c r="D768" s="32"/>
      <c r="E768" s="32"/>
      <c r="F768" s="32"/>
      <c r="G768" s="32"/>
      <c r="H768" s="28" t="str">
        <f aca="false">IF(COUNTA(C768:G768)=0,"",IF(AND(C768="Yes",D768="Yes",E768="Yes",F768="Yes",G768="No"),"Yes","No"))</f>
        <v/>
      </c>
      <c r="I768" s="32"/>
      <c r="J768" s="32"/>
    </row>
    <row r="769" customFormat="false" ht="15" hidden="false" customHeight="false" outlineLevel="0" collapsed="false">
      <c r="A769" s="32"/>
      <c r="B769" s="32"/>
      <c r="C769" s="32"/>
      <c r="D769" s="32"/>
      <c r="E769" s="32"/>
      <c r="F769" s="32"/>
      <c r="G769" s="32"/>
      <c r="H769" s="28" t="str">
        <f aca="false">IF(COUNTA(C769:G769)=0,"",IF(AND(C769="Yes",D769="Yes",E769="Yes",F769="Yes",G769="No"),"Yes","No"))</f>
        <v/>
      </c>
      <c r="I769" s="32"/>
      <c r="J769" s="32"/>
    </row>
    <row r="770" customFormat="false" ht="15" hidden="false" customHeight="false" outlineLevel="0" collapsed="false">
      <c r="A770" s="32"/>
      <c r="B770" s="32"/>
      <c r="C770" s="32"/>
      <c r="D770" s="32"/>
      <c r="E770" s="32"/>
      <c r="F770" s="32"/>
      <c r="G770" s="32"/>
      <c r="H770" s="28" t="str">
        <f aca="false">IF(COUNTA(C770:G770)=0,"",IF(AND(C770="Yes",D770="Yes",E770="Yes",F770="Yes",G770="No"),"Yes","No"))</f>
        <v/>
      </c>
      <c r="I770" s="32"/>
      <c r="J770" s="32"/>
    </row>
    <row r="771" customFormat="false" ht="15" hidden="false" customHeight="false" outlineLevel="0" collapsed="false">
      <c r="A771" s="32"/>
      <c r="B771" s="32"/>
      <c r="C771" s="32"/>
      <c r="D771" s="32"/>
      <c r="E771" s="32"/>
      <c r="F771" s="32"/>
      <c r="G771" s="32"/>
      <c r="H771" s="28" t="str">
        <f aca="false">IF(COUNTA(C771:G771)=0,"",IF(AND(C771="Yes",D771="Yes",E771="Yes",F771="Yes",G771="No"),"Yes","No"))</f>
        <v/>
      </c>
      <c r="I771" s="32"/>
      <c r="J771" s="32"/>
    </row>
    <row r="772" customFormat="false" ht="15" hidden="false" customHeight="false" outlineLevel="0" collapsed="false">
      <c r="A772" s="32"/>
      <c r="B772" s="32"/>
      <c r="C772" s="32"/>
      <c r="D772" s="32"/>
      <c r="E772" s="32"/>
      <c r="F772" s="32"/>
      <c r="G772" s="32"/>
      <c r="H772" s="28" t="str">
        <f aca="false">IF(COUNTA(C772:G772)=0,"",IF(AND(C772="Yes",D772="Yes",E772="Yes",F772="Yes",G772="No"),"Yes","No"))</f>
        <v/>
      </c>
      <c r="I772" s="32"/>
      <c r="J772" s="32"/>
    </row>
    <row r="773" customFormat="false" ht="15" hidden="false" customHeight="false" outlineLevel="0" collapsed="false">
      <c r="A773" s="32"/>
      <c r="B773" s="32"/>
      <c r="C773" s="32"/>
      <c r="D773" s="32"/>
      <c r="E773" s="32"/>
      <c r="F773" s="32"/>
      <c r="G773" s="32"/>
      <c r="H773" s="28" t="str">
        <f aca="false">IF(COUNTA(C773:G773)=0,"",IF(AND(C773="Yes",D773="Yes",E773="Yes",F773="Yes",G773="No"),"Yes","No"))</f>
        <v/>
      </c>
      <c r="I773" s="32"/>
      <c r="J773" s="32"/>
    </row>
    <row r="774" customFormat="false" ht="15" hidden="false" customHeight="false" outlineLevel="0" collapsed="false">
      <c r="A774" s="32"/>
      <c r="B774" s="32"/>
      <c r="C774" s="32"/>
      <c r="D774" s="32"/>
      <c r="E774" s="32"/>
      <c r="F774" s="32"/>
      <c r="G774" s="32"/>
      <c r="H774" s="28" t="str">
        <f aca="false">IF(COUNTA(C774:G774)=0,"",IF(AND(C774="Yes",D774="Yes",E774="Yes",F774="Yes",G774="No"),"Yes","No"))</f>
        <v/>
      </c>
      <c r="I774" s="32"/>
      <c r="J774" s="32"/>
    </row>
    <row r="775" customFormat="false" ht="15" hidden="false" customHeight="false" outlineLevel="0" collapsed="false">
      <c r="A775" s="32"/>
      <c r="B775" s="32"/>
      <c r="C775" s="32"/>
      <c r="D775" s="32"/>
      <c r="E775" s="32"/>
      <c r="F775" s="32"/>
      <c r="G775" s="32"/>
      <c r="H775" s="28" t="str">
        <f aca="false">IF(COUNTA(C775:G775)=0,"",IF(AND(C775="Yes",D775="Yes",E775="Yes",F775="Yes",G775="No"),"Yes","No"))</f>
        <v/>
      </c>
      <c r="I775" s="32"/>
      <c r="J775" s="32"/>
    </row>
    <row r="776" customFormat="false" ht="15" hidden="false" customHeight="false" outlineLevel="0" collapsed="false">
      <c r="A776" s="32"/>
      <c r="B776" s="32"/>
      <c r="C776" s="32"/>
      <c r="D776" s="32"/>
      <c r="E776" s="32"/>
      <c r="F776" s="32"/>
      <c r="G776" s="32"/>
      <c r="H776" s="28" t="str">
        <f aca="false">IF(COUNTA(C776:G776)=0,"",IF(AND(C776="Yes",D776="Yes",E776="Yes",F776="Yes",G776="No"),"Yes","No"))</f>
        <v/>
      </c>
      <c r="I776" s="32"/>
      <c r="J776" s="32"/>
    </row>
    <row r="777" customFormat="false" ht="15" hidden="false" customHeight="false" outlineLevel="0" collapsed="false">
      <c r="A777" s="32"/>
      <c r="B777" s="32"/>
      <c r="C777" s="32"/>
      <c r="D777" s="32"/>
      <c r="E777" s="32"/>
      <c r="F777" s="32"/>
      <c r="G777" s="32"/>
      <c r="H777" s="28" t="str">
        <f aca="false">IF(COUNTA(C777:G777)=0,"",IF(AND(C777="Yes",D777="Yes",E777="Yes",F777="Yes",G777="No"),"Yes","No"))</f>
        <v/>
      </c>
      <c r="I777" s="32"/>
      <c r="J777" s="32"/>
    </row>
    <row r="778" customFormat="false" ht="15" hidden="false" customHeight="false" outlineLevel="0" collapsed="false">
      <c r="A778" s="32"/>
      <c r="B778" s="32"/>
      <c r="C778" s="32"/>
      <c r="D778" s="32"/>
      <c r="E778" s="32"/>
      <c r="F778" s="32"/>
      <c r="G778" s="32"/>
      <c r="H778" s="28" t="str">
        <f aca="false">IF(COUNTA(C778:G778)=0,"",IF(AND(C778="Yes",D778="Yes",E778="Yes",F778="Yes",G778="No"),"Yes","No"))</f>
        <v/>
      </c>
      <c r="I778" s="32"/>
      <c r="J778" s="32"/>
    </row>
    <row r="779" customFormat="false" ht="15" hidden="false" customHeight="false" outlineLevel="0" collapsed="false">
      <c r="A779" s="32"/>
      <c r="B779" s="32"/>
      <c r="C779" s="32"/>
      <c r="D779" s="32"/>
      <c r="E779" s="32"/>
      <c r="F779" s="32"/>
      <c r="G779" s="32"/>
      <c r="H779" s="28" t="str">
        <f aca="false">IF(COUNTA(C779:G779)=0,"",IF(AND(C779="Yes",D779="Yes",E779="Yes",F779="Yes",G779="No"),"Yes","No"))</f>
        <v/>
      </c>
      <c r="I779" s="32"/>
      <c r="J779" s="32"/>
    </row>
    <row r="780" customFormat="false" ht="15" hidden="false" customHeight="false" outlineLevel="0" collapsed="false">
      <c r="A780" s="32"/>
      <c r="B780" s="32"/>
      <c r="C780" s="32"/>
      <c r="D780" s="32"/>
      <c r="E780" s="32"/>
      <c r="F780" s="32"/>
      <c r="G780" s="32"/>
      <c r="H780" s="28" t="str">
        <f aca="false">IF(COUNTA(C780:G780)=0,"",IF(AND(C780="Yes",D780="Yes",E780="Yes",F780="Yes",G780="No"),"Yes","No"))</f>
        <v/>
      </c>
      <c r="I780" s="32"/>
      <c r="J780" s="32"/>
    </row>
    <row r="781" customFormat="false" ht="15" hidden="false" customHeight="false" outlineLevel="0" collapsed="false">
      <c r="A781" s="32"/>
      <c r="B781" s="32"/>
      <c r="C781" s="32"/>
      <c r="D781" s="32"/>
      <c r="E781" s="32"/>
      <c r="F781" s="32"/>
      <c r="G781" s="32"/>
      <c r="H781" s="28" t="str">
        <f aca="false">IF(COUNTA(C781:G781)=0,"",IF(AND(C781="Yes",D781="Yes",E781="Yes",F781="Yes",G781="No"),"Yes","No"))</f>
        <v/>
      </c>
      <c r="I781" s="32"/>
      <c r="J781" s="32"/>
    </row>
    <row r="782" customFormat="false" ht="15" hidden="false" customHeight="false" outlineLevel="0" collapsed="false">
      <c r="A782" s="32"/>
      <c r="B782" s="32"/>
      <c r="C782" s="32"/>
      <c r="D782" s="32"/>
      <c r="E782" s="32"/>
      <c r="F782" s="32"/>
      <c r="G782" s="32"/>
      <c r="H782" s="28" t="str">
        <f aca="false">IF(COUNTA(C782:G782)=0,"",IF(AND(C782="Yes",D782="Yes",E782="Yes",F782="Yes",G782="No"),"Yes","No"))</f>
        <v/>
      </c>
      <c r="I782" s="32"/>
      <c r="J782" s="32"/>
    </row>
    <row r="783" customFormat="false" ht="15" hidden="false" customHeight="false" outlineLevel="0" collapsed="false">
      <c r="A783" s="32"/>
      <c r="B783" s="32"/>
      <c r="C783" s="32"/>
      <c r="D783" s="32"/>
      <c r="E783" s="32"/>
      <c r="F783" s="32"/>
      <c r="G783" s="32"/>
      <c r="H783" s="28" t="str">
        <f aca="false">IF(COUNTA(C783:G783)=0,"",IF(AND(C783="Yes",D783="Yes",E783="Yes",F783="Yes",G783="No"),"Yes","No"))</f>
        <v/>
      </c>
      <c r="I783" s="32"/>
      <c r="J783" s="32"/>
    </row>
    <row r="784" customFormat="false" ht="15" hidden="false" customHeight="false" outlineLevel="0" collapsed="false">
      <c r="A784" s="32"/>
      <c r="B784" s="32"/>
      <c r="C784" s="32"/>
      <c r="D784" s="32"/>
      <c r="E784" s="32"/>
      <c r="F784" s="32"/>
      <c r="G784" s="32"/>
      <c r="H784" s="28" t="str">
        <f aca="false">IF(COUNTA(C784:G784)=0,"",IF(AND(C784="Yes",D784="Yes",E784="Yes",F784="Yes",G784="No"),"Yes","No"))</f>
        <v/>
      </c>
      <c r="I784" s="32"/>
      <c r="J784" s="32"/>
    </row>
    <row r="785" customFormat="false" ht="15" hidden="false" customHeight="false" outlineLevel="0" collapsed="false">
      <c r="A785" s="32"/>
      <c r="B785" s="32"/>
      <c r="C785" s="32"/>
      <c r="D785" s="32"/>
      <c r="E785" s="32"/>
      <c r="F785" s="32"/>
      <c r="G785" s="32"/>
      <c r="H785" s="28" t="str">
        <f aca="false">IF(COUNTA(C785:G785)=0,"",IF(AND(C785="Yes",D785="Yes",E785="Yes",F785="Yes",G785="No"),"Yes","No"))</f>
        <v/>
      </c>
      <c r="I785" s="32"/>
      <c r="J785" s="32"/>
    </row>
    <row r="786" customFormat="false" ht="15" hidden="false" customHeight="false" outlineLevel="0" collapsed="false">
      <c r="A786" s="32"/>
      <c r="B786" s="32"/>
      <c r="C786" s="32"/>
      <c r="D786" s="32"/>
      <c r="E786" s="32"/>
      <c r="F786" s="32"/>
      <c r="G786" s="32"/>
      <c r="H786" s="28" t="str">
        <f aca="false">IF(COUNTA(C786:G786)=0,"",IF(AND(C786="Yes",D786="Yes",E786="Yes",F786="Yes",G786="No"),"Yes","No"))</f>
        <v/>
      </c>
      <c r="I786" s="32"/>
      <c r="J786" s="32"/>
    </row>
    <row r="787" customFormat="false" ht="15" hidden="false" customHeight="false" outlineLevel="0" collapsed="false">
      <c r="A787" s="32"/>
      <c r="B787" s="32"/>
      <c r="C787" s="32"/>
      <c r="D787" s="32"/>
      <c r="E787" s="32"/>
      <c r="F787" s="32"/>
      <c r="G787" s="32"/>
      <c r="H787" s="28" t="str">
        <f aca="false">IF(COUNTA(C787:G787)=0,"",IF(AND(C787="Yes",D787="Yes",E787="Yes",F787="Yes",G787="No"),"Yes","No"))</f>
        <v/>
      </c>
      <c r="I787" s="32"/>
      <c r="J787" s="32"/>
    </row>
    <row r="788" customFormat="false" ht="15" hidden="false" customHeight="false" outlineLevel="0" collapsed="false">
      <c r="A788" s="32"/>
      <c r="B788" s="32"/>
      <c r="C788" s="32"/>
      <c r="D788" s="32"/>
      <c r="E788" s="32"/>
      <c r="F788" s="32"/>
      <c r="G788" s="32"/>
      <c r="H788" s="28" t="str">
        <f aca="false">IF(COUNTA(C788:G788)=0,"",IF(AND(C788="Yes",D788="Yes",E788="Yes",F788="Yes",G788="No"),"Yes","No"))</f>
        <v/>
      </c>
      <c r="I788" s="32"/>
      <c r="J788" s="32"/>
    </row>
    <row r="789" customFormat="false" ht="15" hidden="false" customHeight="false" outlineLevel="0" collapsed="false">
      <c r="A789" s="32"/>
      <c r="B789" s="32"/>
      <c r="C789" s="32"/>
      <c r="D789" s="32"/>
      <c r="E789" s="32"/>
      <c r="F789" s="32"/>
      <c r="G789" s="32"/>
      <c r="H789" s="28" t="str">
        <f aca="false">IF(COUNTA(C789:G789)=0,"",IF(AND(C789="Yes",D789="Yes",E789="Yes",F789="Yes",G789="No"),"Yes","No"))</f>
        <v/>
      </c>
      <c r="I789" s="32"/>
      <c r="J789" s="32"/>
    </row>
    <row r="790" customFormat="false" ht="15" hidden="false" customHeight="false" outlineLevel="0" collapsed="false">
      <c r="A790" s="32"/>
      <c r="B790" s="32"/>
      <c r="C790" s="32"/>
      <c r="D790" s="32"/>
      <c r="E790" s="32"/>
      <c r="F790" s="32"/>
      <c r="G790" s="32"/>
      <c r="H790" s="28" t="str">
        <f aca="false">IF(COUNTA(C790:G790)=0,"",IF(AND(C790="Yes",D790="Yes",E790="Yes",F790="Yes",G790="No"),"Yes","No"))</f>
        <v/>
      </c>
      <c r="I790" s="32"/>
      <c r="J790" s="32"/>
    </row>
    <row r="791" customFormat="false" ht="15" hidden="false" customHeight="false" outlineLevel="0" collapsed="false">
      <c r="A791" s="32"/>
      <c r="B791" s="32"/>
      <c r="C791" s="32"/>
      <c r="D791" s="32"/>
      <c r="E791" s="32"/>
      <c r="F791" s="32"/>
      <c r="G791" s="32"/>
      <c r="H791" s="28" t="str">
        <f aca="false">IF(COUNTA(C791:G791)=0,"",IF(AND(C791="Yes",D791="Yes",E791="Yes",F791="Yes",G791="No"),"Yes","No"))</f>
        <v/>
      </c>
      <c r="I791" s="32"/>
      <c r="J791" s="32"/>
    </row>
    <row r="792" customFormat="false" ht="15" hidden="false" customHeight="false" outlineLevel="0" collapsed="false">
      <c r="A792" s="32"/>
      <c r="B792" s="32"/>
      <c r="C792" s="32"/>
      <c r="D792" s="32"/>
      <c r="E792" s="32"/>
      <c r="F792" s="32"/>
      <c r="G792" s="32"/>
      <c r="H792" s="28" t="str">
        <f aca="false">IF(COUNTA(C792:G792)=0,"",IF(AND(C792="Yes",D792="Yes",E792="Yes",F792="Yes",G792="No"),"Yes","No"))</f>
        <v/>
      </c>
      <c r="I792" s="32"/>
      <c r="J792" s="32"/>
    </row>
    <row r="793" customFormat="false" ht="15" hidden="false" customHeight="false" outlineLevel="0" collapsed="false">
      <c r="A793" s="32"/>
      <c r="B793" s="32"/>
      <c r="C793" s="32"/>
      <c r="D793" s="32"/>
      <c r="E793" s="32"/>
      <c r="F793" s="32"/>
      <c r="G793" s="32"/>
      <c r="H793" s="28" t="str">
        <f aca="false">IF(COUNTA(C793:G793)=0,"",IF(AND(C793="Yes",D793="Yes",E793="Yes",F793="Yes",G793="No"),"Yes","No"))</f>
        <v/>
      </c>
      <c r="I793" s="32"/>
      <c r="J793" s="32"/>
    </row>
    <row r="794" customFormat="false" ht="15" hidden="false" customHeight="false" outlineLevel="0" collapsed="false">
      <c r="A794" s="32"/>
      <c r="B794" s="32"/>
      <c r="C794" s="32"/>
      <c r="D794" s="32"/>
      <c r="E794" s="32"/>
      <c r="F794" s="32"/>
      <c r="G794" s="32"/>
      <c r="H794" s="28" t="str">
        <f aca="false">IF(COUNTA(C794:G794)=0,"",IF(AND(C794="Yes",D794="Yes",E794="Yes",F794="Yes",G794="No"),"Yes","No"))</f>
        <v/>
      </c>
      <c r="I794" s="32"/>
      <c r="J794" s="32"/>
    </row>
    <row r="795" customFormat="false" ht="15" hidden="false" customHeight="false" outlineLevel="0" collapsed="false">
      <c r="A795" s="32"/>
      <c r="B795" s="32"/>
      <c r="C795" s="32"/>
      <c r="D795" s="32"/>
      <c r="E795" s="32"/>
      <c r="F795" s="32"/>
      <c r="G795" s="32"/>
      <c r="H795" s="28" t="str">
        <f aca="false">IF(COUNTA(C795:G795)=0,"",IF(AND(C795="Yes",D795="Yes",E795="Yes",F795="Yes",G795="No"),"Yes","No"))</f>
        <v/>
      </c>
      <c r="I795" s="32"/>
      <c r="J795" s="32"/>
    </row>
    <row r="796" customFormat="false" ht="15" hidden="false" customHeight="false" outlineLevel="0" collapsed="false">
      <c r="A796" s="32"/>
      <c r="B796" s="32"/>
      <c r="C796" s="32"/>
      <c r="D796" s="32"/>
      <c r="E796" s="32"/>
      <c r="F796" s="32"/>
      <c r="G796" s="32"/>
      <c r="H796" s="28" t="str">
        <f aca="false">IF(COUNTA(C796:G796)=0,"",IF(AND(C796="Yes",D796="Yes",E796="Yes",F796="Yes",G796="No"),"Yes","No"))</f>
        <v/>
      </c>
      <c r="I796" s="32"/>
      <c r="J796" s="32"/>
    </row>
    <row r="797" customFormat="false" ht="15" hidden="false" customHeight="false" outlineLevel="0" collapsed="false">
      <c r="A797" s="32"/>
      <c r="B797" s="32"/>
      <c r="C797" s="32"/>
      <c r="D797" s="32"/>
      <c r="E797" s="32"/>
      <c r="F797" s="32"/>
      <c r="G797" s="32"/>
      <c r="H797" s="28" t="str">
        <f aca="false">IF(COUNTA(C797:G797)=0,"",IF(AND(C797="Yes",D797="Yes",E797="Yes",F797="Yes",G797="No"),"Yes","No"))</f>
        <v/>
      </c>
      <c r="I797" s="32"/>
      <c r="J797" s="32"/>
    </row>
    <row r="798" customFormat="false" ht="15" hidden="false" customHeight="false" outlineLevel="0" collapsed="false">
      <c r="A798" s="32"/>
      <c r="B798" s="32"/>
      <c r="C798" s="32"/>
      <c r="D798" s="32"/>
      <c r="E798" s="32"/>
      <c r="F798" s="32"/>
      <c r="G798" s="32"/>
      <c r="H798" s="28" t="str">
        <f aca="false">IF(COUNTA(C798:G798)=0,"",IF(AND(C798="Yes",D798="Yes",E798="Yes",F798="Yes",G798="No"),"Yes","No"))</f>
        <v/>
      </c>
      <c r="I798" s="32"/>
      <c r="J798" s="32"/>
    </row>
    <row r="799" customFormat="false" ht="15" hidden="false" customHeight="false" outlineLevel="0" collapsed="false">
      <c r="A799" s="32"/>
      <c r="B799" s="32"/>
      <c r="C799" s="32"/>
      <c r="D799" s="32"/>
      <c r="E799" s="32"/>
      <c r="F799" s="32"/>
      <c r="G799" s="32"/>
      <c r="H799" s="28" t="str">
        <f aca="false">IF(COUNTA(C799:G799)=0,"",IF(AND(C799="Yes",D799="Yes",E799="Yes",F799="Yes",G799="No"),"Yes","No"))</f>
        <v/>
      </c>
      <c r="I799" s="32"/>
      <c r="J799" s="32"/>
    </row>
    <row r="800" customFormat="false" ht="15" hidden="false" customHeight="false" outlineLevel="0" collapsed="false">
      <c r="A800" s="32"/>
      <c r="B800" s="32"/>
      <c r="C800" s="32"/>
      <c r="D800" s="32"/>
      <c r="E800" s="32"/>
      <c r="F800" s="32"/>
      <c r="G800" s="32"/>
      <c r="H800" s="28" t="str">
        <f aca="false">IF(COUNTA(C800:G800)=0,"",IF(AND(C800="Yes",D800="Yes",E800="Yes",F800="Yes",G800="No"),"Yes","No"))</f>
        <v/>
      </c>
      <c r="I800" s="32"/>
      <c r="J800" s="32"/>
    </row>
    <row r="801" customFormat="false" ht="15" hidden="false" customHeight="false" outlineLevel="0" collapsed="false">
      <c r="A801" s="32"/>
      <c r="B801" s="32"/>
      <c r="C801" s="32"/>
      <c r="D801" s="32"/>
      <c r="E801" s="32"/>
      <c r="F801" s="32"/>
      <c r="G801" s="32"/>
      <c r="H801" s="28" t="str">
        <f aca="false">IF(COUNTA(C801:G801)=0,"",IF(AND(C801="Yes",D801="Yes",E801="Yes",F801="Yes",G801="No"),"Yes","No"))</f>
        <v/>
      </c>
      <c r="I801" s="32"/>
      <c r="J801" s="32"/>
    </row>
    <row r="802" customFormat="false" ht="15" hidden="false" customHeight="false" outlineLevel="0" collapsed="false">
      <c r="A802" s="32"/>
      <c r="B802" s="32"/>
      <c r="C802" s="32"/>
      <c r="D802" s="32"/>
      <c r="E802" s="32"/>
      <c r="F802" s="32"/>
      <c r="G802" s="32"/>
      <c r="H802" s="28" t="str">
        <f aca="false">IF(COUNTA(C802:G802)=0,"",IF(AND(C802="Yes",D802="Yes",E802="Yes",F802="Yes",G802="No"),"Yes","No"))</f>
        <v/>
      </c>
      <c r="I802" s="32"/>
      <c r="J802" s="32"/>
    </row>
    <row r="803" customFormat="false" ht="15" hidden="false" customHeight="false" outlineLevel="0" collapsed="false">
      <c r="A803" s="32"/>
      <c r="B803" s="32"/>
      <c r="C803" s="32"/>
      <c r="D803" s="32"/>
      <c r="E803" s="32"/>
      <c r="F803" s="32"/>
      <c r="G803" s="32"/>
      <c r="H803" s="28" t="str">
        <f aca="false">IF(COUNTA(C803:G803)=0,"",IF(AND(C803="Yes",D803="Yes",E803="Yes",F803="Yes",G803="No"),"Yes","No"))</f>
        <v/>
      </c>
      <c r="I803" s="32"/>
      <c r="J803" s="32"/>
    </row>
    <row r="804" customFormat="false" ht="15" hidden="false" customHeight="false" outlineLevel="0" collapsed="false">
      <c r="A804" s="32"/>
      <c r="B804" s="32"/>
      <c r="C804" s="32"/>
      <c r="D804" s="32"/>
      <c r="E804" s="32"/>
      <c r="F804" s="32"/>
      <c r="G804" s="32"/>
      <c r="H804" s="28" t="str">
        <f aca="false">IF(COUNTA(C804:G804)=0,"",IF(AND(C804="Yes",D804="Yes",E804="Yes",F804="Yes",G804="No"),"Yes","No"))</f>
        <v/>
      </c>
      <c r="I804" s="32"/>
      <c r="J804" s="32"/>
    </row>
    <row r="805" customFormat="false" ht="15" hidden="false" customHeight="false" outlineLevel="0" collapsed="false">
      <c r="A805" s="32"/>
      <c r="B805" s="32"/>
      <c r="C805" s="32"/>
      <c r="D805" s="32"/>
      <c r="E805" s="32"/>
      <c r="F805" s="32"/>
      <c r="G805" s="32"/>
      <c r="H805" s="28" t="str">
        <f aca="false">IF(COUNTA(C805:G805)=0,"",IF(AND(C805="Yes",D805="Yes",E805="Yes",F805="Yes",G805="No"),"Yes","No"))</f>
        <v/>
      </c>
      <c r="I805" s="32"/>
      <c r="J805" s="32"/>
    </row>
    <row r="806" customFormat="false" ht="15" hidden="false" customHeight="false" outlineLevel="0" collapsed="false">
      <c r="A806" s="32"/>
      <c r="B806" s="32"/>
      <c r="C806" s="32"/>
      <c r="D806" s="32"/>
      <c r="E806" s="32"/>
      <c r="F806" s="32"/>
      <c r="G806" s="32"/>
      <c r="H806" s="28" t="str">
        <f aca="false">IF(COUNTA(C806:G806)=0,"",IF(AND(C806="Yes",D806="Yes",E806="Yes",F806="Yes",G806="No"),"Yes","No"))</f>
        <v/>
      </c>
      <c r="I806" s="32"/>
      <c r="J806" s="32"/>
    </row>
    <row r="807" customFormat="false" ht="15" hidden="false" customHeight="false" outlineLevel="0" collapsed="false">
      <c r="A807" s="32"/>
      <c r="B807" s="32"/>
      <c r="C807" s="32"/>
      <c r="D807" s="32"/>
      <c r="E807" s="32"/>
      <c r="F807" s="32"/>
      <c r="G807" s="32"/>
      <c r="H807" s="28" t="str">
        <f aca="false">IF(COUNTA(C807:G807)=0,"",IF(AND(C807="Yes",D807="Yes",E807="Yes",F807="Yes",G807="No"),"Yes","No"))</f>
        <v/>
      </c>
      <c r="I807" s="32"/>
      <c r="J807" s="32"/>
    </row>
    <row r="808" customFormat="false" ht="15" hidden="false" customHeight="false" outlineLevel="0" collapsed="false">
      <c r="A808" s="32"/>
      <c r="B808" s="32"/>
      <c r="C808" s="32"/>
      <c r="D808" s="32"/>
      <c r="E808" s="32"/>
      <c r="F808" s="32"/>
      <c r="G808" s="32"/>
      <c r="H808" s="28" t="str">
        <f aca="false">IF(COUNTA(C808:G808)=0,"",IF(AND(C808="Yes",D808="Yes",E808="Yes",F808="Yes",G808="No"),"Yes","No"))</f>
        <v/>
      </c>
      <c r="I808" s="32"/>
      <c r="J808" s="32"/>
    </row>
    <row r="809" customFormat="false" ht="15" hidden="false" customHeight="false" outlineLevel="0" collapsed="false">
      <c r="A809" s="32"/>
      <c r="B809" s="32"/>
      <c r="C809" s="32"/>
      <c r="D809" s="32"/>
      <c r="E809" s="32"/>
      <c r="F809" s="32"/>
      <c r="G809" s="32"/>
      <c r="H809" s="28" t="str">
        <f aca="false">IF(COUNTA(C809:G809)=0,"",IF(AND(C809="Yes",D809="Yes",E809="Yes",F809="Yes",G809="No"),"Yes","No"))</f>
        <v/>
      </c>
      <c r="I809" s="32"/>
      <c r="J809" s="32"/>
    </row>
    <row r="810" customFormat="false" ht="15" hidden="false" customHeight="false" outlineLevel="0" collapsed="false">
      <c r="A810" s="32"/>
      <c r="B810" s="32"/>
      <c r="C810" s="32"/>
      <c r="D810" s="32"/>
      <c r="E810" s="32"/>
      <c r="F810" s="32"/>
      <c r="G810" s="32"/>
      <c r="H810" s="28" t="str">
        <f aca="false">IF(COUNTA(C810:G810)=0,"",IF(AND(C810="Yes",D810="Yes",E810="Yes",F810="Yes",G810="No"),"Yes","No"))</f>
        <v/>
      </c>
      <c r="I810" s="32"/>
      <c r="J810" s="32"/>
    </row>
    <row r="811" customFormat="false" ht="15" hidden="false" customHeight="false" outlineLevel="0" collapsed="false">
      <c r="A811" s="32"/>
      <c r="B811" s="32"/>
      <c r="C811" s="32"/>
      <c r="D811" s="32"/>
      <c r="E811" s="32"/>
      <c r="F811" s="32"/>
      <c r="G811" s="32"/>
      <c r="H811" s="28" t="str">
        <f aca="false">IF(COUNTA(C811:G811)=0,"",IF(AND(C811="Yes",D811="Yes",E811="Yes",F811="Yes",G811="No"),"Yes","No"))</f>
        <v/>
      </c>
      <c r="I811" s="32"/>
      <c r="J811" s="32"/>
    </row>
    <row r="812" customFormat="false" ht="15" hidden="false" customHeight="false" outlineLevel="0" collapsed="false">
      <c r="A812" s="32"/>
      <c r="B812" s="32"/>
      <c r="C812" s="32"/>
      <c r="D812" s="32"/>
      <c r="E812" s="32"/>
      <c r="F812" s="32"/>
      <c r="G812" s="32"/>
      <c r="H812" s="28" t="str">
        <f aca="false">IF(COUNTA(C812:G812)=0,"",IF(AND(C812="Yes",D812="Yes",E812="Yes",F812="Yes",G812="No"),"Yes","No"))</f>
        <v/>
      </c>
      <c r="I812" s="32"/>
      <c r="J812" s="32"/>
    </row>
    <row r="813" customFormat="false" ht="15" hidden="false" customHeight="false" outlineLevel="0" collapsed="false">
      <c r="A813" s="32"/>
      <c r="B813" s="32"/>
      <c r="C813" s="32"/>
      <c r="D813" s="32"/>
      <c r="E813" s="32"/>
      <c r="F813" s="32"/>
      <c r="G813" s="32"/>
      <c r="H813" s="28" t="str">
        <f aca="false">IF(COUNTA(C813:G813)=0,"",IF(AND(C813="Yes",D813="Yes",E813="Yes",F813="Yes",G813="No"),"Yes","No"))</f>
        <v/>
      </c>
      <c r="I813" s="32"/>
      <c r="J813" s="32"/>
    </row>
    <row r="814" customFormat="false" ht="15" hidden="false" customHeight="false" outlineLevel="0" collapsed="false">
      <c r="A814" s="32"/>
      <c r="B814" s="32"/>
      <c r="C814" s="32"/>
      <c r="D814" s="32"/>
      <c r="E814" s="32"/>
      <c r="F814" s="32"/>
      <c r="G814" s="32"/>
      <c r="H814" s="28" t="str">
        <f aca="false">IF(COUNTA(C814:G814)=0,"",IF(AND(C814="Yes",D814="Yes",E814="Yes",F814="Yes",G814="No"),"Yes","No"))</f>
        <v/>
      </c>
      <c r="I814" s="32"/>
      <c r="J814" s="32"/>
    </row>
    <row r="815" customFormat="false" ht="15" hidden="false" customHeight="false" outlineLevel="0" collapsed="false">
      <c r="A815" s="32"/>
      <c r="B815" s="32"/>
      <c r="C815" s="32"/>
      <c r="D815" s="32"/>
      <c r="E815" s="32"/>
      <c r="F815" s="32"/>
      <c r="G815" s="32"/>
      <c r="H815" s="28" t="str">
        <f aca="false">IF(COUNTA(C815:G815)=0,"",IF(AND(C815="Yes",D815="Yes",E815="Yes",F815="Yes",G815="No"),"Yes","No"))</f>
        <v/>
      </c>
      <c r="I815" s="32"/>
      <c r="J815" s="32"/>
    </row>
    <row r="816" customFormat="false" ht="15" hidden="false" customHeight="false" outlineLevel="0" collapsed="false">
      <c r="A816" s="32"/>
      <c r="B816" s="32"/>
      <c r="C816" s="32"/>
      <c r="D816" s="32"/>
      <c r="E816" s="32"/>
      <c r="F816" s="32"/>
      <c r="G816" s="32"/>
      <c r="H816" s="28" t="str">
        <f aca="false">IF(COUNTA(C816:G816)=0,"",IF(AND(C816="Yes",D816="Yes",E816="Yes",F816="Yes",G816="No"),"Yes","No"))</f>
        <v/>
      </c>
      <c r="I816" s="32"/>
      <c r="J816" s="32"/>
    </row>
    <row r="817" customFormat="false" ht="15" hidden="false" customHeight="false" outlineLevel="0" collapsed="false">
      <c r="A817" s="32"/>
      <c r="B817" s="32"/>
      <c r="C817" s="32"/>
      <c r="D817" s="32"/>
      <c r="E817" s="32"/>
      <c r="F817" s="32"/>
      <c r="G817" s="32"/>
      <c r="H817" s="28" t="str">
        <f aca="false">IF(COUNTA(C817:G817)=0,"",IF(AND(C817="Yes",D817="Yes",E817="Yes",F817="Yes",G817="No"),"Yes","No"))</f>
        <v/>
      </c>
      <c r="I817" s="32"/>
      <c r="J817" s="32"/>
    </row>
    <row r="818" customFormat="false" ht="15" hidden="false" customHeight="false" outlineLevel="0" collapsed="false">
      <c r="A818" s="32"/>
      <c r="B818" s="32"/>
      <c r="C818" s="32"/>
      <c r="D818" s="32"/>
      <c r="E818" s="32"/>
      <c r="F818" s="32"/>
      <c r="G818" s="32"/>
      <c r="H818" s="28" t="str">
        <f aca="false">IF(COUNTA(C818:G818)=0,"",IF(AND(C818="Yes",D818="Yes",E818="Yes",F818="Yes",G818="No"),"Yes","No"))</f>
        <v/>
      </c>
      <c r="I818" s="32"/>
      <c r="J818" s="32"/>
    </row>
    <row r="819" customFormat="false" ht="15" hidden="false" customHeight="false" outlineLevel="0" collapsed="false">
      <c r="A819" s="32"/>
      <c r="B819" s="32"/>
      <c r="C819" s="32"/>
      <c r="D819" s="32"/>
      <c r="E819" s="32"/>
      <c r="F819" s="32"/>
      <c r="G819" s="32"/>
      <c r="H819" s="28" t="str">
        <f aca="false">IF(COUNTA(C819:G819)=0,"",IF(AND(C819="Yes",D819="Yes",E819="Yes",F819="Yes",G819="No"),"Yes","No"))</f>
        <v/>
      </c>
      <c r="I819" s="32"/>
      <c r="J819" s="32"/>
    </row>
    <row r="820" customFormat="false" ht="15" hidden="false" customHeight="false" outlineLevel="0" collapsed="false">
      <c r="A820" s="32"/>
      <c r="B820" s="32"/>
      <c r="C820" s="32"/>
      <c r="D820" s="32"/>
      <c r="E820" s="32"/>
      <c r="F820" s="32"/>
      <c r="G820" s="32"/>
      <c r="H820" s="28" t="str">
        <f aca="false">IF(COUNTA(C820:G820)=0,"",IF(AND(C820="Yes",D820="Yes",E820="Yes",F820="Yes",G820="No"),"Yes","No"))</f>
        <v/>
      </c>
      <c r="I820" s="32"/>
      <c r="J820" s="32"/>
    </row>
    <row r="821" customFormat="false" ht="15" hidden="false" customHeight="false" outlineLevel="0" collapsed="false">
      <c r="A821" s="32"/>
      <c r="B821" s="32"/>
      <c r="C821" s="32"/>
      <c r="D821" s="32"/>
      <c r="E821" s="32"/>
      <c r="F821" s="32"/>
      <c r="G821" s="32"/>
      <c r="H821" s="28" t="str">
        <f aca="false">IF(COUNTA(C821:G821)=0,"",IF(AND(C821="Yes",D821="Yes",E821="Yes",F821="Yes",G821="No"),"Yes","No"))</f>
        <v/>
      </c>
      <c r="I821" s="32"/>
      <c r="J821" s="32"/>
    </row>
    <row r="822" customFormat="false" ht="15" hidden="false" customHeight="false" outlineLevel="0" collapsed="false">
      <c r="A822" s="32"/>
      <c r="B822" s="32"/>
      <c r="C822" s="32"/>
      <c r="D822" s="32"/>
      <c r="E822" s="32"/>
      <c r="F822" s="32"/>
      <c r="G822" s="32"/>
      <c r="H822" s="28" t="str">
        <f aca="false">IF(COUNTA(C822:G822)=0,"",IF(AND(C822="Yes",D822="Yes",E822="Yes",F822="Yes",G822="No"),"Yes","No"))</f>
        <v/>
      </c>
      <c r="I822" s="32"/>
      <c r="J822" s="32"/>
    </row>
    <row r="823" customFormat="false" ht="15" hidden="false" customHeight="false" outlineLevel="0" collapsed="false">
      <c r="A823" s="32"/>
      <c r="B823" s="32"/>
      <c r="C823" s="32"/>
      <c r="D823" s="32"/>
      <c r="E823" s="32"/>
      <c r="F823" s="32"/>
      <c r="G823" s="32"/>
      <c r="H823" s="28" t="str">
        <f aca="false">IF(COUNTA(C823:G823)=0,"",IF(AND(C823="Yes",D823="Yes",E823="Yes",F823="Yes",G823="No"),"Yes","No"))</f>
        <v/>
      </c>
      <c r="I823" s="32"/>
      <c r="J823" s="32"/>
    </row>
    <row r="824" customFormat="false" ht="15" hidden="false" customHeight="false" outlineLevel="0" collapsed="false">
      <c r="A824" s="32"/>
      <c r="B824" s="32"/>
      <c r="C824" s="32"/>
      <c r="D824" s="32"/>
      <c r="E824" s="32"/>
      <c r="F824" s="32"/>
      <c r="G824" s="32"/>
      <c r="H824" s="28" t="str">
        <f aca="false">IF(COUNTA(C824:G824)=0,"",IF(AND(C824="Yes",D824="Yes",E824="Yes",F824="Yes",G824="No"),"Yes","No"))</f>
        <v/>
      </c>
      <c r="I824" s="32"/>
      <c r="J824" s="32"/>
    </row>
    <row r="825" customFormat="false" ht="15" hidden="false" customHeight="false" outlineLevel="0" collapsed="false">
      <c r="A825" s="32"/>
      <c r="B825" s="32"/>
      <c r="C825" s="32"/>
      <c r="D825" s="32"/>
      <c r="E825" s="32"/>
      <c r="F825" s="32"/>
      <c r="G825" s="32"/>
      <c r="H825" s="28" t="str">
        <f aca="false">IF(COUNTA(C825:G825)=0,"",IF(AND(C825="Yes",D825="Yes",E825="Yes",F825="Yes",G825="No"),"Yes","No"))</f>
        <v/>
      </c>
      <c r="I825" s="32"/>
      <c r="J825" s="32"/>
    </row>
    <row r="826" customFormat="false" ht="15" hidden="false" customHeight="false" outlineLevel="0" collapsed="false">
      <c r="A826" s="32"/>
      <c r="B826" s="32"/>
      <c r="C826" s="32"/>
      <c r="D826" s="32"/>
      <c r="E826" s="32"/>
      <c r="F826" s="32"/>
      <c r="G826" s="32"/>
      <c r="H826" s="28" t="str">
        <f aca="false">IF(COUNTA(C826:G826)=0,"",IF(AND(C826="Yes",D826="Yes",E826="Yes",F826="Yes",G826="No"),"Yes","No"))</f>
        <v/>
      </c>
      <c r="I826" s="32"/>
      <c r="J826" s="32"/>
    </row>
    <row r="827" customFormat="false" ht="15" hidden="false" customHeight="false" outlineLevel="0" collapsed="false">
      <c r="A827" s="32"/>
      <c r="B827" s="32"/>
      <c r="C827" s="32"/>
      <c r="D827" s="32"/>
      <c r="E827" s="32"/>
      <c r="F827" s="32"/>
      <c r="G827" s="32"/>
      <c r="H827" s="28" t="str">
        <f aca="false">IF(COUNTA(C827:G827)=0,"",IF(AND(C827="Yes",D827="Yes",E827="Yes",F827="Yes",G827="No"),"Yes","No"))</f>
        <v/>
      </c>
      <c r="I827" s="32"/>
      <c r="J827" s="32"/>
    </row>
    <row r="828" customFormat="false" ht="15" hidden="false" customHeight="false" outlineLevel="0" collapsed="false">
      <c r="A828" s="32"/>
      <c r="B828" s="32"/>
      <c r="C828" s="32"/>
      <c r="D828" s="32"/>
      <c r="E828" s="32"/>
      <c r="F828" s="32"/>
      <c r="G828" s="32"/>
      <c r="H828" s="28" t="str">
        <f aca="false">IF(COUNTA(C828:G828)=0,"",IF(AND(C828="Yes",D828="Yes",E828="Yes",F828="Yes",G828="No"),"Yes","No"))</f>
        <v/>
      </c>
      <c r="I828" s="32"/>
      <c r="J828" s="32"/>
    </row>
    <row r="829" customFormat="false" ht="15" hidden="false" customHeight="false" outlineLevel="0" collapsed="false">
      <c r="A829" s="32"/>
      <c r="B829" s="32"/>
      <c r="C829" s="32"/>
      <c r="D829" s="32"/>
      <c r="E829" s="32"/>
      <c r="F829" s="32"/>
      <c r="G829" s="32"/>
      <c r="H829" s="28" t="str">
        <f aca="false">IF(COUNTA(C829:G829)=0,"",IF(AND(C829="Yes",D829="Yes",E829="Yes",F829="Yes",G829="No"),"Yes","No"))</f>
        <v/>
      </c>
      <c r="I829" s="32"/>
      <c r="J829" s="32"/>
    </row>
    <row r="830" customFormat="false" ht="15" hidden="false" customHeight="false" outlineLevel="0" collapsed="false">
      <c r="A830" s="32"/>
      <c r="B830" s="32"/>
      <c r="C830" s="32"/>
      <c r="D830" s="32"/>
      <c r="E830" s="32"/>
      <c r="F830" s="32"/>
      <c r="G830" s="32"/>
      <c r="H830" s="28" t="str">
        <f aca="false">IF(COUNTA(C830:G830)=0,"",IF(AND(C830="Yes",D830="Yes",E830="Yes",F830="Yes",G830="No"),"Yes","No"))</f>
        <v/>
      </c>
      <c r="I830" s="32"/>
      <c r="J830" s="32"/>
    </row>
    <row r="831" customFormat="false" ht="15" hidden="false" customHeight="false" outlineLevel="0" collapsed="false">
      <c r="A831" s="32"/>
      <c r="B831" s="32"/>
      <c r="C831" s="32"/>
      <c r="D831" s="32"/>
      <c r="E831" s="32"/>
      <c r="F831" s="32"/>
      <c r="G831" s="32"/>
      <c r="H831" s="28" t="str">
        <f aca="false">IF(COUNTA(C831:G831)=0,"",IF(AND(C831="Yes",D831="Yes",E831="Yes",F831="Yes",G831="No"),"Yes","No"))</f>
        <v/>
      </c>
      <c r="I831" s="32"/>
      <c r="J831" s="32"/>
    </row>
    <row r="832" customFormat="false" ht="15" hidden="false" customHeight="false" outlineLevel="0" collapsed="false">
      <c r="A832" s="32"/>
      <c r="B832" s="32"/>
      <c r="C832" s="32"/>
      <c r="D832" s="32"/>
      <c r="E832" s="32"/>
      <c r="F832" s="32"/>
      <c r="G832" s="32"/>
      <c r="H832" s="28" t="str">
        <f aca="false">IF(COUNTA(C832:G832)=0,"",IF(AND(C832="Yes",D832="Yes",E832="Yes",F832="Yes",G832="No"),"Yes","No"))</f>
        <v/>
      </c>
      <c r="I832" s="32"/>
      <c r="J832" s="32"/>
    </row>
    <row r="833" customFormat="false" ht="15" hidden="false" customHeight="false" outlineLevel="0" collapsed="false">
      <c r="A833" s="32"/>
      <c r="B833" s="32"/>
      <c r="C833" s="32"/>
      <c r="D833" s="32"/>
      <c r="E833" s="32"/>
      <c r="F833" s="32"/>
      <c r="G833" s="32"/>
      <c r="H833" s="28" t="str">
        <f aca="false">IF(COUNTA(C833:G833)=0,"",IF(AND(C833="Yes",D833="Yes",E833="Yes",F833="Yes",G833="No"),"Yes","No"))</f>
        <v/>
      </c>
      <c r="I833" s="32"/>
      <c r="J833" s="32"/>
    </row>
    <row r="834" customFormat="false" ht="15" hidden="false" customHeight="false" outlineLevel="0" collapsed="false">
      <c r="A834" s="32"/>
      <c r="B834" s="32"/>
      <c r="C834" s="32"/>
      <c r="D834" s="32"/>
      <c r="E834" s="32"/>
      <c r="F834" s="32"/>
      <c r="G834" s="32"/>
      <c r="H834" s="28" t="str">
        <f aca="false">IF(COUNTA(C834:G834)=0,"",IF(AND(C834="Yes",D834="Yes",E834="Yes",F834="Yes",G834="No"),"Yes","No"))</f>
        <v/>
      </c>
      <c r="I834" s="32"/>
      <c r="J834" s="32"/>
    </row>
    <row r="835" customFormat="false" ht="15" hidden="false" customHeight="false" outlineLevel="0" collapsed="false">
      <c r="A835" s="32"/>
      <c r="B835" s="32"/>
      <c r="C835" s="32"/>
      <c r="D835" s="32"/>
      <c r="E835" s="32"/>
      <c r="F835" s="32"/>
      <c r="G835" s="32"/>
      <c r="H835" s="28" t="str">
        <f aca="false">IF(COUNTA(C835:G835)=0,"",IF(AND(C835="Yes",D835="Yes",E835="Yes",F835="Yes",G835="No"),"Yes","No"))</f>
        <v/>
      </c>
      <c r="I835" s="32"/>
      <c r="J835" s="32"/>
    </row>
    <row r="836" customFormat="false" ht="15" hidden="false" customHeight="false" outlineLevel="0" collapsed="false">
      <c r="A836" s="32"/>
      <c r="B836" s="32"/>
      <c r="C836" s="32"/>
      <c r="D836" s="32"/>
      <c r="E836" s="32"/>
      <c r="F836" s="32"/>
      <c r="G836" s="32"/>
      <c r="H836" s="28" t="str">
        <f aca="false">IF(COUNTA(C836:G836)=0,"",IF(AND(C836="Yes",D836="Yes",E836="Yes",F836="Yes",G836="No"),"Yes","No"))</f>
        <v/>
      </c>
      <c r="I836" s="32"/>
      <c r="J836" s="32"/>
    </row>
    <row r="837" customFormat="false" ht="15" hidden="false" customHeight="false" outlineLevel="0" collapsed="false">
      <c r="A837" s="32"/>
      <c r="B837" s="32"/>
      <c r="C837" s="32"/>
      <c r="D837" s="32"/>
      <c r="E837" s="32"/>
      <c r="F837" s="32"/>
      <c r="G837" s="32"/>
      <c r="H837" s="28" t="str">
        <f aca="false">IF(COUNTA(C837:G837)=0,"",IF(AND(C837="Yes",D837="Yes",E837="Yes",F837="Yes",G837="No"),"Yes","No"))</f>
        <v/>
      </c>
      <c r="I837" s="32"/>
      <c r="J837" s="32"/>
    </row>
    <row r="838" customFormat="false" ht="15" hidden="false" customHeight="false" outlineLevel="0" collapsed="false">
      <c r="A838" s="32"/>
      <c r="B838" s="32"/>
      <c r="C838" s="32"/>
      <c r="D838" s="32"/>
      <c r="E838" s="32"/>
      <c r="F838" s="32"/>
      <c r="G838" s="32"/>
      <c r="H838" s="28" t="str">
        <f aca="false">IF(COUNTA(C838:G838)=0,"",IF(AND(C838="Yes",D838="Yes",E838="Yes",F838="Yes",G838="No"),"Yes","No"))</f>
        <v/>
      </c>
      <c r="I838" s="32"/>
      <c r="J838" s="32"/>
    </row>
    <row r="839" customFormat="false" ht="15" hidden="false" customHeight="false" outlineLevel="0" collapsed="false">
      <c r="A839" s="32"/>
      <c r="B839" s="32"/>
      <c r="C839" s="32"/>
      <c r="D839" s="32"/>
      <c r="E839" s="32"/>
      <c r="F839" s="32"/>
      <c r="G839" s="32"/>
      <c r="H839" s="28" t="str">
        <f aca="false">IF(COUNTA(C839:G839)=0,"",IF(AND(C839="Yes",D839="Yes",E839="Yes",F839="Yes",G839="No"),"Yes","No"))</f>
        <v/>
      </c>
      <c r="I839" s="32"/>
      <c r="J839" s="32"/>
    </row>
    <row r="840" customFormat="false" ht="15" hidden="false" customHeight="false" outlineLevel="0" collapsed="false">
      <c r="A840" s="32"/>
      <c r="B840" s="32"/>
      <c r="C840" s="32"/>
      <c r="D840" s="32"/>
      <c r="E840" s="32"/>
      <c r="F840" s="32"/>
      <c r="G840" s="32"/>
      <c r="H840" s="28" t="str">
        <f aca="false">IF(COUNTA(C840:G840)=0,"",IF(AND(C840="Yes",D840="Yes",E840="Yes",F840="Yes",G840="No"),"Yes","No"))</f>
        <v/>
      </c>
      <c r="I840" s="32"/>
      <c r="J840" s="32"/>
    </row>
    <row r="841" customFormat="false" ht="15" hidden="false" customHeight="false" outlineLevel="0" collapsed="false">
      <c r="A841" s="32"/>
      <c r="B841" s="32"/>
      <c r="C841" s="32"/>
      <c r="D841" s="32"/>
      <c r="E841" s="32"/>
      <c r="F841" s="32"/>
      <c r="G841" s="32"/>
      <c r="H841" s="28" t="str">
        <f aca="false">IF(COUNTA(C841:G841)=0,"",IF(AND(C841="Yes",D841="Yes",E841="Yes",F841="Yes",G841="No"),"Yes","No"))</f>
        <v/>
      </c>
      <c r="I841" s="32"/>
      <c r="J841" s="32"/>
    </row>
    <row r="842" customFormat="false" ht="15" hidden="false" customHeight="false" outlineLevel="0" collapsed="false">
      <c r="A842" s="32"/>
      <c r="B842" s="32"/>
      <c r="C842" s="32"/>
      <c r="D842" s="32"/>
      <c r="E842" s="32"/>
      <c r="F842" s="32"/>
      <c r="G842" s="32"/>
      <c r="H842" s="28" t="str">
        <f aca="false">IF(COUNTA(C842:G842)=0,"",IF(AND(C842="Yes",D842="Yes",E842="Yes",F842="Yes",G842="No"),"Yes","No"))</f>
        <v/>
      </c>
      <c r="I842" s="32"/>
      <c r="J842" s="32"/>
    </row>
    <row r="843" customFormat="false" ht="15" hidden="false" customHeight="false" outlineLevel="0" collapsed="false">
      <c r="A843" s="32"/>
      <c r="B843" s="32"/>
      <c r="C843" s="32"/>
      <c r="D843" s="32"/>
      <c r="E843" s="32"/>
      <c r="F843" s="32"/>
      <c r="G843" s="32"/>
      <c r="H843" s="28" t="str">
        <f aca="false">IF(COUNTA(C843:G843)=0,"",IF(AND(C843="Yes",D843="Yes",E843="Yes",F843="Yes",G843="No"),"Yes","No"))</f>
        <v/>
      </c>
      <c r="I843" s="32"/>
      <c r="J843" s="32"/>
    </row>
    <row r="844" customFormat="false" ht="15" hidden="false" customHeight="false" outlineLevel="0" collapsed="false">
      <c r="A844" s="32"/>
      <c r="B844" s="32"/>
      <c r="C844" s="32"/>
      <c r="D844" s="32"/>
      <c r="E844" s="32"/>
      <c r="F844" s="32"/>
      <c r="G844" s="32"/>
      <c r="H844" s="28" t="str">
        <f aca="false">IF(COUNTA(C844:G844)=0,"",IF(AND(C844="Yes",D844="Yes",E844="Yes",F844="Yes",G844="No"),"Yes","No"))</f>
        <v/>
      </c>
      <c r="I844" s="32"/>
      <c r="J844" s="32"/>
    </row>
    <row r="845" customFormat="false" ht="15" hidden="false" customHeight="false" outlineLevel="0" collapsed="false">
      <c r="A845" s="32"/>
      <c r="B845" s="32"/>
      <c r="C845" s="32"/>
      <c r="D845" s="32"/>
      <c r="E845" s="32"/>
      <c r="F845" s="32"/>
      <c r="G845" s="32"/>
      <c r="H845" s="28" t="str">
        <f aca="false">IF(COUNTA(C845:G845)=0,"",IF(AND(C845="Yes",D845="Yes",E845="Yes",F845="Yes",G845="No"),"Yes","No"))</f>
        <v/>
      </c>
      <c r="I845" s="32"/>
      <c r="J845" s="32"/>
    </row>
    <row r="846" customFormat="false" ht="15" hidden="false" customHeight="false" outlineLevel="0" collapsed="false">
      <c r="A846" s="32"/>
      <c r="B846" s="32"/>
      <c r="C846" s="32"/>
      <c r="D846" s="32"/>
      <c r="E846" s="32"/>
      <c r="F846" s="32"/>
      <c r="G846" s="32"/>
      <c r="H846" s="28" t="str">
        <f aca="false">IF(COUNTA(C846:G846)=0,"",IF(AND(C846="Yes",D846="Yes",E846="Yes",F846="Yes",G846="No"),"Yes","No"))</f>
        <v/>
      </c>
      <c r="I846" s="32"/>
      <c r="J846" s="32"/>
    </row>
    <row r="847" customFormat="false" ht="15" hidden="false" customHeight="false" outlineLevel="0" collapsed="false">
      <c r="A847" s="32"/>
      <c r="B847" s="32"/>
      <c r="C847" s="32"/>
      <c r="D847" s="32"/>
      <c r="E847" s="32"/>
      <c r="F847" s="32"/>
      <c r="G847" s="32"/>
      <c r="H847" s="28" t="str">
        <f aca="false">IF(COUNTA(C847:G847)=0,"",IF(AND(C847="Yes",D847="Yes",E847="Yes",F847="Yes",G847="No"),"Yes","No"))</f>
        <v/>
      </c>
      <c r="I847" s="32"/>
      <c r="J847" s="32"/>
    </row>
    <row r="848" customFormat="false" ht="15" hidden="false" customHeight="false" outlineLevel="0" collapsed="false">
      <c r="A848" s="32"/>
      <c r="B848" s="32"/>
      <c r="C848" s="32"/>
      <c r="D848" s="32"/>
      <c r="E848" s="32"/>
      <c r="F848" s="32"/>
      <c r="G848" s="32"/>
      <c r="H848" s="28" t="str">
        <f aca="false">IF(COUNTA(C848:G848)=0,"",IF(AND(C848="Yes",D848="Yes",E848="Yes",F848="Yes",G848="No"),"Yes","No"))</f>
        <v/>
      </c>
      <c r="I848" s="32"/>
      <c r="J848" s="32"/>
    </row>
    <row r="849" customFormat="false" ht="15" hidden="false" customHeight="false" outlineLevel="0" collapsed="false">
      <c r="A849" s="32"/>
      <c r="B849" s="32"/>
      <c r="C849" s="32"/>
      <c r="D849" s="32"/>
      <c r="E849" s="32"/>
      <c r="F849" s="32"/>
      <c r="G849" s="32"/>
      <c r="H849" s="28" t="str">
        <f aca="false">IF(COUNTA(C849:G849)=0,"",IF(AND(C849="Yes",D849="Yes",E849="Yes",F849="Yes",G849="No"),"Yes","No"))</f>
        <v/>
      </c>
      <c r="I849" s="32"/>
      <c r="J849" s="32"/>
    </row>
    <row r="850" customFormat="false" ht="15" hidden="false" customHeight="false" outlineLevel="0" collapsed="false">
      <c r="A850" s="32"/>
      <c r="B850" s="32"/>
      <c r="C850" s="32"/>
      <c r="D850" s="32"/>
      <c r="E850" s="32"/>
      <c r="F850" s="32"/>
      <c r="G850" s="32"/>
      <c r="H850" s="28" t="str">
        <f aca="false">IF(COUNTA(C850:G850)=0,"",IF(AND(C850="Yes",D850="Yes",E850="Yes",F850="Yes",G850="No"),"Yes","No"))</f>
        <v/>
      </c>
      <c r="I850" s="32"/>
      <c r="J850" s="32"/>
    </row>
    <row r="851" customFormat="false" ht="15" hidden="false" customHeight="false" outlineLevel="0" collapsed="false">
      <c r="A851" s="32"/>
      <c r="B851" s="32"/>
      <c r="C851" s="32"/>
      <c r="D851" s="32"/>
      <c r="E851" s="32"/>
      <c r="F851" s="32"/>
      <c r="G851" s="32"/>
      <c r="H851" s="28" t="str">
        <f aca="false">IF(COUNTA(C851:G851)=0,"",IF(AND(C851="Yes",D851="Yes",E851="Yes",F851="Yes",G851="No"),"Yes","No"))</f>
        <v/>
      </c>
      <c r="I851" s="32"/>
      <c r="J851" s="32"/>
    </row>
    <row r="852" customFormat="false" ht="15" hidden="false" customHeight="false" outlineLevel="0" collapsed="false">
      <c r="A852" s="32"/>
      <c r="B852" s="32"/>
      <c r="C852" s="32"/>
      <c r="D852" s="32"/>
      <c r="E852" s="32"/>
      <c r="F852" s="32"/>
      <c r="G852" s="32"/>
      <c r="H852" s="28" t="str">
        <f aca="false">IF(COUNTA(C852:G852)=0,"",IF(AND(C852="Yes",D852="Yes",E852="Yes",F852="Yes",G852="No"),"Yes","No"))</f>
        <v/>
      </c>
      <c r="I852" s="32"/>
      <c r="J852" s="32"/>
    </row>
    <row r="853" customFormat="false" ht="15" hidden="false" customHeight="false" outlineLevel="0" collapsed="false">
      <c r="A853" s="32"/>
      <c r="B853" s="32"/>
      <c r="C853" s="32"/>
      <c r="D853" s="32"/>
      <c r="E853" s="32"/>
      <c r="F853" s="32"/>
      <c r="G853" s="32"/>
      <c r="H853" s="28" t="str">
        <f aca="false">IF(COUNTA(C853:G853)=0,"",IF(AND(C853="Yes",D853="Yes",E853="Yes",F853="Yes",G853="No"),"Yes","No"))</f>
        <v/>
      </c>
      <c r="I853" s="32"/>
      <c r="J853" s="32"/>
    </row>
    <row r="854" customFormat="false" ht="15" hidden="false" customHeight="false" outlineLevel="0" collapsed="false">
      <c r="A854" s="32"/>
      <c r="B854" s="32"/>
      <c r="C854" s="32"/>
      <c r="D854" s="32"/>
      <c r="E854" s="32"/>
      <c r="F854" s="32"/>
      <c r="G854" s="32"/>
      <c r="H854" s="28" t="str">
        <f aca="false">IF(COUNTA(C854:G854)=0,"",IF(AND(C854="Yes",D854="Yes",E854="Yes",F854="Yes",G854="No"),"Yes","No"))</f>
        <v/>
      </c>
      <c r="I854" s="32"/>
      <c r="J854" s="32"/>
    </row>
    <row r="855" customFormat="false" ht="15" hidden="false" customHeight="false" outlineLevel="0" collapsed="false">
      <c r="A855" s="32"/>
      <c r="B855" s="32"/>
      <c r="C855" s="32"/>
      <c r="D855" s="32"/>
      <c r="E855" s="32"/>
      <c r="F855" s="32"/>
      <c r="G855" s="32"/>
      <c r="H855" s="28" t="str">
        <f aca="false">IF(COUNTA(C855:G855)=0,"",IF(AND(C855="Yes",D855="Yes",E855="Yes",F855="Yes",G855="No"),"Yes","No"))</f>
        <v/>
      </c>
      <c r="I855" s="32"/>
      <c r="J855" s="32"/>
    </row>
    <row r="856" customFormat="false" ht="15" hidden="false" customHeight="false" outlineLevel="0" collapsed="false">
      <c r="A856" s="32"/>
      <c r="B856" s="32"/>
      <c r="C856" s="32"/>
      <c r="D856" s="32"/>
      <c r="E856" s="32"/>
      <c r="F856" s="32"/>
      <c r="G856" s="32"/>
      <c r="H856" s="28" t="str">
        <f aca="false">IF(COUNTA(C856:G856)=0,"",IF(AND(C856="Yes",D856="Yes",E856="Yes",F856="Yes",G856="No"),"Yes","No"))</f>
        <v/>
      </c>
      <c r="I856" s="32"/>
      <c r="J856" s="32"/>
    </row>
    <row r="857" customFormat="false" ht="15" hidden="false" customHeight="false" outlineLevel="0" collapsed="false">
      <c r="A857" s="32"/>
      <c r="B857" s="32"/>
      <c r="C857" s="32"/>
      <c r="D857" s="32"/>
      <c r="E857" s="32"/>
      <c r="F857" s="32"/>
      <c r="G857" s="32"/>
      <c r="H857" s="28" t="str">
        <f aca="false">IF(COUNTA(C857:G857)=0,"",IF(AND(C857="Yes",D857="Yes",E857="Yes",F857="Yes",G857="No"),"Yes","No"))</f>
        <v/>
      </c>
      <c r="I857" s="32"/>
      <c r="J857" s="32"/>
    </row>
    <row r="858" customFormat="false" ht="15" hidden="false" customHeight="false" outlineLevel="0" collapsed="false">
      <c r="A858" s="32"/>
      <c r="B858" s="32"/>
      <c r="C858" s="32"/>
      <c r="D858" s="32"/>
      <c r="E858" s="32"/>
      <c r="F858" s="32"/>
      <c r="G858" s="32"/>
      <c r="H858" s="28" t="str">
        <f aca="false">IF(COUNTA(C858:G858)=0,"",IF(AND(C858="Yes",D858="Yes",E858="Yes",F858="Yes",G858="No"),"Yes","No"))</f>
        <v/>
      </c>
      <c r="I858" s="32"/>
      <c r="J858" s="32"/>
    </row>
    <row r="859" customFormat="false" ht="15" hidden="false" customHeight="false" outlineLevel="0" collapsed="false">
      <c r="A859" s="32"/>
      <c r="B859" s="32"/>
      <c r="C859" s="32"/>
      <c r="D859" s="32"/>
      <c r="E859" s="32"/>
      <c r="F859" s="32"/>
      <c r="G859" s="32"/>
      <c r="H859" s="28" t="str">
        <f aca="false">IF(COUNTA(C859:G859)=0,"",IF(AND(C859="Yes",D859="Yes",E859="Yes",F859="Yes",G859="No"),"Yes","No"))</f>
        <v/>
      </c>
      <c r="I859" s="32"/>
      <c r="J859" s="32"/>
    </row>
    <row r="860" customFormat="false" ht="15" hidden="false" customHeight="false" outlineLevel="0" collapsed="false">
      <c r="A860" s="32"/>
      <c r="B860" s="32"/>
      <c r="C860" s="32"/>
      <c r="D860" s="32"/>
      <c r="E860" s="32"/>
      <c r="F860" s="32"/>
      <c r="G860" s="32"/>
      <c r="H860" s="28" t="str">
        <f aca="false">IF(COUNTA(C860:G860)=0,"",IF(AND(C860="Yes",D860="Yes",E860="Yes",F860="Yes",G860="No"),"Yes","No"))</f>
        <v/>
      </c>
      <c r="I860" s="32"/>
      <c r="J860" s="32"/>
    </row>
    <row r="861" customFormat="false" ht="15" hidden="false" customHeight="false" outlineLevel="0" collapsed="false">
      <c r="A861" s="32"/>
      <c r="B861" s="32"/>
      <c r="C861" s="32"/>
      <c r="D861" s="32"/>
      <c r="E861" s="32"/>
      <c r="F861" s="32"/>
      <c r="G861" s="32"/>
      <c r="H861" s="28" t="str">
        <f aca="false">IF(COUNTA(C861:G861)=0,"",IF(AND(C861="Yes",D861="Yes",E861="Yes",F861="Yes",G861="No"),"Yes","No"))</f>
        <v/>
      </c>
      <c r="I861" s="32"/>
      <c r="J861" s="32"/>
    </row>
    <row r="862" customFormat="false" ht="15" hidden="false" customHeight="false" outlineLevel="0" collapsed="false">
      <c r="A862" s="32"/>
      <c r="B862" s="32"/>
      <c r="C862" s="32"/>
      <c r="D862" s="32"/>
      <c r="E862" s="32"/>
      <c r="F862" s="32"/>
      <c r="G862" s="32"/>
      <c r="H862" s="28" t="str">
        <f aca="false">IF(COUNTA(C862:G862)=0,"",IF(AND(C862="Yes",D862="Yes",E862="Yes",F862="Yes",G862="No"),"Yes","No"))</f>
        <v/>
      </c>
      <c r="I862" s="32"/>
      <c r="J862" s="32"/>
    </row>
    <row r="863" customFormat="false" ht="15" hidden="false" customHeight="false" outlineLevel="0" collapsed="false">
      <c r="A863" s="32"/>
      <c r="B863" s="32"/>
      <c r="C863" s="32"/>
      <c r="D863" s="32"/>
      <c r="E863" s="32"/>
      <c r="F863" s="32"/>
      <c r="G863" s="32"/>
      <c r="H863" s="28" t="str">
        <f aca="false">IF(COUNTA(C863:G863)=0,"",IF(AND(C863="Yes",D863="Yes",E863="Yes",F863="Yes",G863="No"),"Yes","No"))</f>
        <v/>
      </c>
      <c r="I863" s="32"/>
      <c r="J863" s="32"/>
    </row>
    <row r="864" customFormat="false" ht="15" hidden="false" customHeight="false" outlineLevel="0" collapsed="false">
      <c r="A864" s="32"/>
      <c r="B864" s="32"/>
      <c r="C864" s="32"/>
      <c r="D864" s="32"/>
      <c r="E864" s="32"/>
      <c r="F864" s="32"/>
      <c r="G864" s="32"/>
      <c r="H864" s="28" t="str">
        <f aca="false">IF(COUNTA(C864:G864)=0,"",IF(AND(C864="Yes",D864="Yes",E864="Yes",F864="Yes",G864="No"),"Yes","No"))</f>
        <v/>
      </c>
      <c r="I864" s="32"/>
      <c r="J864" s="32"/>
    </row>
    <row r="865" customFormat="false" ht="15" hidden="false" customHeight="false" outlineLevel="0" collapsed="false">
      <c r="A865" s="32"/>
      <c r="B865" s="32"/>
      <c r="C865" s="32"/>
      <c r="D865" s="32"/>
      <c r="E865" s="32"/>
      <c r="F865" s="32"/>
      <c r="G865" s="32"/>
      <c r="H865" s="28" t="str">
        <f aca="false">IF(COUNTA(C865:G865)=0,"",IF(AND(C865="Yes",D865="Yes",E865="Yes",F865="Yes",G865="No"),"Yes","No"))</f>
        <v/>
      </c>
      <c r="I865" s="32"/>
      <c r="J865" s="32"/>
    </row>
    <row r="866" customFormat="false" ht="15" hidden="false" customHeight="false" outlineLevel="0" collapsed="false">
      <c r="A866" s="32"/>
      <c r="B866" s="32"/>
      <c r="C866" s="32"/>
      <c r="D866" s="32"/>
      <c r="E866" s="32"/>
      <c r="F866" s="32"/>
      <c r="G866" s="32"/>
      <c r="H866" s="28" t="str">
        <f aca="false">IF(COUNTA(C866:G866)=0,"",IF(AND(C866="Yes",D866="Yes",E866="Yes",F866="Yes",G866="No"),"Yes","No"))</f>
        <v/>
      </c>
      <c r="I866" s="32"/>
      <c r="J866" s="32"/>
    </row>
    <row r="867" customFormat="false" ht="15" hidden="false" customHeight="false" outlineLevel="0" collapsed="false">
      <c r="A867" s="32"/>
      <c r="B867" s="32"/>
      <c r="C867" s="32"/>
      <c r="D867" s="32"/>
      <c r="E867" s="32"/>
      <c r="F867" s="32"/>
      <c r="G867" s="32"/>
      <c r="H867" s="28" t="str">
        <f aca="false">IF(COUNTA(C867:G867)=0,"",IF(AND(C867="Yes",D867="Yes",E867="Yes",F867="Yes",G867="No"),"Yes","No"))</f>
        <v/>
      </c>
      <c r="I867" s="32"/>
      <c r="J867" s="32"/>
    </row>
    <row r="868" customFormat="false" ht="15" hidden="false" customHeight="false" outlineLevel="0" collapsed="false">
      <c r="A868" s="32"/>
      <c r="B868" s="32"/>
      <c r="C868" s="32"/>
      <c r="D868" s="32"/>
      <c r="E868" s="32"/>
      <c r="F868" s="32"/>
      <c r="G868" s="32"/>
      <c r="H868" s="28" t="str">
        <f aca="false">IF(COUNTA(C868:G868)=0,"",IF(AND(C868="Yes",D868="Yes",E868="Yes",F868="Yes",G868="No"),"Yes","No"))</f>
        <v/>
      </c>
      <c r="I868" s="32"/>
      <c r="J868" s="32"/>
    </row>
    <row r="869" customFormat="false" ht="15" hidden="false" customHeight="false" outlineLevel="0" collapsed="false">
      <c r="A869" s="32"/>
      <c r="B869" s="32"/>
      <c r="C869" s="32"/>
      <c r="D869" s="32"/>
      <c r="E869" s="32"/>
      <c r="F869" s="32"/>
      <c r="G869" s="32"/>
      <c r="H869" s="28" t="str">
        <f aca="false">IF(COUNTA(C869:G869)=0,"",IF(AND(C869="Yes",D869="Yes",E869="Yes",F869="Yes",G869="No"),"Yes","No"))</f>
        <v/>
      </c>
      <c r="I869" s="32"/>
      <c r="J869" s="32"/>
    </row>
    <row r="870" customFormat="false" ht="15" hidden="false" customHeight="false" outlineLevel="0" collapsed="false">
      <c r="A870" s="32"/>
      <c r="B870" s="32"/>
      <c r="C870" s="32"/>
      <c r="D870" s="32"/>
      <c r="E870" s="32"/>
      <c r="F870" s="32"/>
      <c r="G870" s="32"/>
      <c r="H870" s="28" t="str">
        <f aca="false">IF(COUNTA(C870:G870)=0,"",IF(AND(C870="Yes",D870="Yes",E870="Yes",F870="Yes",G870="No"),"Yes","No"))</f>
        <v/>
      </c>
      <c r="I870" s="32"/>
      <c r="J870" s="32"/>
    </row>
    <row r="871" customFormat="false" ht="15" hidden="false" customHeight="false" outlineLevel="0" collapsed="false">
      <c r="A871" s="32"/>
      <c r="B871" s="32"/>
      <c r="C871" s="32"/>
      <c r="D871" s="32"/>
      <c r="E871" s="32"/>
      <c r="F871" s="32"/>
      <c r="G871" s="32"/>
      <c r="H871" s="28" t="str">
        <f aca="false">IF(COUNTA(C871:G871)=0,"",IF(AND(C871="Yes",D871="Yes",E871="Yes",F871="Yes",G871="No"),"Yes","No"))</f>
        <v/>
      </c>
      <c r="I871" s="32"/>
      <c r="J871" s="32"/>
    </row>
    <row r="872" customFormat="false" ht="15" hidden="false" customHeight="false" outlineLevel="0" collapsed="false">
      <c r="A872" s="32"/>
      <c r="B872" s="32"/>
      <c r="C872" s="32"/>
      <c r="D872" s="32"/>
      <c r="E872" s="32"/>
      <c r="F872" s="32"/>
      <c r="G872" s="32"/>
      <c r="H872" s="28" t="str">
        <f aca="false">IF(COUNTA(C872:G872)=0,"",IF(AND(C872="Yes",D872="Yes",E872="Yes",F872="Yes",G872="No"),"Yes","No"))</f>
        <v/>
      </c>
      <c r="I872" s="32"/>
      <c r="J872" s="32"/>
    </row>
    <row r="873" customFormat="false" ht="15" hidden="false" customHeight="false" outlineLevel="0" collapsed="false">
      <c r="A873" s="32"/>
      <c r="B873" s="32"/>
      <c r="C873" s="32"/>
      <c r="D873" s="32"/>
      <c r="E873" s="32"/>
      <c r="F873" s="32"/>
      <c r="G873" s="32"/>
      <c r="H873" s="28" t="str">
        <f aca="false">IF(COUNTA(C873:G873)=0,"",IF(AND(C873="Yes",D873="Yes",E873="Yes",F873="Yes",G873="No"),"Yes","No"))</f>
        <v/>
      </c>
      <c r="I873" s="32"/>
      <c r="J873" s="32"/>
    </row>
    <row r="874" customFormat="false" ht="15" hidden="false" customHeight="false" outlineLevel="0" collapsed="false">
      <c r="A874" s="32"/>
      <c r="B874" s="32"/>
      <c r="C874" s="32"/>
      <c r="D874" s="32"/>
      <c r="E874" s="32"/>
      <c r="F874" s="32"/>
      <c r="G874" s="32"/>
      <c r="H874" s="28" t="str">
        <f aca="false">IF(COUNTA(C874:G874)=0,"",IF(AND(C874="Yes",D874="Yes",E874="Yes",F874="Yes",G874="No"),"Yes","No"))</f>
        <v/>
      </c>
      <c r="I874" s="32"/>
      <c r="J874" s="32"/>
    </row>
    <row r="875" customFormat="false" ht="15" hidden="false" customHeight="false" outlineLevel="0" collapsed="false">
      <c r="A875" s="32"/>
      <c r="B875" s="32"/>
      <c r="C875" s="32"/>
      <c r="D875" s="32"/>
      <c r="E875" s="32"/>
      <c r="F875" s="32"/>
      <c r="G875" s="32"/>
      <c r="H875" s="28" t="str">
        <f aca="false">IF(COUNTA(C875:G875)=0,"",IF(AND(C875="Yes",D875="Yes",E875="Yes",F875="Yes",G875="No"),"Yes","No"))</f>
        <v/>
      </c>
      <c r="I875" s="32"/>
      <c r="J875" s="32"/>
    </row>
    <row r="876" customFormat="false" ht="15" hidden="false" customHeight="false" outlineLevel="0" collapsed="false">
      <c r="A876" s="32"/>
      <c r="B876" s="32"/>
      <c r="C876" s="32"/>
      <c r="D876" s="32"/>
      <c r="E876" s="32"/>
      <c r="F876" s="32"/>
      <c r="G876" s="32"/>
      <c r="H876" s="28" t="str">
        <f aca="false">IF(COUNTA(C876:G876)=0,"",IF(AND(C876="Yes",D876="Yes",E876="Yes",F876="Yes",G876="No"),"Yes","No"))</f>
        <v/>
      </c>
      <c r="I876" s="32"/>
      <c r="J876" s="32"/>
    </row>
    <row r="877" customFormat="false" ht="15" hidden="false" customHeight="false" outlineLevel="0" collapsed="false">
      <c r="A877" s="32"/>
      <c r="B877" s="32"/>
      <c r="C877" s="32"/>
      <c r="D877" s="32"/>
      <c r="E877" s="32"/>
      <c r="F877" s="32"/>
      <c r="G877" s="32"/>
      <c r="H877" s="28" t="str">
        <f aca="false">IF(COUNTA(C877:G877)=0,"",IF(AND(C877="Yes",D877="Yes",E877="Yes",F877="Yes",G877="No"),"Yes","No"))</f>
        <v/>
      </c>
      <c r="I877" s="32"/>
      <c r="J877" s="32"/>
    </row>
    <row r="878" customFormat="false" ht="15" hidden="false" customHeight="false" outlineLevel="0" collapsed="false">
      <c r="A878" s="32"/>
      <c r="B878" s="32"/>
      <c r="C878" s="32"/>
      <c r="D878" s="32"/>
      <c r="E878" s="32"/>
      <c r="F878" s="32"/>
      <c r="G878" s="32"/>
      <c r="H878" s="28" t="str">
        <f aca="false">IF(COUNTA(C878:G878)=0,"",IF(AND(C878="Yes",D878="Yes",E878="Yes",F878="Yes",G878="No"),"Yes","No"))</f>
        <v/>
      </c>
      <c r="I878" s="32"/>
      <c r="J878" s="32"/>
    </row>
    <row r="879" customFormat="false" ht="15" hidden="false" customHeight="false" outlineLevel="0" collapsed="false">
      <c r="A879" s="32"/>
      <c r="B879" s="32"/>
      <c r="C879" s="32"/>
      <c r="D879" s="32"/>
      <c r="E879" s="32"/>
      <c r="F879" s="32"/>
      <c r="G879" s="32"/>
      <c r="H879" s="28" t="str">
        <f aca="false">IF(COUNTA(C879:G879)=0,"",IF(AND(C879="Yes",D879="Yes",E879="Yes",F879="Yes",G879="No"),"Yes","No"))</f>
        <v/>
      </c>
      <c r="I879" s="32"/>
      <c r="J879" s="32"/>
    </row>
    <row r="880" customFormat="false" ht="15" hidden="false" customHeight="false" outlineLevel="0" collapsed="false">
      <c r="A880" s="32"/>
      <c r="B880" s="32"/>
      <c r="C880" s="32"/>
      <c r="D880" s="32"/>
      <c r="E880" s="32"/>
      <c r="F880" s="32"/>
      <c r="G880" s="32"/>
      <c r="H880" s="28" t="str">
        <f aca="false">IF(COUNTA(C880:G880)=0,"",IF(AND(C880="Yes",D880="Yes",E880="Yes",F880="Yes",G880="No"),"Yes","No"))</f>
        <v/>
      </c>
      <c r="I880" s="32"/>
      <c r="J880" s="32"/>
    </row>
    <row r="881" customFormat="false" ht="15" hidden="false" customHeight="false" outlineLevel="0" collapsed="false">
      <c r="A881" s="32"/>
      <c r="B881" s="32"/>
      <c r="C881" s="32"/>
      <c r="D881" s="32"/>
      <c r="E881" s="32"/>
      <c r="F881" s="32"/>
      <c r="G881" s="32"/>
      <c r="H881" s="28" t="str">
        <f aca="false">IF(COUNTA(C881:G881)=0,"",IF(AND(C881="Yes",D881="Yes",E881="Yes",F881="Yes",G881="No"),"Yes","No"))</f>
        <v/>
      </c>
      <c r="I881" s="32"/>
      <c r="J881" s="32"/>
    </row>
    <row r="882" customFormat="false" ht="15" hidden="false" customHeight="false" outlineLevel="0" collapsed="false">
      <c r="A882" s="32"/>
      <c r="B882" s="32"/>
      <c r="C882" s="32"/>
      <c r="D882" s="32"/>
      <c r="E882" s="32"/>
      <c r="F882" s="32"/>
      <c r="G882" s="32"/>
      <c r="H882" s="28" t="str">
        <f aca="false">IF(COUNTA(C882:G882)=0,"",IF(AND(C882="Yes",D882="Yes",E882="Yes",F882="Yes",G882="No"),"Yes","No"))</f>
        <v/>
      </c>
      <c r="I882" s="32"/>
      <c r="J882" s="32"/>
    </row>
    <row r="883" customFormat="false" ht="15" hidden="false" customHeight="false" outlineLevel="0" collapsed="false">
      <c r="A883" s="32"/>
      <c r="B883" s="32"/>
      <c r="C883" s="32"/>
      <c r="D883" s="32"/>
      <c r="E883" s="32"/>
      <c r="F883" s="32"/>
      <c r="G883" s="32"/>
      <c r="H883" s="28" t="str">
        <f aca="false">IF(COUNTA(C883:G883)=0,"",IF(AND(C883="Yes",D883="Yes",E883="Yes",F883="Yes",G883="No"),"Yes","No"))</f>
        <v/>
      </c>
      <c r="I883" s="32"/>
      <c r="J883" s="32"/>
    </row>
    <row r="884" customFormat="false" ht="15" hidden="false" customHeight="false" outlineLevel="0" collapsed="false">
      <c r="A884" s="32"/>
      <c r="B884" s="32"/>
      <c r="C884" s="32"/>
      <c r="D884" s="32"/>
      <c r="E884" s="32"/>
      <c r="F884" s="32"/>
      <c r="G884" s="32"/>
      <c r="H884" s="28" t="str">
        <f aca="false">IF(COUNTA(C884:G884)=0,"",IF(AND(C884="Yes",D884="Yes",E884="Yes",F884="Yes",G884="No"),"Yes","No"))</f>
        <v/>
      </c>
      <c r="I884" s="32"/>
      <c r="J884" s="32"/>
    </row>
    <row r="885" customFormat="false" ht="15" hidden="false" customHeight="false" outlineLevel="0" collapsed="false">
      <c r="A885" s="32"/>
      <c r="B885" s="32"/>
      <c r="C885" s="32"/>
      <c r="D885" s="32"/>
      <c r="E885" s="32"/>
      <c r="F885" s="32"/>
      <c r="G885" s="32"/>
      <c r="H885" s="28" t="str">
        <f aca="false">IF(COUNTA(C885:G885)=0,"",IF(AND(C885="Yes",D885="Yes",E885="Yes",F885="Yes",G885="No"),"Yes","No"))</f>
        <v/>
      </c>
      <c r="I885" s="32"/>
      <c r="J885" s="32"/>
    </row>
    <row r="886" customFormat="false" ht="15" hidden="false" customHeight="false" outlineLevel="0" collapsed="false">
      <c r="A886" s="32"/>
      <c r="B886" s="32"/>
      <c r="C886" s="32"/>
      <c r="D886" s="32"/>
      <c r="E886" s="32"/>
      <c r="F886" s="32"/>
      <c r="G886" s="32"/>
      <c r="H886" s="28" t="str">
        <f aca="false">IF(COUNTA(C886:G886)=0,"",IF(AND(C886="Yes",D886="Yes",E886="Yes",F886="Yes",G886="No"),"Yes","No"))</f>
        <v/>
      </c>
      <c r="I886" s="32"/>
      <c r="J886" s="32"/>
    </row>
    <row r="887" customFormat="false" ht="15" hidden="false" customHeight="false" outlineLevel="0" collapsed="false">
      <c r="A887" s="32"/>
      <c r="B887" s="32"/>
      <c r="C887" s="32"/>
      <c r="D887" s="32"/>
      <c r="E887" s="32"/>
      <c r="F887" s="32"/>
      <c r="G887" s="32"/>
      <c r="H887" s="28" t="str">
        <f aca="false">IF(COUNTA(C887:G887)=0,"",IF(AND(C887="Yes",D887="Yes",E887="Yes",F887="Yes",G887="No"),"Yes","No"))</f>
        <v/>
      </c>
      <c r="I887" s="32"/>
      <c r="J887" s="32"/>
    </row>
    <row r="888" customFormat="false" ht="15" hidden="false" customHeight="false" outlineLevel="0" collapsed="false">
      <c r="A888" s="32"/>
      <c r="B888" s="32"/>
      <c r="C888" s="32"/>
      <c r="D888" s="32"/>
      <c r="E888" s="32"/>
      <c r="F888" s="32"/>
      <c r="G888" s="32"/>
      <c r="H888" s="28" t="str">
        <f aca="false">IF(COUNTA(C888:G888)=0,"",IF(AND(C888="Yes",D888="Yes",E888="Yes",F888="Yes",G888="No"),"Yes","No"))</f>
        <v/>
      </c>
      <c r="I888" s="32"/>
      <c r="J888" s="32"/>
    </row>
    <row r="889" customFormat="false" ht="15" hidden="false" customHeight="false" outlineLevel="0" collapsed="false">
      <c r="A889" s="32"/>
      <c r="B889" s="32"/>
      <c r="C889" s="32"/>
      <c r="D889" s="32"/>
      <c r="E889" s="32"/>
      <c r="F889" s="32"/>
      <c r="G889" s="32"/>
      <c r="H889" s="28" t="str">
        <f aca="false">IF(COUNTA(C889:G889)=0,"",IF(AND(C889="Yes",D889="Yes",E889="Yes",F889="Yes",G889="No"),"Yes","No"))</f>
        <v/>
      </c>
      <c r="I889" s="32"/>
      <c r="J889" s="32"/>
    </row>
    <row r="890" customFormat="false" ht="15" hidden="false" customHeight="false" outlineLevel="0" collapsed="false">
      <c r="A890" s="32"/>
      <c r="B890" s="32"/>
      <c r="C890" s="32"/>
      <c r="D890" s="32"/>
      <c r="E890" s="32"/>
      <c r="F890" s="32"/>
      <c r="G890" s="32"/>
      <c r="H890" s="28" t="str">
        <f aca="false">IF(COUNTA(C890:G890)=0,"",IF(AND(C890="Yes",D890="Yes",E890="Yes",F890="Yes",G890="No"),"Yes","No"))</f>
        <v/>
      </c>
      <c r="I890" s="32"/>
      <c r="J890" s="32"/>
    </row>
    <row r="891" customFormat="false" ht="15" hidden="false" customHeight="false" outlineLevel="0" collapsed="false">
      <c r="A891" s="32"/>
      <c r="B891" s="32"/>
      <c r="C891" s="32"/>
      <c r="D891" s="32"/>
      <c r="E891" s="32"/>
      <c r="F891" s="32"/>
      <c r="G891" s="32"/>
      <c r="H891" s="28" t="str">
        <f aca="false">IF(COUNTA(C891:G891)=0,"",IF(AND(C891="Yes",D891="Yes",E891="Yes",F891="Yes",G891="No"),"Yes","No"))</f>
        <v/>
      </c>
      <c r="I891" s="32"/>
      <c r="J891" s="32"/>
    </row>
    <row r="892" customFormat="false" ht="15" hidden="false" customHeight="false" outlineLevel="0" collapsed="false">
      <c r="A892" s="32"/>
      <c r="B892" s="32"/>
      <c r="C892" s="32"/>
      <c r="D892" s="32"/>
      <c r="E892" s="32"/>
      <c r="F892" s="32"/>
      <c r="G892" s="32"/>
      <c r="H892" s="28" t="str">
        <f aca="false">IF(COUNTA(C892:G892)=0,"",IF(AND(C892="Yes",D892="Yes",E892="Yes",F892="Yes",G892="No"),"Yes","No"))</f>
        <v/>
      </c>
      <c r="I892" s="32"/>
      <c r="J892" s="32"/>
    </row>
    <row r="893" customFormat="false" ht="15" hidden="false" customHeight="false" outlineLevel="0" collapsed="false">
      <c r="A893" s="32"/>
      <c r="B893" s="32"/>
      <c r="C893" s="32"/>
      <c r="D893" s="32"/>
      <c r="E893" s="32"/>
      <c r="F893" s="32"/>
      <c r="G893" s="32"/>
      <c r="H893" s="28" t="str">
        <f aca="false">IF(COUNTA(C893:G893)=0,"",IF(AND(C893="Yes",D893="Yes",E893="Yes",F893="Yes",G893="No"),"Yes","No"))</f>
        <v/>
      </c>
      <c r="I893" s="32"/>
      <c r="J893" s="32"/>
    </row>
    <row r="894" customFormat="false" ht="15" hidden="false" customHeight="false" outlineLevel="0" collapsed="false">
      <c r="A894" s="32"/>
      <c r="B894" s="32"/>
      <c r="C894" s="32"/>
      <c r="D894" s="32"/>
      <c r="E894" s="32"/>
      <c r="F894" s="32"/>
      <c r="G894" s="32"/>
      <c r="H894" s="28" t="str">
        <f aca="false">IF(COUNTA(C894:G894)=0,"",IF(AND(C894="Yes",D894="Yes",E894="Yes",F894="Yes",G894="No"),"Yes","No"))</f>
        <v/>
      </c>
      <c r="I894" s="32"/>
      <c r="J894" s="32"/>
    </row>
    <row r="895" customFormat="false" ht="15" hidden="false" customHeight="false" outlineLevel="0" collapsed="false">
      <c r="A895" s="32"/>
      <c r="B895" s="32"/>
      <c r="C895" s="32"/>
      <c r="D895" s="32"/>
      <c r="E895" s="32"/>
      <c r="F895" s="32"/>
      <c r="G895" s="32"/>
      <c r="H895" s="28" t="str">
        <f aca="false">IF(COUNTA(C895:G895)=0,"",IF(AND(C895="Yes",D895="Yes",E895="Yes",F895="Yes",G895="No"),"Yes","No"))</f>
        <v/>
      </c>
      <c r="I895" s="32"/>
      <c r="J895" s="32"/>
    </row>
    <row r="896" customFormat="false" ht="15" hidden="false" customHeight="false" outlineLevel="0" collapsed="false">
      <c r="A896" s="32"/>
      <c r="B896" s="32"/>
      <c r="C896" s="32"/>
      <c r="D896" s="32"/>
      <c r="E896" s="32"/>
      <c r="F896" s="32"/>
      <c r="G896" s="32"/>
      <c r="H896" s="28" t="str">
        <f aca="false">IF(COUNTA(C896:G896)=0,"",IF(AND(C896="Yes",D896="Yes",E896="Yes",F896="Yes",G896="No"),"Yes","No"))</f>
        <v/>
      </c>
      <c r="I896" s="32"/>
      <c r="J896" s="32"/>
    </row>
    <row r="897" customFormat="false" ht="15" hidden="false" customHeight="false" outlineLevel="0" collapsed="false">
      <c r="A897" s="32"/>
      <c r="B897" s="32"/>
      <c r="C897" s="32"/>
      <c r="D897" s="32"/>
      <c r="E897" s="32"/>
      <c r="F897" s="32"/>
      <c r="G897" s="32"/>
      <c r="H897" s="28" t="str">
        <f aca="false">IF(COUNTA(C897:G897)=0,"",IF(AND(C897="Yes",D897="Yes",E897="Yes",F897="Yes",G897="No"),"Yes","No"))</f>
        <v/>
      </c>
      <c r="I897" s="32"/>
      <c r="J897" s="32"/>
    </row>
    <row r="898" customFormat="false" ht="15" hidden="false" customHeight="false" outlineLevel="0" collapsed="false">
      <c r="A898" s="32"/>
      <c r="B898" s="32"/>
      <c r="C898" s="32"/>
      <c r="D898" s="32"/>
      <c r="E898" s="32"/>
      <c r="F898" s="32"/>
      <c r="G898" s="32"/>
      <c r="H898" s="28" t="str">
        <f aca="false">IF(COUNTA(C898:G898)=0,"",IF(AND(C898="Yes",D898="Yes",E898="Yes",F898="Yes",G898="No"),"Yes","No"))</f>
        <v/>
      </c>
      <c r="I898" s="32"/>
      <c r="J898" s="32"/>
    </row>
    <row r="899" customFormat="false" ht="15" hidden="false" customHeight="false" outlineLevel="0" collapsed="false">
      <c r="A899" s="32"/>
      <c r="B899" s="32"/>
      <c r="C899" s="32"/>
      <c r="D899" s="32"/>
      <c r="E899" s="32"/>
      <c r="F899" s="32"/>
      <c r="G899" s="32"/>
      <c r="H899" s="28" t="str">
        <f aca="false">IF(COUNTA(C899:G899)=0,"",IF(AND(C899="Yes",D899="Yes",E899="Yes",F899="Yes",G899="No"),"Yes","No"))</f>
        <v/>
      </c>
      <c r="I899" s="32"/>
      <c r="J899" s="32"/>
    </row>
    <row r="900" customFormat="false" ht="15" hidden="false" customHeight="false" outlineLevel="0" collapsed="false">
      <c r="A900" s="32"/>
      <c r="B900" s="32"/>
      <c r="C900" s="32"/>
      <c r="D900" s="32"/>
      <c r="E900" s="32"/>
      <c r="F900" s="32"/>
      <c r="G900" s="32"/>
      <c r="H900" s="28" t="str">
        <f aca="false">IF(COUNTA(C900:G900)=0,"",IF(AND(C900="Yes",D900="Yes",E900="Yes",F900="Yes",G900="No"),"Yes","No"))</f>
        <v/>
      </c>
      <c r="I900" s="32"/>
      <c r="J900" s="32"/>
    </row>
    <row r="901" customFormat="false" ht="15" hidden="false" customHeight="false" outlineLevel="0" collapsed="false">
      <c r="A901" s="32"/>
      <c r="B901" s="32"/>
      <c r="C901" s="32"/>
      <c r="D901" s="32"/>
      <c r="E901" s="32"/>
      <c r="F901" s="32"/>
      <c r="G901" s="32"/>
      <c r="H901" s="28" t="str">
        <f aca="false">IF(COUNTA(C901:G901)=0,"",IF(AND(C901="Yes",D901="Yes",E901="Yes",F901="Yes",G901="No"),"Yes","No"))</f>
        <v/>
      </c>
      <c r="I901" s="32"/>
      <c r="J901" s="32"/>
    </row>
    <row r="902" customFormat="false" ht="15" hidden="false" customHeight="false" outlineLevel="0" collapsed="false">
      <c r="A902" s="32"/>
      <c r="B902" s="32"/>
      <c r="C902" s="32"/>
      <c r="D902" s="32"/>
      <c r="E902" s="32"/>
      <c r="F902" s="32"/>
      <c r="G902" s="32"/>
      <c r="H902" s="28" t="str">
        <f aca="false">IF(COUNTA(C902:G902)=0,"",IF(AND(C902="Yes",D902="Yes",E902="Yes",F902="Yes",G902="No"),"Yes","No"))</f>
        <v/>
      </c>
      <c r="I902" s="32"/>
      <c r="J902" s="32"/>
    </row>
    <row r="903" customFormat="false" ht="15" hidden="false" customHeight="false" outlineLevel="0" collapsed="false">
      <c r="A903" s="32"/>
      <c r="B903" s="32"/>
      <c r="C903" s="32"/>
      <c r="D903" s="32"/>
      <c r="E903" s="32"/>
      <c r="F903" s="32"/>
      <c r="G903" s="32"/>
      <c r="H903" s="28" t="str">
        <f aca="false">IF(COUNTA(C903:G903)=0,"",IF(AND(C903="Yes",D903="Yes",E903="Yes",F903="Yes",G903="No"),"Yes","No"))</f>
        <v/>
      </c>
      <c r="I903" s="32"/>
      <c r="J903" s="32"/>
    </row>
    <row r="904" customFormat="false" ht="15" hidden="false" customHeight="false" outlineLevel="0" collapsed="false">
      <c r="A904" s="32"/>
      <c r="B904" s="32"/>
      <c r="C904" s="32"/>
      <c r="D904" s="32"/>
      <c r="E904" s="32"/>
      <c r="F904" s="32"/>
      <c r="G904" s="32"/>
      <c r="H904" s="28" t="str">
        <f aca="false">IF(COUNTA(C904:G904)=0,"",IF(AND(C904="Yes",D904="Yes",E904="Yes",F904="Yes",G904="No"),"Yes","No"))</f>
        <v/>
      </c>
      <c r="I904" s="32"/>
      <c r="J904" s="32"/>
    </row>
    <row r="905" customFormat="false" ht="15" hidden="false" customHeight="false" outlineLevel="0" collapsed="false">
      <c r="A905" s="32"/>
      <c r="B905" s="32"/>
      <c r="C905" s="32"/>
      <c r="D905" s="32"/>
      <c r="E905" s="32"/>
      <c r="F905" s="32"/>
      <c r="G905" s="32"/>
      <c r="H905" s="28" t="str">
        <f aca="false">IF(COUNTA(C905:G905)=0,"",IF(AND(C905="Yes",D905="Yes",E905="Yes",F905="Yes",G905="No"),"Yes","No"))</f>
        <v/>
      </c>
      <c r="I905" s="32"/>
      <c r="J905" s="32"/>
    </row>
    <row r="906" customFormat="false" ht="15" hidden="false" customHeight="false" outlineLevel="0" collapsed="false">
      <c r="A906" s="32"/>
      <c r="B906" s="32"/>
      <c r="C906" s="32"/>
      <c r="D906" s="32"/>
      <c r="E906" s="32"/>
      <c r="F906" s="32"/>
      <c r="G906" s="32"/>
      <c r="H906" s="28" t="str">
        <f aca="false">IF(COUNTA(C906:G906)=0,"",IF(AND(C906="Yes",D906="Yes",E906="Yes",F906="Yes",G906="No"),"Yes","No"))</f>
        <v/>
      </c>
      <c r="I906" s="32"/>
      <c r="J906" s="32"/>
    </row>
    <row r="907" customFormat="false" ht="15" hidden="false" customHeight="false" outlineLevel="0" collapsed="false">
      <c r="A907" s="32"/>
      <c r="B907" s="32"/>
      <c r="C907" s="32"/>
      <c r="D907" s="32"/>
      <c r="E907" s="32"/>
      <c r="F907" s="32"/>
      <c r="G907" s="32"/>
      <c r="H907" s="28" t="str">
        <f aca="false">IF(COUNTA(C907:G907)=0,"",IF(AND(C907="Yes",D907="Yes",E907="Yes",F907="Yes",G907="No"),"Yes","No"))</f>
        <v/>
      </c>
      <c r="I907" s="32"/>
      <c r="J907" s="32"/>
    </row>
    <row r="908" customFormat="false" ht="15" hidden="false" customHeight="false" outlineLevel="0" collapsed="false">
      <c r="A908" s="32"/>
      <c r="B908" s="32"/>
      <c r="C908" s="32"/>
      <c r="D908" s="32"/>
      <c r="E908" s="32"/>
      <c r="F908" s="32"/>
      <c r="G908" s="32"/>
      <c r="H908" s="28" t="str">
        <f aca="false">IF(COUNTA(C908:G908)=0,"",IF(AND(C908="Yes",D908="Yes",E908="Yes",F908="Yes",G908="No"),"Yes","No"))</f>
        <v/>
      </c>
      <c r="I908" s="32"/>
      <c r="J908" s="32"/>
    </row>
    <row r="909" customFormat="false" ht="15" hidden="false" customHeight="false" outlineLevel="0" collapsed="false">
      <c r="A909" s="32"/>
      <c r="B909" s="32"/>
      <c r="C909" s="32"/>
      <c r="D909" s="32"/>
      <c r="E909" s="32"/>
      <c r="F909" s="32"/>
      <c r="G909" s="32"/>
      <c r="H909" s="28" t="str">
        <f aca="false">IF(COUNTA(C909:G909)=0,"",IF(AND(C909="Yes",D909="Yes",E909="Yes",F909="Yes",G909="No"),"Yes","No"))</f>
        <v/>
      </c>
      <c r="I909" s="32"/>
      <c r="J909" s="32"/>
    </row>
    <row r="910" customFormat="false" ht="15" hidden="false" customHeight="false" outlineLevel="0" collapsed="false">
      <c r="A910" s="32"/>
      <c r="B910" s="32"/>
      <c r="C910" s="32"/>
      <c r="D910" s="32"/>
      <c r="E910" s="32"/>
      <c r="F910" s="32"/>
      <c r="G910" s="32"/>
      <c r="H910" s="28" t="str">
        <f aca="false">IF(COUNTA(C910:G910)=0,"",IF(AND(C910="Yes",D910="Yes",E910="Yes",F910="Yes",G910="No"),"Yes","No"))</f>
        <v/>
      </c>
      <c r="I910" s="32"/>
      <c r="J910" s="32"/>
    </row>
    <row r="911" customFormat="false" ht="15" hidden="false" customHeight="false" outlineLevel="0" collapsed="false">
      <c r="A911" s="32"/>
      <c r="B911" s="32"/>
      <c r="C911" s="32"/>
      <c r="D911" s="32"/>
      <c r="E911" s="32"/>
      <c r="F911" s="32"/>
      <c r="G911" s="32"/>
      <c r="H911" s="28" t="str">
        <f aca="false">IF(COUNTA(C911:G911)=0,"",IF(AND(C911="Yes",D911="Yes",E911="Yes",F911="Yes",G911="No"),"Yes","No"))</f>
        <v/>
      </c>
      <c r="I911" s="32"/>
      <c r="J911" s="32"/>
    </row>
    <row r="912" customFormat="false" ht="15" hidden="false" customHeight="false" outlineLevel="0" collapsed="false">
      <c r="A912" s="32"/>
      <c r="B912" s="32"/>
      <c r="C912" s="32"/>
      <c r="D912" s="32"/>
      <c r="E912" s="32"/>
      <c r="F912" s="32"/>
      <c r="G912" s="32"/>
      <c r="H912" s="28" t="str">
        <f aca="false">IF(COUNTA(C912:G912)=0,"",IF(AND(C912="Yes",D912="Yes",E912="Yes",F912="Yes",G912="No"),"Yes","No"))</f>
        <v/>
      </c>
      <c r="I912" s="32"/>
      <c r="J912" s="32"/>
    </row>
    <row r="913" customFormat="false" ht="15" hidden="false" customHeight="false" outlineLevel="0" collapsed="false">
      <c r="A913" s="32"/>
      <c r="B913" s="32"/>
      <c r="C913" s="32"/>
      <c r="D913" s="32"/>
      <c r="E913" s="32"/>
      <c r="F913" s="32"/>
      <c r="G913" s="32"/>
      <c r="H913" s="28" t="str">
        <f aca="false">IF(COUNTA(C913:G913)=0,"",IF(AND(C913="Yes",D913="Yes",E913="Yes",F913="Yes",G913="No"),"Yes","No"))</f>
        <v/>
      </c>
      <c r="I913" s="32"/>
      <c r="J913" s="32"/>
    </row>
    <row r="914" customFormat="false" ht="15" hidden="false" customHeight="false" outlineLevel="0" collapsed="false">
      <c r="A914" s="32"/>
      <c r="B914" s="32"/>
      <c r="C914" s="32"/>
      <c r="D914" s="32"/>
      <c r="E914" s="32"/>
      <c r="F914" s="32"/>
      <c r="G914" s="32"/>
      <c r="H914" s="28" t="str">
        <f aca="false">IF(COUNTA(C914:G914)=0,"",IF(AND(C914="Yes",D914="Yes",E914="Yes",F914="Yes",G914="No"),"Yes","No"))</f>
        <v/>
      </c>
      <c r="I914" s="32"/>
      <c r="J914" s="32"/>
    </row>
    <row r="915" customFormat="false" ht="15" hidden="false" customHeight="false" outlineLevel="0" collapsed="false">
      <c r="A915" s="32"/>
      <c r="B915" s="32"/>
      <c r="C915" s="32"/>
      <c r="D915" s="32"/>
      <c r="E915" s="32"/>
      <c r="F915" s="32"/>
      <c r="G915" s="32"/>
      <c r="H915" s="28" t="str">
        <f aca="false">IF(COUNTA(C915:G915)=0,"",IF(AND(C915="Yes",D915="Yes",E915="Yes",F915="Yes",G915="No"),"Yes","No"))</f>
        <v/>
      </c>
      <c r="I915" s="32"/>
      <c r="J915" s="32"/>
    </row>
    <row r="916" customFormat="false" ht="15" hidden="false" customHeight="false" outlineLevel="0" collapsed="false">
      <c r="A916" s="32"/>
      <c r="B916" s="32"/>
      <c r="C916" s="32"/>
      <c r="D916" s="32"/>
      <c r="E916" s="32"/>
      <c r="F916" s="32"/>
      <c r="G916" s="32"/>
      <c r="H916" s="28" t="str">
        <f aca="false">IF(COUNTA(C916:G916)=0,"",IF(AND(C916="Yes",D916="Yes",E916="Yes",F916="Yes",G916="No"),"Yes","No"))</f>
        <v/>
      </c>
      <c r="I916" s="32"/>
      <c r="J916" s="32"/>
    </row>
    <row r="917" customFormat="false" ht="15" hidden="false" customHeight="false" outlineLevel="0" collapsed="false">
      <c r="A917" s="32"/>
      <c r="B917" s="32"/>
      <c r="C917" s="32"/>
      <c r="D917" s="32"/>
      <c r="E917" s="32"/>
      <c r="F917" s="32"/>
      <c r="G917" s="32"/>
      <c r="H917" s="28" t="str">
        <f aca="false">IF(COUNTA(C917:G917)=0,"",IF(AND(C917="Yes",D917="Yes",E917="Yes",F917="Yes",G917="No"),"Yes","No"))</f>
        <v/>
      </c>
      <c r="I917" s="32"/>
      <c r="J917" s="32"/>
    </row>
    <row r="918" customFormat="false" ht="15" hidden="false" customHeight="false" outlineLevel="0" collapsed="false">
      <c r="A918" s="32"/>
      <c r="B918" s="32"/>
      <c r="C918" s="32"/>
      <c r="D918" s="32"/>
      <c r="E918" s="32"/>
      <c r="F918" s="32"/>
      <c r="G918" s="32"/>
      <c r="H918" s="28" t="str">
        <f aca="false">IF(COUNTA(C918:G918)=0,"",IF(AND(C918="Yes",D918="Yes",E918="Yes",F918="Yes",G918="No"),"Yes","No"))</f>
        <v/>
      </c>
      <c r="I918" s="32"/>
      <c r="J918" s="32"/>
    </row>
    <row r="919" customFormat="false" ht="15" hidden="false" customHeight="false" outlineLevel="0" collapsed="false">
      <c r="A919" s="32"/>
      <c r="B919" s="32"/>
      <c r="C919" s="32"/>
      <c r="D919" s="32"/>
      <c r="E919" s="32"/>
      <c r="F919" s="32"/>
      <c r="G919" s="32"/>
      <c r="H919" s="28" t="str">
        <f aca="false">IF(COUNTA(C919:G919)=0,"",IF(AND(C919="Yes",D919="Yes",E919="Yes",F919="Yes",G919="No"),"Yes","No"))</f>
        <v/>
      </c>
      <c r="I919" s="32"/>
      <c r="J919" s="32"/>
    </row>
    <row r="920" customFormat="false" ht="15" hidden="false" customHeight="false" outlineLevel="0" collapsed="false">
      <c r="A920" s="32"/>
      <c r="B920" s="32"/>
      <c r="C920" s="32"/>
      <c r="D920" s="32"/>
      <c r="E920" s="32"/>
      <c r="F920" s="32"/>
      <c r="G920" s="32"/>
      <c r="H920" s="28" t="str">
        <f aca="false">IF(COUNTA(C920:G920)=0,"",IF(AND(C920="Yes",D920="Yes",E920="Yes",F920="Yes",G920="No"),"Yes","No"))</f>
        <v/>
      </c>
      <c r="I920" s="32"/>
      <c r="J920" s="32"/>
    </row>
    <row r="921" customFormat="false" ht="15" hidden="false" customHeight="false" outlineLevel="0" collapsed="false">
      <c r="A921" s="32"/>
      <c r="B921" s="32"/>
      <c r="C921" s="32"/>
      <c r="D921" s="32"/>
      <c r="E921" s="32"/>
      <c r="F921" s="32"/>
      <c r="G921" s="32"/>
      <c r="H921" s="28" t="str">
        <f aca="false">IF(COUNTA(C921:G921)=0,"",IF(AND(C921="Yes",D921="Yes",E921="Yes",F921="Yes",G921="No"),"Yes","No"))</f>
        <v/>
      </c>
      <c r="I921" s="32"/>
      <c r="J921" s="32"/>
    </row>
    <row r="922" customFormat="false" ht="15" hidden="false" customHeight="false" outlineLevel="0" collapsed="false">
      <c r="A922" s="32"/>
      <c r="B922" s="32"/>
      <c r="C922" s="32"/>
      <c r="D922" s="32"/>
      <c r="E922" s="32"/>
      <c r="F922" s="32"/>
      <c r="G922" s="32"/>
      <c r="H922" s="28" t="str">
        <f aca="false">IF(COUNTA(C922:G922)=0,"",IF(AND(C922="Yes",D922="Yes",E922="Yes",F922="Yes",G922="No"),"Yes","No"))</f>
        <v/>
      </c>
      <c r="I922" s="32"/>
      <c r="J922" s="32"/>
    </row>
    <row r="923" customFormat="false" ht="15" hidden="false" customHeight="false" outlineLevel="0" collapsed="false">
      <c r="A923" s="32"/>
      <c r="B923" s="32"/>
      <c r="C923" s="32"/>
      <c r="D923" s="32"/>
      <c r="E923" s="32"/>
      <c r="F923" s="32"/>
      <c r="G923" s="32"/>
      <c r="H923" s="28" t="str">
        <f aca="false">IF(COUNTA(C923:G923)=0,"",IF(AND(C923="Yes",D923="Yes",E923="Yes",F923="Yes",G923="No"),"Yes","No"))</f>
        <v/>
      </c>
      <c r="I923" s="32"/>
      <c r="J923" s="32"/>
    </row>
    <row r="924" customFormat="false" ht="15" hidden="false" customHeight="false" outlineLevel="0" collapsed="false">
      <c r="A924" s="32"/>
      <c r="B924" s="32"/>
      <c r="C924" s="32"/>
      <c r="D924" s="32"/>
      <c r="E924" s="32"/>
      <c r="F924" s="32"/>
      <c r="G924" s="32"/>
      <c r="H924" s="28" t="str">
        <f aca="false">IF(COUNTA(C924:G924)=0,"",IF(AND(C924="Yes",D924="Yes",E924="Yes",F924="Yes",G924="No"),"Yes","No"))</f>
        <v/>
      </c>
      <c r="I924" s="32"/>
      <c r="J924" s="32"/>
    </row>
    <row r="925" customFormat="false" ht="15" hidden="false" customHeight="false" outlineLevel="0" collapsed="false">
      <c r="A925" s="32"/>
      <c r="B925" s="32"/>
      <c r="C925" s="32"/>
      <c r="D925" s="32"/>
      <c r="E925" s="32"/>
      <c r="F925" s="32"/>
      <c r="G925" s="32"/>
      <c r="H925" s="28" t="str">
        <f aca="false">IF(COUNTA(C925:G925)=0,"",IF(AND(C925="Yes",D925="Yes",E925="Yes",F925="Yes",G925="No"),"Yes","No"))</f>
        <v/>
      </c>
      <c r="I925" s="32"/>
      <c r="J925" s="32"/>
    </row>
    <row r="926" customFormat="false" ht="15" hidden="false" customHeight="false" outlineLevel="0" collapsed="false">
      <c r="A926" s="32"/>
      <c r="B926" s="32"/>
      <c r="C926" s="32"/>
      <c r="D926" s="32"/>
      <c r="E926" s="32"/>
      <c r="F926" s="32"/>
      <c r="G926" s="32"/>
      <c r="H926" s="28" t="str">
        <f aca="false">IF(COUNTA(C926:G926)=0,"",IF(AND(C926="Yes",D926="Yes",E926="Yes",F926="Yes",G926="No"),"Yes","No"))</f>
        <v/>
      </c>
      <c r="I926" s="32"/>
      <c r="J926" s="32"/>
    </row>
    <row r="927" customFormat="false" ht="15" hidden="false" customHeight="false" outlineLevel="0" collapsed="false">
      <c r="A927" s="32"/>
      <c r="B927" s="32"/>
      <c r="C927" s="32"/>
      <c r="D927" s="32"/>
      <c r="E927" s="32"/>
      <c r="F927" s="32"/>
      <c r="G927" s="32"/>
      <c r="H927" s="28" t="str">
        <f aca="false">IF(COUNTA(C927:G927)=0,"",IF(AND(C927="Yes",D927="Yes",E927="Yes",F927="Yes",G927="No"),"Yes","No"))</f>
        <v/>
      </c>
      <c r="I927" s="32"/>
      <c r="J927" s="32"/>
    </row>
    <row r="928" customFormat="false" ht="15" hidden="false" customHeight="false" outlineLevel="0" collapsed="false">
      <c r="A928" s="32"/>
      <c r="B928" s="32"/>
      <c r="C928" s="32"/>
      <c r="D928" s="32"/>
      <c r="E928" s="32"/>
      <c r="F928" s="32"/>
      <c r="G928" s="32"/>
      <c r="H928" s="28" t="str">
        <f aca="false">IF(COUNTA(C928:G928)=0,"",IF(AND(C928="Yes",D928="Yes",E928="Yes",F928="Yes",G928="No"),"Yes","No"))</f>
        <v/>
      </c>
      <c r="I928" s="32"/>
      <c r="J928" s="32"/>
    </row>
    <row r="929" customFormat="false" ht="15" hidden="false" customHeight="false" outlineLevel="0" collapsed="false">
      <c r="A929" s="32"/>
      <c r="B929" s="32"/>
      <c r="C929" s="32"/>
      <c r="D929" s="32"/>
      <c r="E929" s="32"/>
      <c r="F929" s="32"/>
      <c r="G929" s="32"/>
      <c r="H929" s="28" t="str">
        <f aca="false">IF(COUNTA(C929:G929)=0,"",IF(AND(C929="Yes",D929="Yes",E929="Yes",F929="Yes",G929="No"),"Yes","No"))</f>
        <v/>
      </c>
      <c r="I929" s="32"/>
      <c r="J929" s="32"/>
    </row>
    <row r="930" customFormat="false" ht="15" hidden="false" customHeight="false" outlineLevel="0" collapsed="false">
      <c r="A930" s="32"/>
      <c r="B930" s="32"/>
      <c r="C930" s="32"/>
      <c r="D930" s="32"/>
      <c r="E930" s="32"/>
      <c r="F930" s="32"/>
      <c r="G930" s="32"/>
      <c r="H930" s="28" t="str">
        <f aca="false">IF(COUNTA(C930:G930)=0,"",IF(AND(C930="Yes",D930="Yes",E930="Yes",F930="Yes",G930="No"),"Yes","No"))</f>
        <v/>
      </c>
      <c r="I930" s="32"/>
      <c r="J930" s="32"/>
    </row>
    <row r="931" customFormat="false" ht="15" hidden="false" customHeight="false" outlineLevel="0" collapsed="false">
      <c r="A931" s="32"/>
      <c r="B931" s="32"/>
      <c r="C931" s="32"/>
      <c r="D931" s="32"/>
      <c r="E931" s="32"/>
      <c r="F931" s="32"/>
      <c r="G931" s="32"/>
      <c r="H931" s="28" t="str">
        <f aca="false">IF(COUNTA(C931:G931)=0,"",IF(AND(C931="Yes",D931="Yes",E931="Yes",F931="Yes",G931="No"),"Yes","No"))</f>
        <v/>
      </c>
      <c r="I931" s="32"/>
      <c r="J931" s="32"/>
    </row>
    <row r="932" customFormat="false" ht="15" hidden="false" customHeight="false" outlineLevel="0" collapsed="false">
      <c r="A932" s="32"/>
      <c r="B932" s="32"/>
      <c r="C932" s="32"/>
      <c r="D932" s="32"/>
      <c r="E932" s="32"/>
      <c r="F932" s="32"/>
      <c r="G932" s="32"/>
      <c r="H932" s="28" t="str">
        <f aca="false">IF(COUNTA(C932:G932)=0,"",IF(AND(C932="Yes",D932="Yes",E932="Yes",F932="Yes",G932="No"),"Yes","No"))</f>
        <v/>
      </c>
      <c r="I932" s="32"/>
      <c r="J932" s="32"/>
    </row>
    <row r="933" customFormat="false" ht="15" hidden="false" customHeight="false" outlineLevel="0" collapsed="false">
      <c r="A933" s="32"/>
      <c r="B933" s="32"/>
      <c r="C933" s="32"/>
      <c r="D933" s="32"/>
      <c r="E933" s="32"/>
      <c r="F933" s="32"/>
      <c r="G933" s="32"/>
      <c r="H933" s="28" t="str">
        <f aca="false">IF(COUNTA(C933:G933)=0,"",IF(AND(C933="Yes",D933="Yes",E933="Yes",F933="Yes",G933="No"),"Yes","No"))</f>
        <v/>
      </c>
      <c r="I933" s="32"/>
      <c r="J933" s="32"/>
    </row>
    <row r="934" customFormat="false" ht="15" hidden="false" customHeight="false" outlineLevel="0" collapsed="false">
      <c r="A934" s="32"/>
      <c r="B934" s="32"/>
      <c r="C934" s="32"/>
      <c r="D934" s="32"/>
      <c r="E934" s="32"/>
      <c r="F934" s="32"/>
      <c r="G934" s="32"/>
      <c r="H934" s="28" t="str">
        <f aca="false">IF(COUNTA(C934:G934)=0,"",IF(AND(C934="Yes",D934="Yes",E934="Yes",F934="Yes",G934="No"),"Yes","No"))</f>
        <v/>
      </c>
      <c r="I934" s="32"/>
      <c r="J934" s="32"/>
    </row>
    <row r="935" customFormat="false" ht="15" hidden="false" customHeight="false" outlineLevel="0" collapsed="false">
      <c r="A935" s="32"/>
      <c r="B935" s="32"/>
      <c r="C935" s="32"/>
      <c r="D935" s="32"/>
      <c r="E935" s="32"/>
      <c r="F935" s="32"/>
      <c r="G935" s="32"/>
      <c r="H935" s="28" t="str">
        <f aca="false">IF(COUNTA(C935:G935)=0,"",IF(AND(C935="Yes",D935="Yes",E935="Yes",F935="Yes",G935="No"),"Yes","No"))</f>
        <v/>
      </c>
      <c r="I935" s="32"/>
      <c r="J935" s="32"/>
    </row>
    <row r="936" customFormat="false" ht="15" hidden="false" customHeight="false" outlineLevel="0" collapsed="false">
      <c r="A936" s="32"/>
      <c r="B936" s="32"/>
      <c r="C936" s="32"/>
      <c r="D936" s="32"/>
      <c r="E936" s="32"/>
      <c r="F936" s="32"/>
      <c r="G936" s="32"/>
      <c r="H936" s="28" t="str">
        <f aca="false">IF(COUNTA(C936:G936)=0,"",IF(AND(C936="Yes",D936="Yes",E936="Yes",F936="Yes",G936="No"),"Yes","No"))</f>
        <v/>
      </c>
      <c r="I936" s="32"/>
      <c r="J936" s="32"/>
    </row>
    <row r="937" customFormat="false" ht="15" hidden="false" customHeight="false" outlineLevel="0" collapsed="false">
      <c r="A937" s="32"/>
      <c r="B937" s="32"/>
      <c r="C937" s="32"/>
      <c r="D937" s="32"/>
      <c r="E937" s="32"/>
      <c r="F937" s="32"/>
      <c r="G937" s="32"/>
      <c r="H937" s="28" t="str">
        <f aca="false">IF(COUNTA(C937:G937)=0,"",IF(AND(C937="Yes",D937="Yes",E937="Yes",F937="Yes",G937="No"),"Yes","No"))</f>
        <v/>
      </c>
      <c r="I937" s="32"/>
      <c r="J937" s="32"/>
    </row>
    <row r="938" customFormat="false" ht="15" hidden="false" customHeight="false" outlineLevel="0" collapsed="false">
      <c r="A938" s="32"/>
      <c r="B938" s="32"/>
      <c r="C938" s="32"/>
      <c r="D938" s="32"/>
      <c r="E938" s="32"/>
      <c r="F938" s="32"/>
      <c r="G938" s="32"/>
      <c r="H938" s="28" t="str">
        <f aca="false">IF(COUNTA(C938:G938)=0,"",IF(AND(C938="Yes",D938="Yes",E938="Yes",F938="Yes",G938="No"),"Yes","No"))</f>
        <v/>
      </c>
      <c r="I938" s="32"/>
      <c r="J938" s="32"/>
    </row>
    <row r="939" customFormat="false" ht="15" hidden="false" customHeight="false" outlineLevel="0" collapsed="false">
      <c r="A939" s="32"/>
      <c r="B939" s="32"/>
      <c r="C939" s="32"/>
      <c r="D939" s="32"/>
      <c r="E939" s="32"/>
      <c r="F939" s="32"/>
      <c r="G939" s="32"/>
      <c r="H939" s="28" t="str">
        <f aca="false">IF(COUNTA(C939:G939)=0,"",IF(AND(C939="Yes",D939="Yes",E939="Yes",F939="Yes",G939="No"),"Yes","No"))</f>
        <v/>
      </c>
      <c r="I939" s="32"/>
      <c r="J939" s="32"/>
    </row>
    <row r="940" customFormat="false" ht="15" hidden="false" customHeight="false" outlineLevel="0" collapsed="false">
      <c r="A940" s="32"/>
      <c r="B940" s="32"/>
      <c r="C940" s="32"/>
      <c r="D940" s="32"/>
      <c r="E940" s="32"/>
      <c r="F940" s="32"/>
      <c r="G940" s="32"/>
      <c r="H940" s="28" t="str">
        <f aca="false">IF(COUNTA(C940:G940)=0,"",IF(AND(C940="Yes",D940="Yes",E940="Yes",F940="Yes",G940="No"),"Yes","No"))</f>
        <v/>
      </c>
      <c r="I940" s="32"/>
      <c r="J940" s="32"/>
    </row>
    <row r="941" customFormat="false" ht="15" hidden="false" customHeight="false" outlineLevel="0" collapsed="false">
      <c r="A941" s="32"/>
      <c r="B941" s="32"/>
      <c r="C941" s="32"/>
      <c r="D941" s="32"/>
      <c r="E941" s="32"/>
      <c r="F941" s="32"/>
      <c r="G941" s="32"/>
      <c r="H941" s="28" t="str">
        <f aca="false">IF(COUNTA(C941:G941)=0,"",IF(AND(C941="Yes",D941="Yes",E941="Yes",F941="Yes",G941="No"),"Yes","No"))</f>
        <v/>
      </c>
      <c r="I941" s="32"/>
      <c r="J941" s="32"/>
    </row>
    <row r="942" customFormat="false" ht="15" hidden="false" customHeight="false" outlineLevel="0" collapsed="false">
      <c r="A942" s="32"/>
      <c r="B942" s="32"/>
      <c r="C942" s="32"/>
      <c r="D942" s="32"/>
      <c r="E942" s="32"/>
      <c r="F942" s="32"/>
      <c r="G942" s="32"/>
      <c r="H942" s="28" t="str">
        <f aca="false">IF(COUNTA(C942:G942)=0,"",IF(AND(C942="Yes",D942="Yes",E942="Yes",F942="Yes",G942="No"),"Yes","No"))</f>
        <v/>
      </c>
      <c r="I942" s="32"/>
      <c r="J942" s="32"/>
    </row>
    <row r="943" customFormat="false" ht="15" hidden="false" customHeight="false" outlineLevel="0" collapsed="false">
      <c r="A943" s="32"/>
      <c r="B943" s="32"/>
      <c r="C943" s="32"/>
      <c r="D943" s="32"/>
      <c r="E943" s="32"/>
      <c r="F943" s="32"/>
      <c r="G943" s="32"/>
      <c r="H943" s="28" t="str">
        <f aca="false">IF(COUNTA(C943:G943)=0,"",IF(AND(C943="Yes",D943="Yes",E943="Yes",F943="Yes",G943="No"),"Yes","No"))</f>
        <v/>
      </c>
      <c r="I943" s="32"/>
      <c r="J943" s="32"/>
    </row>
    <row r="944" customFormat="false" ht="15" hidden="false" customHeight="false" outlineLevel="0" collapsed="false">
      <c r="A944" s="32"/>
      <c r="B944" s="32"/>
      <c r="C944" s="32"/>
      <c r="D944" s="32"/>
      <c r="E944" s="32"/>
      <c r="F944" s="32"/>
      <c r="G944" s="32"/>
      <c r="H944" s="28" t="str">
        <f aca="false">IF(COUNTA(C944:G944)=0,"",IF(AND(C944="Yes",D944="Yes",E944="Yes",F944="Yes",G944="No"),"Yes","No"))</f>
        <v/>
      </c>
      <c r="I944" s="32"/>
      <c r="J944" s="32"/>
    </row>
    <row r="945" customFormat="false" ht="15" hidden="false" customHeight="false" outlineLevel="0" collapsed="false">
      <c r="A945" s="32"/>
      <c r="B945" s="32"/>
      <c r="C945" s="32"/>
      <c r="D945" s="32"/>
      <c r="E945" s="32"/>
      <c r="F945" s="32"/>
      <c r="G945" s="32"/>
      <c r="H945" s="28" t="str">
        <f aca="false">IF(COUNTA(C945:G945)=0,"",IF(AND(C945="Yes",D945="Yes",E945="Yes",F945="Yes",G945="No"),"Yes","No"))</f>
        <v/>
      </c>
      <c r="I945" s="32"/>
      <c r="J945" s="32"/>
    </row>
    <row r="946" customFormat="false" ht="15" hidden="false" customHeight="false" outlineLevel="0" collapsed="false">
      <c r="A946" s="32"/>
      <c r="B946" s="32"/>
      <c r="C946" s="32"/>
      <c r="D946" s="32"/>
      <c r="E946" s="32"/>
      <c r="F946" s="32"/>
      <c r="G946" s="32"/>
      <c r="H946" s="28" t="str">
        <f aca="false">IF(COUNTA(C946:G946)=0,"",IF(AND(C946="Yes",D946="Yes",E946="Yes",F946="Yes",G946="No"),"Yes","No"))</f>
        <v/>
      </c>
      <c r="I946" s="32"/>
      <c r="J946" s="32"/>
    </row>
    <row r="947" customFormat="false" ht="15" hidden="false" customHeight="false" outlineLevel="0" collapsed="false">
      <c r="A947" s="32"/>
      <c r="B947" s="32"/>
      <c r="C947" s="32"/>
      <c r="D947" s="32"/>
      <c r="E947" s="32"/>
      <c r="F947" s="32"/>
      <c r="G947" s="32"/>
      <c r="H947" s="28" t="str">
        <f aca="false">IF(COUNTA(C947:G947)=0,"",IF(AND(C947="Yes",D947="Yes",E947="Yes",F947="Yes",G947="No"),"Yes","No"))</f>
        <v/>
      </c>
      <c r="I947" s="32"/>
      <c r="J947" s="32"/>
    </row>
    <row r="948" customFormat="false" ht="15" hidden="false" customHeight="false" outlineLevel="0" collapsed="false">
      <c r="A948" s="32"/>
      <c r="B948" s="32"/>
      <c r="C948" s="32"/>
      <c r="D948" s="32"/>
      <c r="E948" s="32"/>
      <c r="F948" s="32"/>
      <c r="G948" s="32"/>
      <c r="H948" s="28" t="str">
        <f aca="false">IF(COUNTA(C948:G948)=0,"",IF(AND(C948="Yes",D948="Yes",E948="Yes",F948="Yes",G948="No"),"Yes","No"))</f>
        <v/>
      </c>
      <c r="I948" s="32"/>
      <c r="J948" s="32"/>
    </row>
    <row r="949" customFormat="false" ht="15" hidden="false" customHeight="false" outlineLevel="0" collapsed="false">
      <c r="A949" s="32"/>
      <c r="B949" s="32"/>
      <c r="C949" s="32"/>
      <c r="D949" s="32"/>
      <c r="E949" s="32"/>
      <c r="F949" s="32"/>
      <c r="G949" s="32"/>
      <c r="H949" s="28" t="str">
        <f aca="false">IF(COUNTA(C949:G949)=0,"",IF(AND(C949="Yes",D949="Yes",E949="Yes",F949="Yes",G949="No"),"Yes","No"))</f>
        <v/>
      </c>
      <c r="I949" s="32"/>
      <c r="J949" s="32"/>
    </row>
    <row r="950" customFormat="false" ht="15" hidden="false" customHeight="false" outlineLevel="0" collapsed="false">
      <c r="A950" s="32"/>
      <c r="B950" s="32"/>
      <c r="C950" s="32"/>
      <c r="D950" s="32"/>
      <c r="E950" s="32"/>
      <c r="F950" s="32"/>
      <c r="G950" s="32"/>
      <c r="H950" s="28" t="str">
        <f aca="false">IF(COUNTA(C950:G950)=0,"",IF(AND(C950="Yes",D950="Yes",E950="Yes",F950="Yes",G950="No"),"Yes","No"))</f>
        <v/>
      </c>
      <c r="I950" s="32"/>
      <c r="J950" s="32"/>
    </row>
    <row r="951" customFormat="false" ht="15" hidden="false" customHeight="false" outlineLevel="0" collapsed="false">
      <c r="A951" s="32"/>
      <c r="B951" s="32"/>
      <c r="C951" s="32"/>
      <c r="D951" s="32"/>
      <c r="E951" s="32"/>
      <c r="F951" s="32"/>
      <c r="G951" s="32"/>
      <c r="H951" s="28" t="str">
        <f aca="false">IF(COUNTA(C951:G951)=0,"",IF(AND(C951="Yes",D951="Yes",E951="Yes",F951="Yes",G951="No"),"Yes","No"))</f>
        <v/>
      </c>
      <c r="I951" s="32"/>
      <c r="J951" s="32"/>
    </row>
    <row r="952" customFormat="false" ht="15" hidden="false" customHeight="false" outlineLevel="0" collapsed="false">
      <c r="A952" s="32"/>
      <c r="B952" s="32"/>
      <c r="C952" s="32"/>
      <c r="D952" s="32"/>
      <c r="E952" s="32"/>
      <c r="F952" s="32"/>
      <c r="G952" s="32"/>
      <c r="H952" s="28" t="str">
        <f aca="false">IF(COUNTA(C952:G952)=0,"",IF(AND(C952="Yes",D952="Yes",E952="Yes",F952="Yes",G952="No"),"Yes","No"))</f>
        <v/>
      </c>
      <c r="I952" s="32"/>
      <c r="J952" s="32"/>
    </row>
    <row r="953" customFormat="false" ht="15" hidden="false" customHeight="false" outlineLevel="0" collapsed="false">
      <c r="A953" s="32"/>
      <c r="B953" s="32"/>
      <c r="C953" s="32"/>
      <c r="D953" s="32"/>
      <c r="E953" s="32"/>
      <c r="F953" s="32"/>
      <c r="G953" s="32"/>
      <c r="H953" s="28" t="str">
        <f aca="false">IF(COUNTA(C953:G953)=0,"",IF(AND(C953="Yes",D953="Yes",E953="Yes",F953="Yes",G953="No"),"Yes","No"))</f>
        <v/>
      </c>
      <c r="I953" s="32"/>
      <c r="J953" s="32"/>
    </row>
    <row r="954" customFormat="false" ht="15" hidden="false" customHeight="false" outlineLevel="0" collapsed="false">
      <c r="A954" s="32"/>
      <c r="B954" s="32"/>
      <c r="C954" s="32"/>
      <c r="D954" s="32"/>
      <c r="E954" s="32"/>
      <c r="F954" s="32"/>
      <c r="G954" s="32"/>
      <c r="H954" s="28" t="str">
        <f aca="false">IF(COUNTA(C954:G954)=0,"",IF(AND(C954="Yes",D954="Yes",E954="Yes",F954="Yes",G954="No"),"Yes","No"))</f>
        <v/>
      </c>
      <c r="I954" s="32"/>
      <c r="J954" s="32"/>
    </row>
    <row r="955" customFormat="false" ht="15" hidden="false" customHeight="false" outlineLevel="0" collapsed="false">
      <c r="A955" s="32"/>
      <c r="B955" s="32"/>
      <c r="C955" s="32"/>
      <c r="D955" s="32"/>
      <c r="E955" s="32"/>
      <c r="F955" s="32"/>
      <c r="G955" s="32"/>
      <c r="H955" s="28" t="str">
        <f aca="false">IF(COUNTA(C955:G955)=0,"",IF(AND(C955="Yes",D955="Yes",E955="Yes",F955="Yes",G955="No"),"Yes","No"))</f>
        <v/>
      </c>
      <c r="I955" s="32"/>
      <c r="J955" s="32"/>
    </row>
    <row r="956" customFormat="false" ht="15" hidden="false" customHeight="false" outlineLevel="0" collapsed="false">
      <c r="A956" s="32"/>
      <c r="B956" s="32"/>
      <c r="C956" s="32"/>
      <c r="D956" s="32"/>
      <c r="E956" s="32"/>
      <c r="F956" s="32"/>
      <c r="G956" s="32"/>
      <c r="H956" s="28" t="str">
        <f aca="false">IF(COUNTA(C956:G956)=0,"",IF(AND(C956="Yes",D956="Yes",E956="Yes",F956="Yes",G956="No"),"Yes","No"))</f>
        <v/>
      </c>
      <c r="I956" s="32"/>
      <c r="J956" s="32"/>
    </row>
    <row r="957" customFormat="false" ht="15" hidden="false" customHeight="false" outlineLevel="0" collapsed="false">
      <c r="A957" s="32"/>
      <c r="B957" s="32"/>
      <c r="C957" s="32"/>
      <c r="D957" s="32"/>
      <c r="E957" s="32"/>
      <c r="F957" s="32"/>
      <c r="G957" s="32"/>
      <c r="H957" s="28" t="str">
        <f aca="false">IF(COUNTA(C957:G957)=0,"",IF(AND(C957="Yes",D957="Yes",E957="Yes",F957="Yes",G957="No"),"Yes","No"))</f>
        <v/>
      </c>
      <c r="I957" s="32"/>
      <c r="J957" s="32"/>
    </row>
    <row r="958" customFormat="false" ht="15" hidden="false" customHeight="false" outlineLevel="0" collapsed="false">
      <c r="A958" s="32"/>
      <c r="B958" s="32"/>
      <c r="C958" s="32"/>
      <c r="D958" s="32"/>
      <c r="E958" s="32"/>
      <c r="F958" s="32"/>
      <c r="G958" s="32"/>
      <c r="H958" s="28" t="str">
        <f aca="false">IF(COUNTA(C958:G958)=0,"",IF(AND(C958="Yes",D958="Yes",E958="Yes",F958="Yes",G958="No"),"Yes","No"))</f>
        <v/>
      </c>
      <c r="I958" s="32"/>
      <c r="J958" s="32"/>
    </row>
    <row r="959" customFormat="false" ht="15" hidden="false" customHeight="false" outlineLevel="0" collapsed="false">
      <c r="A959" s="32"/>
      <c r="B959" s="32"/>
      <c r="C959" s="32"/>
      <c r="D959" s="32"/>
      <c r="E959" s="32"/>
      <c r="F959" s="32"/>
      <c r="G959" s="32"/>
      <c r="H959" s="28" t="str">
        <f aca="false">IF(COUNTA(C959:G959)=0,"",IF(AND(C959="Yes",D959="Yes",E959="Yes",F959="Yes",G959="No"),"Yes","No"))</f>
        <v/>
      </c>
      <c r="I959" s="32"/>
      <c r="J959" s="32"/>
    </row>
    <row r="960" customFormat="false" ht="15" hidden="false" customHeight="false" outlineLevel="0" collapsed="false">
      <c r="A960" s="32"/>
      <c r="B960" s="32"/>
      <c r="C960" s="32"/>
      <c r="D960" s="32"/>
      <c r="E960" s="32"/>
      <c r="F960" s="32"/>
      <c r="G960" s="32"/>
      <c r="H960" s="28" t="str">
        <f aca="false">IF(COUNTA(C960:G960)=0,"",IF(AND(C960="Yes",D960="Yes",E960="Yes",F960="Yes",G960="No"),"Yes","No"))</f>
        <v/>
      </c>
      <c r="I960" s="32"/>
      <c r="J960" s="32"/>
    </row>
    <row r="961" customFormat="false" ht="15" hidden="false" customHeight="false" outlineLevel="0" collapsed="false">
      <c r="A961" s="32"/>
      <c r="B961" s="32"/>
      <c r="C961" s="32"/>
      <c r="D961" s="32"/>
      <c r="E961" s="32"/>
      <c r="F961" s="32"/>
      <c r="G961" s="32"/>
      <c r="H961" s="28" t="str">
        <f aca="false">IF(COUNTA(C961:G961)=0,"",IF(AND(C961="Yes",D961="Yes",E961="Yes",F961="Yes",G961="No"),"Yes","No"))</f>
        <v/>
      </c>
      <c r="I961" s="32"/>
      <c r="J961" s="32"/>
    </row>
    <row r="962" customFormat="false" ht="15" hidden="false" customHeight="false" outlineLevel="0" collapsed="false">
      <c r="A962" s="32"/>
      <c r="B962" s="32"/>
      <c r="C962" s="32"/>
      <c r="D962" s="32"/>
      <c r="E962" s="32"/>
      <c r="F962" s="32"/>
      <c r="G962" s="32"/>
      <c r="H962" s="28" t="str">
        <f aca="false">IF(COUNTA(C962:G962)=0,"",IF(AND(C962="Yes",D962="Yes",E962="Yes",F962="Yes",G962="No"),"Yes","No"))</f>
        <v/>
      </c>
      <c r="I962" s="32"/>
      <c r="J962" s="32"/>
    </row>
    <row r="963" customFormat="false" ht="15" hidden="false" customHeight="false" outlineLevel="0" collapsed="false">
      <c r="A963" s="32"/>
      <c r="B963" s="32"/>
      <c r="C963" s="32"/>
      <c r="D963" s="32"/>
      <c r="E963" s="32"/>
      <c r="F963" s="32"/>
      <c r="G963" s="32"/>
      <c r="H963" s="28" t="str">
        <f aca="false">IF(COUNTA(C963:G963)=0,"",IF(AND(C963="Yes",D963="Yes",E963="Yes",F963="Yes",G963="No"),"Yes","No"))</f>
        <v/>
      </c>
      <c r="I963" s="32"/>
      <c r="J963" s="32"/>
    </row>
    <row r="964" customFormat="false" ht="15" hidden="false" customHeight="false" outlineLevel="0" collapsed="false">
      <c r="A964" s="32"/>
      <c r="B964" s="32"/>
      <c r="C964" s="32"/>
      <c r="D964" s="32"/>
      <c r="E964" s="32"/>
      <c r="F964" s="32"/>
      <c r="G964" s="32"/>
      <c r="H964" s="28" t="str">
        <f aca="false">IF(COUNTA(C964:G964)=0,"",IF(AND(C964="Yes",D964="Yes",E964="Yes",F964="Yes",G964="No"),"Yes","No"))</f>
        <v/>
      </c>
      <c r="I964" s="32"/>
      <c r="J964" s="32"/>
    </row>
    <row r="965" customFormat="false" ht="15" hidden="false" customHeight="false" outlineLevel="0" collapsed="false">
      <c r="A965" s="32"/>
      <c r="B965" s="32"/>
      <c r="C965" s="32"/>
      <c r="D965" s="32"/>
      <c r="E965" s="32"/>
      <c r="F965" s="32"/>
      <c r="G965" s="32"/>
      <c r="H965" s="28" t="str">
        <f aca="false">IF(COUNTA(C965:G965)=0,"",IF(AND(C965="Yes",D965="Yes",E965="Yes",F965="Yes",G965="No"),"Yes","No"))</f>
        <v/>
      </c>
      <c r="I965" s="32"/>
      <c r="J965" s="32"/>
    </row>
    <row r="966" customFormat="false" ht="15" hidden="false" customHeight="false" outlineLevel="0" collapsed="false">
      <c r="A966" s="32"/>
      <c r="B966" s="32"/>
      <c r="C966" s="32"/>
      <c r="D966" s="32"/>
      <c r="E966" s="32"/>
      <c r="F966" s="32"/>
      <c r="G966" s="32"/>
      <c r="H966" s="28" t="str">
        <f aca="false">IF(COUNTA(C966:G966)=0,"",IF(AND(C966="Yes",D966="Yes",E966="Yes",F966="Yes",G966="No"),"Yes","No"))</f>
        <v/>
      </c>
      <c r="I966" s="32"/>
      <c r="J966" s="32"/>
    </row>
    <row r="967" customFormat="false" ht="15" hidden="false" customHeight="false" outlineLevel="0" collapsed="false">
      <c r="A967" s="32"/>
      <c r="B967" s="32"/>
      <c r="C967" s="32"/>
      <c r="D967" s="32"/>
      <c r="E967" s="32"/>
      <c r="F967" s="32"/>
      <c r="G967" s="32"/>
      <c r="H967" s="28" t="str">
        <f aca="false">IF(COUNTA(C967:G967)=0,"",IF(AND(C967="Yes",D967="Yes",E967="Yes",F967="Yes",G967="No"),"Yes","No"))</f>
        <v/>
      </c>
      <c r="I967" s="32"/>
      <c r="J967" s="32"/>
    </row>
    <row r="968" customFormat="false" ht="15" hidden="false" customHeight="false" outlineLevel="0" collapsed="false">
      <c r="A968" s="32"/>
      <c r="B968" s="32"/>
      <c r="C968" s="32"/>
      <c r="D968" s="32"/>
      <c r="E968" s="32"/>
      <c r="F968" s="32"/>
      <c r="G968" s="32"/>
      <c r="H968" s="28" t="str">
        <f aca="false">IF(COUNTA(C968:G968)=0,"",IF(AND(C968="Yes",D968="Yes",E968="Yes",F968="Yes",G968="No"),"Yes","No"))</f>
        <v/>
      </c>
      <c r="I968" s="32"/>
      <c r="J968" s="32"/>
    </row>
    <row r="969" customFormat="false" ht="15" hidden="false" customHeight="false" outlineLevel="0" collapsed="false">
      <c r="A969" s="32"/>
      <c r="B969" s="32"/>
      <c r="C969" s="32"/>
      <c r="D969" s="32"/>
      <c r="E969" s="32"/>
      <c r="F969" s="32"/>
      <c r="G969" s="32"/>
      <c r="H969" s="28" t="str">
        <f aca="false">IF(COUNTA(C969:G969)=0,"",IF(AND(C969="Yes",D969="Yes",E969="Yes",F969="Yes",G969="No"),"Yes","No"))</f>
        <v/>
      </c>
      <c r="I969" s="32"/>
      <c r="J969" s="32"/>
    </row>
    <row r="970" customFormat="false" ht="15" hidden="false" customHeight="false" outlineLevel="0" collapsed="false">
      <c r="A970" s="32"/>
      <c r="B970" s="32"/>
      <c r="C970" s="32"/>
      <c r="D970" s="32"/>
      <c r="E970" s="32"/>
      <c r="F970" s="32"/>
      <c r="G970" s="32"/>
      <c r="H970" s="28" t="str">
        <f aca="false">IF(COUNTA(C970:G970)=0,"",IF(AND(C970="Yes",D970="Yes",E970="Yes",F970="Yes",G970="No"),"Yes","No"))</f>
        <v/>
      </c>
      <c r="I970" s="32"/>
      <c r="J970" s="32"/>
    </row>
    <row r="971" customFormat="false" ht="15" hidden="false" customHeight="false" outlineLevel="0" collapsed="false">
      <c r="A971" s="32"/>
      <c r="B971" s="32"/>
      <c r="C971" s="32"/>
      <c r="D971" s="32"/>
      <c r="E971" s="32"/>
      <c r="F971" s="32"/>
      <c r="G971" s="32"/>
      <c r="H971" s="28" t="str">
        <f aca="false">IF(COUNTA(C971:G971)=0,"",IF(AND(C971="Yes",D971="Yes",E971="Yes",F971="Yes",G971="No"),"Yes","No"))</f>
        <v/>
      </c>
      <c r="I971" s="32"/>
      <c r="J971" s="32"/>
    </row>
    <row r="972" customFormat="false" ht="15" hidden="false" customHeight="false" outlineLevel="0" collapsed="false">
      <c r="A972" s="32"/>
      <c r="B972" s="32"/>
      <c r="C972" s="32"/>
      <c r="D972" s="32"/>
      <c r="E972" s="32"/>
      <c r="F972" s="32"/>
      <c r="G972" s="32"/>
      <c r="H972" s="28" t="str">
        <f aca="false">IF(COUNTA(C972:G972)=0,"",IF(AND(C972="Yes",D972="Yes",E972="Yes",F972="Yes",G972="No"),"Yes","No"))</f>
        <v/>
      </c>
      <c r="I972" s="32"/>
      <c r="J972" s="32"/>
    </row>
    <row r="973" customFormat="false" ht="15" hidden="false" customHeight="false" outlineLevel="0" collapsed="false">
      <c r="A973" s="32"/>
      <c r="B973" s="32"/>
      <c r="C973" s="32"/>
      <c r="D973" s="32"/>
      <c r="E973" s="32"/>
      <c r="F973" s="32"/>
      <c r="G973" s="32"/>
      <c r="H973" s="28" t="str">
        <f aca="false">IF(COUNTA(C973:G973)=0,"",IF(AND(C973="Yes",D973="Yes",E973="Yes",F973="Yes",G973="No"),"Yes","No"))</f>
        <v/>
      </c>
      <c r="I973" s="32"/>
      <c r="J973" s="32"/>
    </row>
    <row r="974" customFormat="false" ht="15" hidden="false" customHeight="false" outlineLevel="0" collapsed="false">
      <c r="A974" s="32"/>
      <c r="B974" s="32"/>
      <c r="C974" s="32"/>
      <c r="D974" s="32"/>
      <c r="E974" s="32"/>
      <c r="F974" s="32"/>
      <c r="G974" s="32"/>
      <c r="H974" s="28" t="str">
        <f aca="false">IF(COUNTA(C974:G974)=0,"",IF(AND(C974="Yes",D974="Yes",E974="Yes",F974="Yes",G974="No"),"Yes","No"))</f>
        <v/>
      </c>
      <c r="I974" s="32"/>
      <c r="J974" s="32"/>
    </row>
    <row r="975" customFormat="false" ht="15" hidden="false" customHeight="false" outlineLevel="0" collapsed="false">
      <c r="A975" s="32"/>
      <c r="B975" s="32"/>
      <c r="C975" s="32"/>
      <c r="D975" s="32"/>
      <c r="E975" s="32"/>
      <c r="F975" s="32"/>
      <c r="G975" s="32"/>
      <c r="H975" s="28" t="str">
        <f aca="false">IF(COUNTA(C975:G975)=0,"",IF(AND(C975="Yes",D975="Yes",E975="Yes",F975="Yes",G975="No"),"Yes","No"))</f>
        <v/>
      </c>
      <c r="I975" s="32"/>
      <c r="J975" s="32"/>
    </row>
    <row r="976" customFormat="false" ht="15" hidden="false" customHeight="false" outlineLevel="0" collapsed="false">
      <c r="A976" s="32"/>
      <c r="B976" s="32"/>
      <c r="C976" s="32"/>
      <c r="D976" s="32"/>
      <c r="E976" s="32"/>
      <c r="F976" s="32"/>
      <c r="G976" s="32"/>
      <c r="H976" s="28" t="str">
        <f aca="false">IF(COUNTA(C976:G976)=0,"",IF(AND(C976="Yes",D976="Yes",E976="Yes",F976="Yes",G976="No"),"Yes","No"))</f>
        <v/>
      </c>
      <c r="I976" s="32"/>
      <c r="J976" s="32"/>
    </row>
    <row r="977" customFormat="false" ht="15" hidden="false" customHeight="false" outlineLevel="0" collapsed="false">
      <c r="A977" s="32"/>
      <c r="B977" s="32"/>
      <c r="C977" s="32"/>
      <c r="D977" s="32"/>
      <c r="E977" s="32"/>
      <c r="F977" s="32"/>
      <c r="G977" s="32"/>
      <c r="H977" s="28" t="str">
        <f aca="false">IF(COUNTA(C977:G977)=0,"",IF(AND(C977="Yes",D977="Yes",E977="Yes",F977="Yes",G977="No"),"Yes","No"))</f>
        <v/>
      </c>
      <c r="I977" s="32"/>
      <c r="J977" s="32"/>
    </row>
    <row r="978" customFormat="false" ht="15" hidden="false" customHeight="false" outlineLevel="0" collapsed="false">
      <c r="A978" s="32"/>
      <c r="B978" s="32"/>
      <c r="C978" s="32"/>
      <c r="D978" s="32"/>
      <c r="E978" s="32"/>
      <c r="F978" s="32"/>
      <c r="G978" s="32"/>
      <c r="H978" s="28" t="str">
        <f aca="false">IF(COUNTA(C978:G978)=0,"",IF(AND(C978="Yes",D978="Yes",E978="Yes",F978="Yes",G978="No"),"Yes","No"))</f>
        <v/>
      </c>
      <c r="I978" s="32"/>
      <c r="J978" s="32"/>
    </row>
    <row r="979" customFormat="false" ht="15" hidden="false" customHeight="false" outlineLevel="0" collapsed="false">
      <c r="A979" s="32"/>
      <c r="B979" s="32"/>
      <c r="C979" s="32"/>
      <c r="D979" s="32"/>
      <c r="E979" s="32"/>
      <c r="F979" s="32"/>
      <c r="G979" s="32"/>
      <c r="H979" s="28" t="str">
        <f aca="false">IF(COUNTA(C979:G979)=0,"",IF(AND(C979="Yes",D979="Yes",E979="Yes",F979="Yes",G979="No"),"Yes","No"))</f>
        <v/>
      </c>
      <c r="I979" s="32"/>
      <c r="J979" s="32"/>
    </row>
    <row r="980" customFormat="false" ht="15" hidden="false" customHeight="false" outlineLevel="0" collapsed="false">
      <c r="A980" s="32"/>
      <c r="B980" s="32"/>
      <c r="C980" s="32"/>
      <c r="D980" s="32"/>
      <c r="E980" s="32"/>
      <c r="F980" s="32"/>
      <c r="G980" s="32"/>
      <c r="H980" s="28" t="str">
        <f aca="false">IF(COUNTA(C980:G980)=0,"",IF(AND(C980="Yes",D980="Yes",E980="Yes",F980="Yes",G980="No"),"Yes","No"))</f>
        <v/>
      </c>
      <c r="I980" s="32"/>
      <c r="J980" s="32"/>
    </row>
    <row r="981" customFormat="false" ht="15" hidden="false" customHeight="false" outlineLevel="0" collapsed="false">
      <c r="A981" s="32"/>
      <c r="B981" s="32"/>
      <c r="C981" s="32"/>
      <c r="D981" s="32"/>
      <c r="E981" s="32"/>
      <c r="F981" s="32"/>
      <c r="G981" s="32"/>
      <c r="H981" s="28" t="str">
        <f aca="false">IF(COUNTA(C981:G981)=0,"",IF(AND(C981="Yes",D981="Yes",E981="Yes",F981="Yes",G981="No"),"Yes","No"))</f>
        <v/>
      </c>
      <c r="I981" s="32"/>
      <c r="J981" s="32"/>
    </row>
    <row r="982" customFormat="false" ht="15" hidden="false" customHeight="false" outlineLevel="0" collapsed="false">
      <c r="A982" s="32"/>
      <c r="B982" s="32"/>
      <c r="C982" s="32"/>
      <c r="D982" s="32"/>
      <c r="E982" s="32"/>
      <c r="F982" s="32"/>
      <c r="G982" s="32"/>
      <c r="H982" s="28" t="str">
        <f aca="false">IF(COUNTA(C982:G982)=0,"",IF(AND(C982="Yes",D982="Yes",E982="Yes",F982="Yes",G982="No"),"Yes","No"))</f>
        <v/>
      </c>
      <c r="I982" s="32"/>
      <c r="J982" s="32"/>
    </row>
    <row r="983" customFormat="false" ht="15" hidden="false" customHeight="false" outlineLevel="0" collapsed="false">
      <c r="A983" s="32"/>
      <c r="B983" s="32"/>
      <c r="C983" s="32"/>
      <c r="D983" s="32"/>
      <c r="E983" s="32"/>
      <c r="F983" s="32"/>
      <c r="G983" s="32"/>
      <c r="H983" s="28" t="str">
        <f aca="false">IF(COUNTA(C983:G983)=0,"",IF(AND(C983="Yes",D983="Yes",E983="Yes",F983="Yes",G983="No"),"Yes","No"))</f>
        <v/>
      </c>
      <c r="I983" s="32"/>
      <c r="J983" s="32"/>
    </row>
    <row r="984" customFormat="false" ht="15" hidden="false" customHeight="false" outlineLevel="0" collapsed="false">
      <c r="A984" s="32"/>
      <c r="B984" s="32"/>
      <c r="C984" s="32"/>
      <c r="D984" s="32"/>
      <c r="E984" s="32"/>
      <c r="F984" s="32"/>
      <c r="G984" s="32"/>
      <c r="H984" s="28" t="str">
        <f aca="false">IF(COUNTA(C984:G984)=0,"",IF(AND(C984="Yes",D984="Yes",E984="Yes",F984="Yes",G984="No"),"Yes","No"))</f>
        <v/>
      </c>
      <c r="I984" s="32"/>
      <c r="J984" s="32"/>
    </row>
    <row r="985" customFormat="false" ht="15" hidden="false" customHeight="false" outlineLevel="0" collapsed="false">
      <c r="A985" s="32"/>
      <c r="B985" s="32"/>
      <c r="C985" s="32"/>
      <c r="D985" s="32"/>
      <c r="E985" s="32"/>
      <c r="F985" s="32"/>
      <c r="G985" s="32"/>
      <c r="H985" s="28" t="str">
        <f aca="false">IF(COUNTA(C985:G985)=0,"",IF(AND(C985="Yes",D985="Yes",E985="Yes",F985="Yes",G985="No"),"Yes","No"))</f>
        <v/>
      </c>
      <c r="I985" s="32"/>
      <c r="J985" s="32"/>
    </row>
    <row r="986" customFormat="false" ht="15" hidden="false" customHeight="false" outlineLevel="0" collapsed="false">
      <c r="A986" s="32"/>
      <c r="B986" s="32"/>
      <c r="C986" s="32"/>
      <c r="D986" s="32"/>
      <c r="E986" s="32"/>
      <c r="F986" s="32"/>
      <c r="G986" s="32"/>
      <c r="H986" s="28" t="str">
        <f aca="false">IF(COUNTA(C986:G986)=0,"",IF(AND(C986="Yes",D986="Yes",E986="Yes",F986="Yes",G986="No"),"Yes","No"))</f>
        <v/>
      </c>
      <c r="I986" s="32"/>
      <c r="J986" s="32"/>
    </row>
    <row r="987" customFormat="false" ht="15" hidden="false" customHeight="false" outlineLevel="0" collapsed="false">
      <c r="A987" s="32"/>
      <c r="B987" s="32"/>
      <c r="C987" s="32"/>
      <c r="D987" s="32"/>
      <c r="E987" s="32"/>
      <c r="F987" s="32"/>
      <c r="G987" s="32"/>
      <c r="H987" s="28" t="str">
        <f aca="false">IF(COUNTA(C987:G987)=0,"",IF(AND(C987="Yes",D987="Yes",E987="Yes",F987="Yes",G987="No"),"Yes","No"))</f>
        <v/>
      </c>
      <c r="I987" s="32"/>
      <c r="J987" s="32"/>
    </row>
    <row r="988" customFormat="false" ht="15" hidden="false" customHeight="false" outlineLevel="0" collapsed="false">
      <c r="A988" s="32"/>
      <c r="B988" s="32"/>
      <c r="C988" s="32"/>
      <c r="D988" s="32"/>
      <c r="E988" s="32"/>
      <c r="F988" s="32"/>
      <c r="G988" s="32"/>
      <c r="H988" s="28" t="str">
        <f aca="false">IF(COUNTA(C988:G988)=0,"",IF(AND(C988="Yes",D988="Yes",E988="Yes",F988="Yes",G988="No"),"Yes","No"))</f>
        <v/>
      </c>
      <c r="I988" s="32"/>
      <c r="J988" s="32"/>
    </row>
    <row r="989" customFormat="false" ht="15" hidden="false" customHeight="false" outlineLevel="0" collapsed="false">
      <c r="A989" s="32"/>
      <c r="B989" s="32"/>
      <c r="C989" s="32"/>
      <c r="D989" s="32"/>
      <c r="E989" s="32"/>
      <c r="F989" s="32"/>
      <c r="G989" s="32"/>
      <c r="H989" s="28" t="str">
        <f aca="false">IF(COUNTA(C989:G989)=0,"",IF(AND(C989="Yes",D989="Yes",E989="Yes",F989="Yes",G989="No"),"Yes","No"))</f>
        <v/>
      </c>
      <c r="I989" s="32"/>
      <c r="J989" s="32"/>
    </row>
    <row r="990" customFormat="false" ht="15" hidden="false" customHeight="false" outlineLevel="0" collapsed="false">
      <c r="A990" s="32"/>
      <c r="B990" s="32"/>
      <c r="C990" s="32"/>
      <c r="D990" s="32"/>
      <c r="E990" s="32"/>
      <c r="F990" s="32"/>
      <c r="G990" s="32"/>
      <c r="H990" s="28" t="str">
        <f aca="false">IF(COUNTA(C990:G990)=0,"",IF(AND(C990="Yes",D990="Yes",E990="Yes",F990="Yes",G990="No"),"Yes","No"))</f>
        <v/>
      </c>
      <c r="I990" s="32"/>
      <c r="J990" s="32"/>
    </row>
    <row r="991" customFormat="false" ht="15" hidden="false" customHeight="false" outlineLevel="0" collapsed="false">
      <c r="A991" s="32"/>
      <c r="B991" s="32"/>
      <c r="C991" s="32"/>
      <c r="D991" s="32"/>
      <c r="E991" s="32"/>
      <c r="F991" s="32"/>
      <c r="G991" s="32"/>
      <c r="H991" s="28" t="str">
        <f aca="false">IF(COUNTA(C991:G991)=0,"",IF(AND(C991="Yes",D991="Yes",E991="Yes",F991="Yes",G991="No"),"Yes","No"))</f>
        <v/>
      </c>
      <c r="I991" s="32"/>
      <c r="J991" s="32"/>
    </row>
    <row r="992" customFormat="false" ht="15" hidden="false" customHeight="false" outlineLevel="0" collapsed="false">
      <c r="A992" s="32"/>
      <c r="B992" s="32"/>
      <c r="C992" s="32"/>
      <c r="D992" s="32"/>
      <c r="E992" s="32"/>
      <c r="F992" s="32"/>
      <c r="G992" s="32"/>
      <c r="H992" s="28" t="str">
        <f aca="false">IF(COUNTA(C992:G992)=0,"",IF(AND(C992="Yes",D992="Yes",E992="Yes",F992="Yes",G992="No"),"Yes","No"))</f>
        <v/>
      </c>
      <c r="I992" s="32"/>
      <c r="J992" s="32"/>
    </row>
    <row r="993" customFormat="false" ht="15" hidden="false" customHeight="false" outlineLevel="0" collapsed="false">
      <c r="A993" s="32"/>
      <c r="B993" s="32"/>
      <c r="C993" s="32"/>
      <c r="D993" s="32"/>
      <c r="E993" s="32"/>
      <c r="F993" s="32"/>
      <c r="G993" s="32"/>
      <c r="H993" s="28" t="str">
        <f aca="false">IF(COUNTA(C993:G993)=0,"",IF(AND(C993="Yes",D993="Yes",E993="Yes",F993="Yes",G993="No"),"Yes","No"))</f>
        <v/>
      </c>
      <c r="I993" s="32"/>
      <c r="J993" s="32"/>
    </row>
    <row r="994" customFormat="false" ht="15" hidden="false" customHeight="false" outlineLevel="0" collapsed="false">
      <c r="A994" s="32"/>
      <c r="B994" s="32"/>
      <c r="C994" s="32"/>
      <c r="D994" s="32"/>
      <c r="E994" s="32"/>
      <c r="F994" s="32"/>
      <c r="G994" s="32"/>
      <c r="H994" s="28" t="str">
        <f aca="false">IF(COUNTA(C994:G994)=0,"",IF(AND(C994="Yes",D994="Yes",E994="Yes",F994="Yes",G994="No"),"Yes","No"))</f>
        <v/>
      </c>
      <c r="I994" s="32"/>
      <c r="J994" s="32"/>
    </row>
    <row r="995" customFormat="false" ht="15" hidden="false" customHeight="false" outlineLevel="0" collapsed="false">
      <c r="A995" s="32"/>
      <c r="B995" s="32"/>
      <c r="C995" s="32"/>
      <c r="D995" s="32"/>
      <c r="E995" s="32"/>
      <c r="F995" s="32"/>
      <c r="G995" s="32"/>
      <c r="H995" s="28" t="str">
        <f aca="false">IF(COUNTA(C995:G995)=0,"",IF(AND(C995="Yes",D995="Yes",E995="Yes",F995="Yes",G995="No"),"Yes","No"))</f>
        <v/>
      </c>
      <c r="I995" s="32"/>
      <c r="J995" s="32"/>
    </row>
    <row r="996" customFormat="false" ht="15" hidden="false" customHeight="false" outlineLevel="0" collapsed="false">
      <c r="A996" s="32"/>
      <c r="B996" s="32"/>
      <c r="C996" s="32"/>
      <c r="D996" s="32"/>
      <c r="E996" s="32"/>
      <c r="F996" s="32"/>
      <c r="G996" s="32"/>
      <c r="H996" s="28" t="str">
        <f aca="false">IF(COUNTA(C996:G996)=0,"",IF(AND(C996="Yes",D996="Yes",E996="Yes",F996="Yes",G996="No"),"Yes","No"))</f>
        <v/>
      </c>
      <c r="I996" s="32"/>
      <c r="J996" s="32"/>
    </row>
    <row r="997" customFormat="false" ht="15" hidden="false" customHeight="false" outlineLevel="0" collapsed="false">
      <c r="A997" s="32"/>
      <c r="B997" s="32"/>
      <c r="C997" s="32"/>
      <c r="D997" s="32"/>
      <c r="E997" s="32"/>
      <c r="F997" s="32"/>
      <c r="G997" s="32"/>
      <c r="H997" s="28" t="str">
        <f aca="false">IF(COUNTA(C997:G997)=0,"",IF(AND(C997="Yes",D997="Yes",E997="Yes",F997="Yes",G997="No"),"Yes","No"))</f>
        <v/>
      </c>
      <c r="I997" s="32"/>
      <c r="J997" s="32"/>
    </row>
    <row r="998" customFormat="false" ht="15" hidden="false" customHeight="false" outlineLevel="0" collapsed="false">
      <c r="A998" s="32"/>
      <c r="B998" s="32"/>
      <c r="C998" s="32"/>
      <c r="D998" s="32"/>
      <c r="E998" s="32"/>
      <c r="F998" s="32"/>
      <c r="G998" s="32"/>
      <c r="H998" s="28" t="str">
        <f aca="false">IF(COUNTA(C998:G998)=0,"",IF(AND(C998="Yes",D998="Yes",E998="Yes",F998="Yes",G998="No"),"Yes","No"))</f>
        <v/>
      </c>
      <c r="I998" s="32"/>
      <c r="J998" s="32"/>
    </row>
    <row r="999" customFormat="false" ht="15" hidden="false" customHeight="false" outlineLevel="0" collapsed="false">
      <c r="A999" s="32"/>
      <c r="B999" s="32"/>
      <c r="C999" s="32"/>
      <c r="D999" s="32"/>
      <c r="E999" s="32"/>
      <c r="F999" s="32"/>
      <c r="G999" s="32"/>
      <c r="H999" s="28" t="str">
        <f aca="false">IF(COUNTA(C999:G999)=0,"",IF(AND(C999="Yes",D999="Yes",E999="Yes",F999="Yes",G999="No"),"Yes","No"))</f>
        <v/>
      </c>
      <c r="I999" s="32"/>
      <c r="J999" s="32"/>
    </row>
    <row r="1000" customFormat="false" ht="15" hidden="false" customHeight="false" outlineLevel="0" collapsed="false">
      <c r="A1000" s="32"/>
      <c r="B1000" s="32"/>
      <c r="C1000" s="32"/>
      <c r="D1000" s="32"/>
      <c r="E1000" s="32"/>
      <c r="F1000" s="32"/>
      <c r="G1000" s="32"/>
      <c r="H1000" s="28" t="str">
        <f aca="false">IF(COUNTA(C1000:G1000)=0,"",IF(AND(C1000="Yes",D1000="Yes",E1000="Yes",F1000="Yes",G1000="No"),"Yes","No"))</f>
        <v/>
      </c>
      <c r="I1000" s="32"/>
      <c r="J1000" s="32"/>
    </row>
    <row r="1001" customFormat="false" ht="15" hidden="false" customHeight="false" outlineLevel="0" collapsed="false">
      <c r="A1001" s="32"/>
      <c r="B1001" s="32"/>
      <c r="C1001" s="32"/>
      <c r="D1001" s="32"/>
      <c r="E1001" s="32"/>
      <c r="F1001" s="32"/>
      <c r="G1001" s="32"/>
      <c r="H1001" s="28" t="str">
        <f aca="false">IF(COUNTA(C1001:G1001)=0,"",IF(AND(C1001="Yes",D1001="Yes",E1001="Yes",F1001="Yes",G1001="No"),"Yes","No"))</f>
        <v/>
      </c>
      <c r="I1001" s="32"/>
      <c r="J1001" s="32"/>
    </row>
    <row r="1002" customFormat="false" ht="15" hidden="false" customHeight="false" outlineLevel="0" collapsed="false">
      <c r="A1002" s="32"/>
      <c r="B1002" s="32"/>
      <c r="C1002" s="32"/>
      <c r="D1002" s="32"/>
      <c r="E1002" s="32"/>
      <c r="F1002" s="32"/>
      <c r="G1002" s="32"/>
      <c r="H1002" s="28" t="str">
        <f aca="false">IF(COUNTA(C1002:G1002)=0,"",IF(AND(C1002="Yes",D1002="Yes",E1002="Yes",F1002="Yes",G1002="No"),"Yes","No"))</f>
        <v/>
      </c>
      <c r="I1002" s="32"/>
      <c r="J1002" s="32"/>
    </row>
    <row r="1003" customFormat="false" ht="15" hidden="false" customHeight="false" outlineLevel="0" collapsed="false">
      <c r="A1003" s="32"/>
      <c r="B1003" s="32"/>
      <c r="C1003" s="32"/>
      <c r="D1003" s="32"/>
      <c r="E1003" s="32"/>
      <c r="F1003" s="32"/>
      <c r="G1003" s="32"/>
      <c r="H1003" s="28" t="str">
        <f aca="false">IF(COUNTA(C1003:G1003)=0,"",IF(AND(C1003="Yes",D1003="Yes",E1003="Yes",F1003="Yes",G1003="No"),"Yes","No"))</f>
        <v/>
      </c>
      <c r="I1003" s="32"/>
      <c r="J1003" s="32"/>
    </row>
    <row r="1004" customFormat="false" ht="15" hidden="false" customHeight="false" outlineLevel="0" collapsed="false">
      <c r="A1004" s="32"/>
      <c r="B1004" s="32"/>
      <c r="C1004" s="32"/>
      <c r="D1004" s="32"/>
      <c r="E1004" s="32"/>
      <c r="F1004" s="32"/>
      <c r="G1004" s="32"/>
      <c r="H1004" s="28" t="str">
        <f aca="false">IF(COUNTA(C1004:G1004)=0,"",IF(AND(C1004="Yes",D1004="Yes",E1004="Yes",F1004="Yes",G1004="No"),"Yes","No"))</f>
        <v/>
      </c>
      <c r="I1004" s="32"/>
      <c r="J1004" s="32"/>
    </row>
    <row r="1005" customFormat="false" ht="15" hidden="false" customHeight="false" outlineLevel="0" collapsed="false">
      <c r="A1005" s="32"/>
      <c r="B1005" s="32"/>
      <c r="C1005" s="32"/>
      <c r="D1005" s="32"/>
      <c r="E1005" s="32"/>
      <c r="F1005" s="32"/>
      <c r="G1005" s="32"/>
      <c r="H1005" s="28" t="str">
        <f aca="false">IF(COUNTA(C1005:G1005)=0,"",IF(AND(C1005="Yes",D1005="Yes",E1005="Yes",F1005="Yes",G1005="No"),"Yes","No"))</f>
        <v/>
      </c>
      <c r="I1005" s="32"/>
      <c r="J1005" s="32"/>
    </row>
    <row r="1006" customFormat="false" ht="15" hidden="false" customHeight="false" outlineLevel="0" collapsed="false">
      <c r="A1006" s="32"/>
      <c r="B1006" s="32"/>
      <c r="C1006" s="32"/>
      <c r="D1006" s="32"/>
      <c r="E1006" s="32"/>
      <c r="F1006" s="32"/>
      <c r="G1006" s="32"/>
      <c r="H1006" s="28" t="str">
        <f aca="false">IF(COUNTA(C1006:G1006)=0,"",IF(AND(C1006="Yes",D1006="Yes",E1006="Yes",F1006="Yes",G1006="No"),"Yes","No"))</f>
        <v/>
      </c>
      <c r="I1006" s="32"/>
      <c r="J1006" s="32"/>
    </row>
    <row r="1007" customFormat="false" ht="15" hidden="false" customHeight="false" outlineLevel="0" collapsed="false">
      <c r="A1007" s="32"/>
      <c r="B1007" s="32"/>
      <c r="C1007" s="32"/>
      <c r="D1007" s="32"/>
      <c r="E1007" s="32"/>
      <c r="F1007" s="32"/>
      <c r="G1007" s="32"/>
      <c r="H1007" s="28" t="str">
        <f aca="false">IF(COUNTA(C1007:G1007)=0,"",IF(AND(C1007="Yes",D1007="Yes",E1007="Yes",F1007="Yes",G1007="No"),"Yes","No"))</f>
        <v/>
      </c>
      <c r="I1007" s="32"/>
      <c r="J1007" s="32"/>
    </row>
    <row r="1008" customFormat="false" ht="15" hidden="false" customHeight="false" outlineLevel="0" collapsed="false">
      <c r="A1008" s="32"/>
      <c r="B1008" s="32"/>
      <c r="C1008" s="32"/>
      <c r="D1008" s="32"/>
      <c r="E1008" s="32"/>
      <c r="F1008" s="32"/>
      <c r="G1008" s="32"/>
      <c r="H1008" s="28" t="str">
        <f aca="false">IF(COUNTA(C1008:G1008)=0,"",IF(AND(C1008="Yes",D1008="Yes",E1008="Yes",F1008="Yes",G1008="No"),"Yes","No"))</f>
        <v/>
      </c>
      <c r="I1008" s="32"/>
      <c r="J1008" s="32"/>
    </row>
    <row r="1009" customFormat="false" ht="15" hidden="false" customHeight="false" outlineLevel="0" collapsed="false">
      <c r="A1009" s="32"/>
      <c r="B1009" s="32"/>
      <c r="C1009" s="32"/>
      <c r="D1009" s="32"/>
      <c r="E1009" s="32"/>
      <c r="F1009" s="32"/>
      <c r="G1009" s="32"/>
      <c r="H1009" s="28" t="str">
        <f aca="false">IF(COUNTA(C1009:G1009)=0,"",IF(AND(C1009="Yes",D1009="Yes",E1009="Yes",F1009="Yes",G1009="No"),"Yes","No"))</f>
        <v/>
      </c>
      <c r="I1009" s="32"/>
      <c r="J1009" s="32"/>
    </row>
    <row r="1010" customFormat="false" ht="15" hidden="false" customHeight="false" outlineLevel="0" collapsed="false">
      <c r="A1010" s="32"/>
      <c r="B1010" s="32"/>
      <c r="C1010" s="32"/>
      <c r="D1010" s="32"/>
      <c r="E1010" s="32"/>
      <c r="F1010" s="32"/>
      <c r="G1010" s="32"/>
      <c r="H1010" s="28" t="str">
        <f aca="false">IF(COUNTA(C1010:G1010)=0,"",IF(AND(C1010="Yes",D1010="Yes",E1010="Yes",F1010="Yes",G1010="No"),"Yes","No"))</f>
        <v/>
      </c>
      <c r="I1010" s="32"/>
      <c r="J1010" s="32"/>
    </row>
    <row r="1011" customFormat="false" ht="15" hidden="false" customHeight="false" outlineLevel="0" collapsed="false">
      <c r="A1011" s="32"/>
      <c r="B1011" s="32"/>
      <c r="C1011" s="32"/>
      <c r="D1011" s="32"/>
      <c r="E1011" s="32"/>
      <c r="F1011" s="32"/>
      <c r="G1011" s="32"/>
      <c r="H1011" s="28" t="str">
        <f aca="false">IF(COUNTA(C1011:G1011)=0,"",IF(AND(C1011="Yes",D1011="Yes",E1011="Yes",F1011="Yes",G1011="No"),"Yes","No"))</f>
        <v/>
      </c>
      <c r="I1011" s="32"/>
      <c r="J1011" s="32"/>
    </row>
    <row r="1012" customFormat="false" ht="15" hidden="false" customHeight="false" outlineLevel="0" collapsed="false">
      <c r="A1012" s="32"/>
      <c r="B1012" s="32"/>
      <c r="C1012" s="32"/>
      <c r="D1012" s="32"/>
      <c r="E1012" s="32"/>
      <c r="F1012" s="32"/>
      <c r="G1012" s="32"/>
      <c r="H1012" s="28" t="str">
        <f aca="false">IF(COUNTA(C1012:G1012)=0,"",IF(AND(C1012="Yes",D1012="Yes",E1012="Yes",F1012="Yes",G1012="No"),"Yes","No"))</f>
        <v/>
      </c>
      <c r="I1012" s="32"/>
      <c r="J1012" s="32"/>
    </row>
    <row r="1013" customFormat="false" ht="15" hidden="false" customHeight="false" outlineLevel="0" collapsed="false">
      <c r="A1013" s="32"/>
      <c r="B1013" s="32"/>
      <c r="C1013" s="32"/>
      <c r="D1013" s="32"/>
      <c r="E1013" s="32"/>
      <c r="F1013" s="32"/>
      <c r="G1013" s="32"/>
      <c r="H1013" s="28" t="str">
        <f aca="false">IF(COUNTA(C1013:G1013)=0,"",IF(AND(C1013="Yes",D1013="Yes",E1013="Yes",F1013="Yes",G1013="No"),"Yes","No"))</f>
        <v/>
      </c>
      <c r="I1013" s="32"/>
      <c r="J1013" s="32"/>
    </row>
    <row r="1014" customFormat="false" ht="15" hidden="false" customHeight="false" outlineLevel="0" collapsed="false">
      <c r="A1014" s="32"/>
      <c r="B1014" s="32"/>
      <c r="C1014" s="32"/>
      <c r="D1014" s="32"/>
      <c r="E1014" s="32"/>
      <c r="F1014" s="32"/>
      <c r="G1014" s="32"/>
      <c r="H1014" s="28" t="str">
        <f aca="false">IF(COUNTA(C1014:G1014)=0,"",IF(AND(C1014="Yes",D1014="Yes",E1014="Yes",F1014="Yes",G1014="No"),"Yes","No"))</f>
        <v/>
      </c>
      <c r="I1014" s="32"/>
      <c r="J1014" s="32"/>
    </row>
    <row r="1015" customFormat="false" ht="15" hidden="false" customHeight="false" outlineLevel="0" collapsed="false">
      <c r="A1015" s="32"/>
      <c r="B1015" s="32"/>
      <c r="C1015" s="32"/>
      <c r="D1015" s="32"/>
      <c r="E1015" s="32"/>
      <c r="F1015" s="32"/>
      <c r="G1015" s="32"/>
      <c r="H1015" s="28" t="str">
        <f aca="false">IF(COUNTA(C1015:G1015)=0,"",IF(AND(C1015="Yes",D1015="Yes",E1015="Yes",F1015="Yes",G1015="No"),"Yes","No"))</f>
        <v/>
      </c>
      <c r="I1015" s="32"/>
      <c r="J1015" s="32"/>
    </row>
    <row r="1016" customFormat="false" ht="15" hidden="false" customHeight="false" outlineLevel="0" collapsed="false">
      <c r="A1016" s="32"/>
      <c r="B1016" s="32"/>
      <c r="C1016" s="32"/>
      <c r="D1016" s="32"/>
      <c r="E1016" s="32"/>
      <c r="F1016" s="32"/>
      <c r="G1016" s="32"/>
      <c r="H1016" s="28" t="str">
        <f aca="false">IF(COUNTA(C1016:G1016)=0,"",IF(AND(C1016="Yes",D1016="Yes",E1016="Yes",F1016="Yes",G1016="No"),"Yes","No"))</f>
        <v/>
      </c>
      <c r="I1016" s="32"/>
      <c r="J1016" s="32"/>
    </row>
    <row r="1017" customFormat="false" ht="15" hidden="false" customHeight="false" outlineLevel="0" collapsed="false">
      <c r="A1017" s="32"/>
      <c r="B1017" s="32"/>
      <c r="C1017" s="32"/>
      <c r="D1017" s="32"/>
      <c r="E1017" s="32"/>
      <c r="F1017" s="32"/>
      <c r="G1017" s="32"/>
      <c r="H1017" s="28" t="str">
        <f aca="false">IF(COUNTA(C1017:G1017)=0,"",IF(AND(C1017="Yes",D1017="Yes",E1017="Yes",F1017="Yes",G1017="No"),"Yes","No"))</f>
        <v/>
      </c>
      <c r="I1017" s="32"/>
      <c r="J1017" s="32"/>
    </row>
    <row r="1018" customFormat="false" ht="15" hidden="false" customHeight="false" outlineLevel="0" collapsed="false">
      <c r="A1018" s="32"/>
      <c r="B1018" s="32"/>
      <c r="C1018" s="32"/>
      <c r="D1018" s="32"/>
      <c r="E1018" s="32"/>
      <c r="F1018" s="32"/>
      <c r="G1018" s="32"/>
      <c r="H1018" s="28" t="str">
        <f aca="false">IF(COUNTA(C1018:G1018)=0,"",IF(AND(C1018="Yes",D1018="Yes",E1018="Yes",F1018="Yes",G1018="No"),"Yes","No"))</f>
        <v/>
      </c>
      <c r="I1018" s="32"/>
      <c r="J1018" s="32"/>
    </row>
    <row r="1019" customFormat="false" ht="15" hidden="false" customHeight="false" outlineLevel="0" collapsed="false">
      <c r="A1019" s="32"/>
      <c r="B1019" s="32"/>
      <c r="C1019" s="32"/>
      <c r="D1019" s="32"/>
      <c r="E1019" s="32"/>
      <c r="F1019" s="32"/>
      <c r="G1019" s="32"/>
      <c r="H1019" s="28" t="str">
        <f aca="false">IF(COUNTA(C1019:G1019)=0,"",IF(AND(C1019="Yes",D1019="Yes",E1019="Yes",F1019="Yes",G1019="No"),"Yes","No"))</f>
        <v/>
      </c>
      <c r="I1019" s="32"/>
      <c r="J1019" s="32"/>
    </row>
    <row r="1020" customFormat="false" ht="15" hidden="false" customHeight="false" outlineLevel="0" collapsed="false">
      <c r="A1020" s="32"/>
      <c r="B1020" s="32"/>
      <c r="C1020" s="32"/>
      <c r="D1020" s="32"/>
      <c r="E1020" s="32"/>
      <c r="F1020" s="32"/>
      <c r="G1020" s="32"/>
      <c r="H1020" s="28" t="str">
        <f aca="false">IF(COUNTA(C1020:G1020)=0,"",IF(AND(C1020="Yes",D1020="Yes",E1020="Yes",F1020="Yes",G1020="No"),"Yes","No"))</f>
        <v/>
      </c>
      <c r="I1020" s="32"/>
      <c r="J1020" s="32"/>
    </row>
    <row r="1021" customFormat="false" ht="15" hidden="false" customHeight="false" outlineLevel="0" collapsed="false">
      <c r="A1021" s="32"/>
      <c r="B1021" s="32"/>
      <c r="C1021" s="32"/>
      <c r="D1021" s="32"/>
      <c r="E1021" s="32"/>
      <c r="F1021" s="32"/>
      <c r="G1021" s="32"/>
      <c r="H1021" s="28" t="str">
        <f aca="false">IF(COUNTA(C1021:G1021)=0,"",IF(AND(C1021="Yes",D1021="Yes",E1021="Yes",F1021="Yes",G1021="No"),"Yes","No"))</f>
        <v/>
      </c>
      <c r="I1021" s="32"/>
      <c r="J1021" s="32"/>
    </row>
    <row r="1022" customFormat="false" ht="15" hidden="false" customHeight="false" outlineLevel="0" collapsed="false">
      <c r="A1022" s="32"/>
      <c r="B1022" s="32"/>
      <c r="C1022" s="32"/>
      <c r="D1022" s="32"/>
      <c r="E1022" s="32"/>
      <c r="F1022" s="32"/>
      <c r="G1022" s="32"/>
      <c r="H1022" s="28" t="str">
        <f aca="false">IF(COUNTA(C1022:G1022)=0,"",IF(AND(C1022="Yes",D1022="Yes",E1022="Yes",F1022="Yes",G1022="No"),"Yes","No"))</f>
        <v/>
      </c>
      <c r="I1022" s="32"/>
      <c r="J1022" s="32"/>
    </row>
    <row r="1023" customFormat="false" ht="15" hidden="false" customHeight="false" outlineLevel="0" collapsed="false">
      <c r="A1023" s="32"/>
      <c r="B1023" s="32"/>
      <c r="C1023" s="32"/>
      <c r="D1023" s="32"/>
      <c r="E1023" s="32"/>
      <c r="F1023" s="32"/>
      <c r="G1023" s="32"/>
      <c r="H1023" s="28" t="str">
        <f aca="false">IF(COUNTA(C1023:G1023)=0,"",IF(AND(C1023="Yes",D1023="Yes",E1023="Yes",F1023="Yes",G1023="No"),"Yes","No"))</f>
        <v/>
      </c>
      <c r="I1023" s="32"/>
      <c r="J1023" s="32"/>
    </row>
    <row r="1024" customFormat="false" ht="15" hidden="false" customHeight="false" outlineLevel="0" collapsed="false">
      <c r="A1024" s="32"/>
      <c r="B1024" s="32"/>
      <c r="C1024" s="32"/>
      <c r="D1024" s="32"/>
      <c r="E1024" s="32"/>
      <c r="F1024" s="32"/>
      <c r="G1024" s="32"/>
      <c r="H1024" s="28" t="str">
        <f aca="false">IF(COUNTA(C1024:G1024)=0,"",IF(AND(C1024="Yes",D1024="Yes",E1024="Yes",F1024="Yes",G1024="No"),"Yes","No"))</f>
        <v/>
      </c>
      <c r="I1024" s="32"/>
      <c r="J1024" s="32"/>
    </row>
    <row r="1025" customFormat="false" ht="15" hidden="false" customHeight="false" outlineLevel="0" collapsed="false">
      <c r="A1025" s="32"/>
      <c r="B1025" s="32"/>
      <c r="C1025" s="32"/>
      <c r="D1025" s="32"/>
      <c r="E1025" s="32"/>
      <c r="F1025" s="32"/>
      <c r="G1025" s="32"/>
      <c r="H1025" s="28" t="str">
        <f aca="false">IF(COUNTA(C1025:G1025)=0,"",IF(AND(C1025="Yes",D1025="Yes",E1025="Yes",F1025="Yes",G1025="No"),"Yes","No"))</f>
        <v/>
      </c>
      <c r="I1025" s="32"/>
      <c r="J1025" s="32"/>
    </row>
    <row r="1026" customFormat="false" ht="15" hidden="false" customHeight="false" outlineLevel="0" collapsed="false">
      <c r="A1026" s="32"/>
      <c r="B1026" s="32"/>
      <c r="C1026" s="32"/>
      <c r="D1026" s="32"/>
      <c r="E1026" s="32"/>
      <c r="F1026" s="32"/>
      <c r="G1026" s="32"/>
      <c r="H1026" s="28" t="str">
        <f aca="false">IF(COUNTA(C1026:G1026)=0,"",IF(AND(C1026="Yes",D1026="Yes",E1026="Yes",F1026="Yes",G1026="No"),"Yes","No"))</f>
        <v/>
      </c>
      <c r="I1026" s="32"/>
      <c r="J1026" s="32"/>
    </row>
    <row r="1027" customFormat="false" ht="15" hidden="false" customHeight="false" outlineLevel="0" collapsed="false">
      <c r="A1027" s="32"/>
      <c r="B1027" s="32"/>
      <c r="C1027" s="32"/>
      <c r="D1027" s="32"/>
      <c r="E1027" s="32"/>
      <c r="F1027" s="32"/>
      <c r="G1027" s="32"/>
      <c r="H1027" s="28" t="str">
        <f aca="false">IF(COUNTA(C1027:G1027)=0,"",IF(AND(C1027="Yes",D1027="Yes",E1027="Yes",F1027="Yes",G1027="No"),"Yes","No"))</f>
        <v/>
      </c>
      <c r="I1027" s="32"/>
      <c r="J1027" s="32"/>
    </row>
    <row r="1028" customFormat="false" ht="15" hidden="false" customHeight="false" outlineLevel="0" collapsed="false">
      <c r="A1028" s="32"/>
      <c r="B1028" s="32"/>
      <c r="C1028" s="32"/>
      <c r="D1028" s="32"/>
      <c r="E1028" s="32"/>
      <c r="F1028" s="32"/>
      <c r="G1028" s="32"/>
      <c r="H1028" s="28" t="str">
        <f aca="false">IF(COUNTA(C1028:G1028)=0,"",IF(AND(C1028="Yes",D1028="Yes",E1028="Yes",F1028="Yes",G1028="No"),"Yes","No"))</f>
        <v/>
      </c>
      <c r="I1028" s="32"/>
      <c r="J1028" s="32"/>
    </row>
    <row r="1029" customFormat="false" ht="15" hidden="false" customHeight="false" outlineLevel="0" collapsed="false">
      <c r="A1029" s="32"/>
      <c r="B1029" s="32"/>
      <c r="C1029" s="32"/>
      <c r="D1029" s="32"/>
      <c r="E1029" s="32"/>
      <c r="F1029" s="32"/>
      <c r="G1029" s="32"/>
      <c r="H1029" s="28" t="str">
        <f aca="false">IF(COUNTA(C1029:G1029)=0,"",IF(AND(C1029="Yes",D1029="Yes",E1029="Yes",F1029="Yes",G1029="No"),"Yes","No"))</f>
        <v/>
      </c>
      <c r="I1029" s="32"/>
      <c r="J1029" s="32"/>
    </row>
    <row r="1030" customFormat="false" ht="15" hidden="false" customHeight="false" outlineLevel="0" collapsed="false">
      <c r="A1030" s="32"/>
      <c r="B1030" s="32"/>
      <c r="C1030" s="32"/>
      <c r="D1030" s="32"/>
      <c r="E1030" s="32"/>
      <c r="F1030" s="32"/>
      <c r="G1030" s="32"/>
      <c r="H1030" s="28" t="str">
        <f aca="false">IF(COUNTA(C1030:G1030)=0,"",IF(AND(C1030="Yes",D1030="Yes",E1030="Yes",F1030="Yes",G1030="No"),"Yes","No"))</f>
        <v/>
      </c>
      <c r="I1030" s="32"/>
      <c r="J1030" s="32"/>
    </row>
    <row r="1031" customFormat="false" ht="15" hidden="false" customHeight="false" outlineLevel="0" collapsed="false">
      <c r="A1031" s="32"/>
      <c r="B1031" s="32"/>
      <c r="C1031" s="32"/>
      <c r="D1031" s="32"/>
      <c r="E1031" s="32"/>
      <c r="F1031" s="32"/>
      <c r="G1031" s="32"/>
      <c r="H1031" s="28" t="str">
        <f aca="false">IF(COUNTA(C1031:G1031)=0,"",IF(AND(C1031="Yes",D1031="Yes",E1031="Yes",F1031="Yes",G1031="No"),"Yes","No"))</f>
        <v/>
      </c>
      <c r="I1031" s="32"/>
      <c r="J1031" s="32"/>
    </row>
    <row r="1032" customFormat="false" ht="15" hidden="false" customHeight="false" outlineLevel="0" collapsed="false">
      <c r="A1032" s="32"/>
      <c r="B1032" s="32"/>
      <c r="C1032" s="32"/>
      <c r="D1032" s="32"/>
      <c r="E1032" s="32"/>
      <c r="F1032" s="32"/>
      <c r="G1032" s="32"/>
      <c r="H1032" s="28" t="str">
        <f aca="false">IF(COUNTA(C1032:G1032)=0,"",IF(AND(C1032="Yes",D1032="Yes",E1032="Yes",F1032="Yes",G1032="No"),"Yes","No"))</f>
        <v/>
      </c>
      <c r="I1032" s="32"/>
      <c r="J1032" s="32"/>
    </row>
    <row r="1033" customFormat="false" ht="15" hidden="false" customHeight="false" outlineLevel="0" collapsed="false">
      <c r="A1033" s="32"/>
      <c r="B1033" s="32"/>
      <c r="C1033" s="32"/>
      <c r="D1033" s="32"/>
      <c r="E1033" s="32"/>
      <c r="F1033" s="32"/>
      <c r="G1033" s="32"/>
      <c r="H1033" s="28" t="str">
        <f aca="false">IF(COUNTA(C1033:G1033)=0,"",IF(AND(C1033="Yes",D1033="Yes",E1033="Yes",F1033="Yes",G1033="No"),"Yes","No"))</f>
        <v/>
      </c>
      <c r="I1033" s="32"/>
      <c r="J1033" s="32"/>
    </row>
    <row r="1034" customFormat="false" ht="15" hidden="false" customHeight="false" outlineLevel="0" collapsed="false">
      <c r="A1034" s="32"/>
      <c r="B1034" s="32"/>
      <c r="C1034" s="32"/>
      <c r="D1034" s="32"/>
      <c r="E1034" s="32"/>
      <c r="F1034" s="32"/>
      <c r="G1034" s="32"/>
      <c r="H1034" s="28" t="str">
        <f aca="false">IF(COUNTA(C1034:G1034)=0,"",IF(AND(C1034="Yes",D1034="Yes",E1034="Yes",F1034="Yes",G1034="No"),"Yes","No"))</f>
        <v/>
      </c>
      <c r="I1034" s="32"/>
      <c r="J1034" s="32"/>
    </row>
    <row r="1035" customFormat="false" ht="15" hidden="false" customHeight="false" outlineLevel="0" collapsed="false">
      <c r="A1035" s="32"/>
      <c r="B1035" s="32"/>
      <c r="C1035" s="32"/>
      <c r="D1035" s="32"/>
      <c r="E1035" s="32"/>
      <c r="F1035" s="32"/>
      <c r="G1035" s="32"/>
      <c r="H1035" s="28" t="str">
        <f aca="false">IF(COUNTA(C1035:G1035)=0,"",IF(AND(C1035="Yes",D1035="Yes",E1035="Yes",F1035="Yes",G1035="No"),"Yes","No"))</f>
        <v/>
      </c>
      <c r="I1035" s="32"/>
      <c r="J1035" s="32"/>
    </row>
    <row r="1036" customFormat="false" ht="15" hidden="false" customHeight="false" outlineLevel="0" collapsed="false">
      <c r="A1036" s="32"/>
      <c r="B1036" s="32"/>
      <c r="C1036" s="32"/>
      <c r="D1036" s="32"/>
      <c r="E1036" s="32"/>
      <c r="F1036" s="32"/>
      <c r="G1036" s="32"/>
      <c r="H1036" s="28" t="str">
        <f aca="false">IF(COUNTA(C1036:G1036)=0,"",IF(AND(C1036="Yes",D1036="Yes",E1036="Yes",F1036="Yes",G1036="No"),"Yes","No"))</f>
        <v/>
      </c>
      <c r="I1036" s="32"/>
      <c r="J1036" s="32"/>
    </row>
    <row r="1037" customFormat="false" ht="15" hidden="false" customHeight="false" outlineLevel="0" collapsed="false">
      <c r="A1037" s="32"/>
      <c r="B1037" s="32"/>
      <c r="C1037" s="32"/>
      <c r="D1037" s="32"/>
      <c r="E1037" s="32"/>
      <c r="F1037" s="32"/>
      <c r="G1037" s="32"/>
      <c r="H1037" s="28" t="str">
        <f aca="false">IF(COUNTA(C1037:G1037)=0,"",IF(AND(C1037="Yes",D1037="Yes",E1037="Yes",F1037="Yes",G1037="No"),"Yes","No"))</f>
        <v/>
      </c>
      <c r="I1037" s="32"/>
      <c r="J1037" s="32"/>
    </row>
    <row r="1038" customFormat="false" ht="15" hidden="false" customHeight="false" outlineLevel="0" collapsed="false">
      <c r="A1038" s="32"/>
      <c r="B1038" s="32"/>
      <c r="C1038" s="32"/>
      <c r="D1038" s="32"/>
      <c r="E1038" s="32"/>
      <c r="F1038" s="32"/>
      <c r="G1038" s="32"/>
      <c r="H1038" s="28" t="str">
        <f aca="false">IF(COUNTA(C1038:G1038)=0,"",IF(AND(C1038="Yes",D1038="Yes",E1038="Yes",F1038="Yes",G1038="No"),"Yes","No"))</f>
        <v/>
      </c>
      <c r="I1038" s="32"/>
      <c r="J1038" s="32"/>
    </row>
    <row r="1039" customFormat="false" ht="15" hidden="false" customHeight="false" outlineLevel="0" collapsed="false">
      <c r="A1039" s="32"/>
      <c r="B1039" s="32"/>
      <c r="C1039" s="32"/>
      <c r="D1039" s="32"/>
      <c r="E1039" s="32"/>
      <c r="F1039" s="32"/>
      <c r="G1039" s="32"/>
      <c r="H1039" s="28" t="str">
        <f aca="false">IF(COUNTA(C1039:G1039)=0,"",IF(AND(C1039="Yes",D1039="Yes",E1039="Yes",F1039="Yes",G1039="No"),"Yes","No"))</f>
        <v/>
      </c>
      <c r="I1039" s="32"/>
      <c r="J1039" s="32"/>
    </row>
    <row r="1040" customFormat="false" ht="15" hidden="false" customHeight="false" outlineLevel="0" collapsed="false">
      <c r="A1040" s="32"/>
      <c r="B1040" s="32"/>
      <c r="C1040" s="32"/>
      <c r="D1040" s="32"/>
      <c r="E1040" s="32"/>
      <c r="F1040" s="32"/>
      <c r="G1040" s="32"/>
      <c r="H1040" s="28" t="str">
        <f aca="false">IF(COUNTA(C1040:G1040)=0,"",IF(AND(C1040="Yes",D1040="Yes",E1040="Yes",F1040="Yes",G1040="No"),"Yes","No"))</f>
        <v/>
      </c>
      <c r="I1040" s="32"/>
      <c r="J1040" s="32"/>
    </row>
    <row r="1041" customFormat="false" ht="15" hidden="false" customHeight="false" outlineLevel="0" collapsed="false">
      <c r="A1041" s="32"/>
      <c r="B1041" s="32"/>
      <c r="C1041" s="32"/>
      <c r="D1041" s="32"/>
      <c r="E1041" s="32"/>
      <c r="F1041" s="32"/>
      <c r="G1041" s="32"/>
      <c r="H1041" s="28" t="str">
        <f aca="false">IF(COUNTA(C1041:G1041)=0,"",IF(AND(C1041="Yes",D1041="Yes",E1041="Yes",F1041="Yes",G1041="No"),"Yes","No"))</f>
        <v/>
      </c>
      <c r="I1041" s="32"/>
      <c r="J1041" s="32"/>
    </row>
    <row r="1042" customFormat="false" ht="15" hidden="false" customHeight="false" outlineLevel="0" collapsed="false">
      <c r="A1042" s="32"/>
      <c r="B1042" s="32"/>
      <c r="C1042" s="32"/>
      <c r="D1042" s="32"/>
      <c r="E1042" s="32"/>
      <c r="F1042" s="32"/>
      <c r="G1042" s="32"/>
      <c r="H1042" s="28" t="str">
        <f aca="false">IF(COUNTA(C1042:G1042)=0,"",IF(AND(C1042="Yes",D1042="Yes",E1042="Yes",F1042="Yes",G1042="No"),"Yes","No"))</f>
        <v/>
      </c>
      <c r="I1042" s="32"/>
      <c r="J1042" s="32"/>
    </row>
    <row r="1043" customFormat="false" ht="15" hidden="false" customHeight="false" outlineLevel="0" collapsed="false">
      <c r="A1043" s="32"/>
      <c r="B1043" s="32"/>
      <c r="C1043" s="32"/>
      <c r="D1043" s="32"/>
      <c r="E1043" s="32"/>
      <c r="F1043" s="32"/>
      <c r="G1043" s="32"/>
      <c r="H1043" s="28" t="str">
        <f aca="false">IF(COUNTA(C1043:G1043)=0,"",IF(AND(C1043="Yes",D1043="Yes",E1043="Yes",F1043="Yes",G1043="No"),"Yes","No"))</f>
        <v/>
      </c>
      <c r="I1043" s="32"/>
      <c r="J1043" s="32"/>
    </row>
    <row r="1044" customFormat="false" ht="15" hidden="false" customHeight="false" outlineLevel="0" collapsed="false">
      <c r="A1044" s="32"/>
      <c r="B1044" s="32"/>
      <c r="C1044" s="32"/>
      <c r="D1044" s="32"/>
      <c r="E1044" s="32"/>
      <c r="F1044" s="32"/>
      <c r="G1044" s="32"/>
      <c r="H1044" s="28" t="str">
        <f aca="false">IF(COUNTA(C1044:G1044)=0,"",IF(AND(C1044="Yes",D1044="Yes",E1044="Yes",F1044="Yes",G1044="No"),"Yes","No"))</f>
        <v/>
      </c>
      <c r="I1044" s="32"/>
      <c r="J1044" s="32"/>
    </row>
    <row r="1045" customFormat="false" ht="15" hidden="false" customHeight="false" outlineLevel="0" collapsed="false">
      <c r="A1045" s="32"/>
      <c r="B1045" s="32"/>
      <c r="C1045" s="32"/>
      <c r="D1045" s="32"/>
      <c r="E1045" s="32"/>
      <c r="F1045" s="32"/>
      <c r="G1045" s="32"/>
      <c r="H1045" s="28" t="str">
        <f aca="false">IF(COUNTA(C1045:G1045)=0,"",IF(AND(C1045="Yes",D1045="Yes",E1045="Yes",F1045="Yes",G1045="No"),"Yes","No"))</f>
        <v/>
      </c>
      <c r="I1045" s="32"/>
      <c r="J1045" s="32"/>
    </row>
    <row r="1046" customFormat="false" ht="15" hidden="false" customHeight="false" outlineLevel="0" collapsed="false">
      <c r="A1046" s="32"/>
      <c r="B1046" s="32"/>
      <c r="C1046" s="32"/>
      <c r="D1046" s="32"/>
      <c r="E1046" s="32"/>
      <c r="F1046" s="32"/>
      <c r="G1046" s="32"/>
      <c r="H1046" s="28" t="str">
        <f aca="false">IF(COUNTA(C1046:G1046)=0,"",IF(AND(C1046="Yes",D1046="Yes",E1046="Yes",F1046="Yes",G1046="No"),"Yes","No"))</f>
        <v/>
      </c>
      <c r="I1046" s="32"/>
      <c r="J1046" s="32"/>
    </row>
    <row r="1047" customFormat="false" ht="15" hidden="false" customHeight="false" outlineLevel="0" collapsed="false">
      <c r="A1047" s="32"/>
      <c r="B1047" s="32"/>
      <c r="C1047" s="32"/>
      <c r="D1047" s="32"/>
      <c r="E1047" s="32"/>
      <c r="F1047" s="32"/>
      <c r="G1047" s="32"/>
      <c r="H1047" s="28" t="str">
        <f aca="false">IF(COUNTA(C1047:G1047)=0,"",IF(AND(C1047="Yes",D1047="Yes",E1047="Yes",F1047="Yes",G1047="No"),"Yes","No"))</f>
        <v/>
      </c>
      <c r="I1047" s="32"/>
      <c r="J1047" s="32"/>
    </row>
    <row r="1048" customFormat="false" ht="15" hidden="false" customHeight="false" outlineLevel="0" collapsed="false">
      <c r="A1048" s="32"/>
      <c r="B1048" s="32"/>
      <c r="C1048" s="32"/>
      <c r="D1048" s="32"/>
      <c r="E1048" s="32"/>
      <c r="F1048" s="32"/>
      <c r="G1048" s="32"/>
      <c r="H1048" s="28" t="str">
        <f aca="false">IF(COUNTA(C1048:G1048)=0,"",IF(AND(C1048="Yes",D1048="Yes",E1048="Yes",F1048="Yes",G1048="No"),"Yes","No"))</f>
        <v/>
      </c>
      <c r="I1048" s="32"/>
      <c r="J1048" s="32"/>
    </row>
    <row r="1049" customFormat="false" ht="15" hidden="false" customHeight="false" outlineLevel="0" collapsed="false">
      <c r="A1049" s="32"/>
      <c r="B1049" s="32"/>
      <c r="C1049" s="32"/>
      <c r="D1049" s="32"/>
      <c r="E1049" s="32"/>
      <c r="F1049" s="32"/>
      <c r="G1049" s="32"/>
      <c r="H1049" s="28" t="str">
        <f aca="false">IF(COUNTA(C1049:G1049)=0,"",IF(AND(C1049="Yes",D1049="Yes",E1049="Yes",F1049="Yes",G1049="No"),"Yes","No"))</f>
        <v/>
      </c>
      <c r="I1049" s="32"/>
      <c r="J1049" s="32"/>
    </row>
    <row r="1050" customFormat="false" ht="15" hidden="false" customHeight="false" outlineLevel="0" collapsed="false">
      <c r="A1050" s="32"/>
      <c r="B1050" s="32"/>
      <c r="C1050" s="32"/>
      <c r="D1050" s="32"/>
      <c r="E1050" s="32"/>
      <c r="F1050" s="32"/>
      <c r="G1050" s="32"/>
      <c r="H1050" s="28" t="str">
        <f aca="false">IF(COUNTA(C1050:G1050)=0,"",IF(AND(C1050="Yes",D1050="Yes",E1050="Yes",F1050="Yes",G1050="No"),"Yes","No"))</f>
        <v/>
      </c>
      <c r="I1050" s="32"/>
      <c r="J1050" s="32"/>
    </row>
    <row r="1051" customFormat="false" ht="15" hidden="false" customHeight="false" outlineLevel="0" collapsed="false">
      <c r="A1051" s="32"/>
      <c r="B1051" s="32"/>
      <c r="C1051" s="32"/>
      <c r="D1051" s="32"/>
      <c r="E1051" s="32"/>
      <c r="F1051" s="32"/>
      <c r="G1051" s="32"/>
      <c r="H1051" s="28" t="str">
        <f aca="false">IF(COUNTA(C1051:G1051)=0,"",IF(AND(C1051="Yes",D1051="Yes",E1051="Yes",F1051="Yes",G1051="No"),"Yes","No"))</f>
        <v/>
      </c>
      <c r="I1051" s="32"/>
      <c r="J1051" s="32"/>
    </row>
    <row r="1052" customFormat="false" ht="15" hidden="false" customHeight="false" outlineLevel="0" collapsed="false">
      <c r="A1052" s="32"/>
      <c r="B1052" s="32"/>
      <c r="C1052" s="32"/>
      <c r="D1052" s="32"/>
      <c r="E1052" s="32"/>
      <c r="F1052" s="32"/>
      <c r="G1052" s="32"/>
      <c r="H1052" s="28" t="str">
        <f aca="false">IF(COUNTA(C1052:G1052)=0,"",IF(AND(C1052="Yes",D1052="Yes",E1052="Yes",F1052="Yes",G1052="No"),"Yes","No"))</f>
        <v/>
      </c>
      <c r="I1052" s="32"/>
      <c r="J1052" s="32"/>
    </row>
    <row r="1053" customFormat="false" ht="15" hidden="false" customHeight="false" outlineLevel="0" collapsed="false">
      <c r="A1053" s="32"/>
      <c r="B1053" s="32"/>
      <c r="C1053" s="32"/>
      <c r="D1053" s="32"/>
      <c r="E1053" s="32"/>
      <c r="F1053" s="32"/>
      <c r="G1053" s="32"/>
      <c r="H1053" s="28" t="str">
        <f aca="false">IF(COUNTA(C1053:G1053)=0,"",IF(AND(C1053="Yes",D1053="Yes",E1053="Yes",F1053="Yes",G1053="No"),"Yes","No"))</f>
        <v/>
      </c>
      <c r="I1053" s="32"/>
      <c r="J1053" s="32"/>
    </row>
    <row r="1054" customFormat="false" ht="15" hidden="false" customHeight="false" outlineLevel="0" collapsed="false">
      <c r="A1054" s="32"/>
      <c r="B1054" s="32"/>
      <c r="C1054" s="32"/>
      <c r="D1054" s="32"/>
      <c r="E1054" s="32"/>
      <c r="F1054" s="32"/>
      <c r="G1054" s="32"/>
      <c r="H1054" s="28" t="str">
        <f aca="false">IF(COUNTA(C1054:G1054)=0,"",IF(AND(C1054="Yes",D1054="Yes",E1054="Yes",F1054="Yes",G1054="No"),"Yes","No"))</f>
        <v/>
      </c>
      <c r="I1054" s="32"/>
      <c r="J1054" s="32"/>
    </row>
    <row r="1055" customFormat="false" ht="15" hidden="false" customHeight="false" outlineLevel="0" collapsed="false">
      <c r="A1055" s="32"/>
      <c r="B1055" s="32"/>
      <c r="C1055" s="32"/>
      <c r="D1055" s="32"/>
      <c r="E1055" s="32"/>
      <c r="F1055" s="32"/>
      <c r="G1055" s="32"/>
      <c r="H1055" s="28" t="str">
        <f aca="false">IF(COUNTA(C1055:G1055)=0,"",IF(AND(C1055="Yes",D1055="Yes",E1055="Yes",F1055="Yes",G1055="No"),"Yes","No"))</f>
        <v/>
      </c>
      <c r="I1055" s="32"/>
      <c r="J1055" s="32"/>
    </row>
    <row r="1056" customFormat="false" ht="15" hidden="false" customHeight="false" outlineLevel="0" collapsed="false">
      <c r="A1056" s="32"/>
      <c r="B1056" s="32"/>
      <c r="C1056" s="32"/>
      <c r="D1056" s="32"/>
      <c r="E1056" s="32"/>
      <c r="F1056" s="32"/>
      <c r="G1056" s="32"/>
      <c r="H1056" s="28" t="str">
        <f aca="false">IF(COUNTA(C1056:G1056)=0,"",IF(AND(C1056="Yes",D1056="Yes",E1056="Yes",F1056="Yes",G1056="No"),"Yes","No"))</f>
        <v/>
      </c>
      <c r="I1056" s="32"/>
      <c r="J1056" s="32"/>
    </row>
    <row r="1057" customFormat="false" ht="15" hidden="false" customHeight="false" outlineLevel="0" collapsed="false">
      <c r="A1057" s="32"/>
      <c r="B1057" s="32"/>
      <c r="C1057" s="32"/>
      <c r="D1057" s="32"/>
      <c r="E1057" s="32"/>
      <c r="F1057" s="32"/>
      <c r="G1057" s="32"/>
      <c r="H1057" s="28" t="str">
        <f aca="false">IF(COUNTA(C1057:G1057)=0,"",IF(AND(C1057="Yes",D1057="Yes",E1057="Yes",F1057="Yes",G1057="No"),"Yes","No"))</f>
        <v/>
      </c>
      <c r="I1057" s="32"/>
      <c r="J1057" s="32"/>
    </row>
    <row r="1058" customFormat="false" ht="15" hidden="false" customHeight="false" outlineLevel="0" collapsed="false">
      <c r="A1058" s="32"/>
      <c r="B1058" s="32"/>
      <c r="C1058" s="32"/>
      <c r="D1058" s="32"/>
      <c r="E1058" s="32"/>
      <c r="F1058" s="32"/>
      <c r="G1058" s="32"/>
      <c r="H1058" s="28" t="str">
        <f aca="false">IF(COUNTA(C1058:G1058)=0,"",IF(AND(C1058="Yes",D1058="Yes",E1058="Yes",F1058="Yes",G1058="No"),"Yes","No"))</f>
        <v/>
      </c>
      <c r="I1058" s="32"/>
      <c r="J1058" s="32"/>
    </row>
    <row r="1059" customFormat="false" ht="15" hidden="false" customHeight="false" outlineLevel="0" collapsed="false">
      <c r="A1059" s="32"/>
      <c r="B1059" s="32"/>
      <c r="C1059" s="32"/>
      <c r="D1059" s="32"/>
      <c r="E1059" s="32"/>
      <c r="F1059" s="32"/>
      <c r="G1059" s="32"/>
      <c r="H1059" s="28" t="str">
        <f aca="false">IF(COUNTA(C1059:G1059)=0,"",IF(AND(C1059="Yes",D1059="Yes",E1059="Yes",F1059="Yes",G1059="No"),"Yes","No"))</f>
        <v/>
      </c>
      <c r="I1059" s="32"/>
      <c r="J1059" s="32"/>
    </row>
    <row r="1060" customFormat="false" ht="15" hidden="false" customHeight="false" outlineLevel="0" collapsed="false">
      <c r="A1060" s="32"/>
      <c r="B1060" s="32"/>
      <c r="C1060" s="32"/>
      <c r="D1060" s="32"/>
      <c r="E1060" s="32"/>
      <c r="F1060" s="32"/>
      <c r="G1060" s="32"/>
      <c r="H1060" s="28" t="str">
        <f aca="false">IF(COUNTA(C1060:G1060)=0,"",IF(AND(C1060="Yes",D1060="Yes",E1060="Yes",F1060="Yes",G1060="No"),"Yes","No"))</f>
        <v/>
      </c>
      <c r="I1060" s="32"/>
      <c r="J1060" s="32"/>
    </row>
    <row r="1061" customFormat="false" ht="15" hidden="false" customHeight="false" outlineLevel="0" collapsed="false">
      <c r="A1061" s="32"/>
      <c r="B1061" s="32"/>
      <c r="C1061" s="32"/>
      <c r="D1061" s="32"/>
      <c r="E1061" s="32"/>
      <c r="F1061" s="32"/>
      <c r="G1061" s="32"/>
      <c r="H1061" s="28" t="str">
        <f aca="false">IF(COUNTA(C1061:G1061)=0,"",IF(AND(C1061="Yes",D1061="Yes",E1061="Yes",F1061="Yes",G1061="No"),"Yes","No"))</f>
        <v/>
      </c>
      <c r="I1061" s="32"/>
      <c r="J1061" s="32"/>
    </row>
    <row r="1062" customFormat="false" ht="15" hidden="false" customHeight="false" outlineLevel="0" collapsed="false">
      <c r="A1062" s="32"/>
      <c r="B1062" s="32"/>
      <c r="C1062" s="32"/>
      <c r="D1062" s="32"/>
      <c r="E1062" s="32"/>
      <c r="F1062" s="32"/>
      <c r="G1062" s="32"/>
      <c r="H1062" s="28" t="str">
        <f aca="false">IF(COUNTA(C1062:G1062)=0,"",IF(AND(C1062="Yes",D1062="Yes",E1062="Yes",F1062="Yes",G1062="No"),"Yes","No"))</f>
        <v/>
      </c>
      <c r="I1062" s="32"/>
      <c r="J1062" s="32"/>
    </row>
    <row r="1063" customFormat="false" ht="15" hidden="false" customHeight="false" outlineLevel="0" collapsed="false">
      <c r="A1063" s="32"/>
      <c r="B1063" s="32"/>
      <c r="C1063" s="32"/>
      <c r="D1063" s="32"/>
      <c r="E1063" s="32"/>
      <c r="F1063" s="32"/>
      <c r="G1063" s="32"/>
      <c r="H1063" s="28" t="str">
        <f aca="false">IF(COUNTA(C1063:G1063)=0,"",IF(AND(C1063="Yes",D1063="Yes",E1063="Yes",F1063="Yes",G1063="No"),"Yes","No"))</f>
        <v/>
      </c>
      <c r="I1063" s="32"/>
      <c r="J1063" s="32"/>
    </row>
    <row r="1064" customFormat="false" ht="15" hidden="false" customHeight="false" outlineLevel="0" collapsed="false">
      <c r="A1064" s="32"/>
      <c r="B1064" s="32"/>
      <c r="C1064" s="32"/>
      <c r="D1064" s="32"/>
      <c r="E1064" s="32"/>
      <c r="F1064" s="32"/>
      <c r="G1064" s="32"/>
      <c r="H1064" s="28" t="str">
        <f aca="false">IF(COUNTA(C1064:G1064)=0,"",IF(AND(C1064="Yes",D1064="Yes",E1064="Yes",F1064="Yes",G1064="No"),"Yes","No"))</f>
        <v/>
      </c>
      <c r="I1064" s="32"/>
      <c r="J1064" s="32"/>
    </row>
    <row r="1065" customFormat="false" ht="15" hidden="false" customHeight="false" outlineLevel="0" collapsed="false">
      <c r="A1065" s="32"/>
      <c r="B1065" s="32"/>
      <c r="C1065" s="32"/>
      <c r="D1065" s="32"/>
      <c r="E1065" s="32"/>
      <c r="F1065" s="32"/>
      <c r="G1065" s="32"/>
      <c r="H1065" s="28" t="str">
        <f aca="false">IF(COUNTA(C1065:G1065)=0,"",IF(AND(C1065="Yes",D1065="Yes",E1065="Yes",F1065="Yes",G1065="No"),"Yes","No"))</f>
        <v/>
      </c>
      <c r="I1065" s="32"/>
      <c r="J1065" s="32"/>
    </row>
    <row r="1066" customFormat="false" ht="15" hidden="false" customHeight="false" outlineLevel="0" collapsed="false">
      <c r="A1066" s="32"/>
      <c r="B1066" s="32"/>
      <c r="C1066" s="32"/>
      <c r="D1066" s="32"/>
      <c r="E1066" s="32"/>
      <c r="F1066" s="32"/>
      <c r="G1066" s="32"/>
      <c r="H1066" s="28" t="str">
        <f aca="false">IF(COUNTA(C1066:G1066)=0,"",IF(AND(C1066="Yes",D1066="Yes",E1066="Yes",F1066="Yes",G1066="No"),"Yes","No"))</f>
        <v/>
      </c>
      <c r="I1066" s="32"/>
      <c r="J1066" s="32"/>
    </row>
    <row r="1067" customFormat="false" ht="15" hidden="false" customHeight="false" outlineLevel="0" collapsed="false">
      <c r="A1067" s="32"/>
      <c r="B1067" s="32"/>
      <c r="C1067" s="32"/>
      <c r="D1067" s="32"/>
      <c r="E1067" s="32"/>
      <c r="F1067" s="32"/>
      <c r="G1067" s="32"/>
      <c r="H1067" s="28" t="str">
        <f aca="false">IF(COUNTA(C1067:G1067)=0,"",IF(AND(C1067="Yes",D1067="Yes",E1067="Yes",F1067="Yes",G1067="No"),"Yes","No"))</f>
        <v/>
      </c>
      <c r="I1067" s="32"/>
      <c r="J1067" s="32"/>
    </row>
    <row r="1068" customFormat="false" ht="15" hidden="false" customHeight="false" outlineLevel="0" collapsed="false">
      <c r="A1068" s="32"/>
      <c r="B1068" s="32"/>
      <c r="C1068" s="32"/>
      <c r="D1068" s="32"/>
      <c r="E1068" s="32"/>
      <c r="F1068" s="32"/>
      <c r="G1068" s="32"/>
      <c r="H1068" s="28" t="str">
        <f aca="false">IF(COUNTA(C1068:G1068)=0,"",IF(AND(C1068="Yes",D1068="Yes",E1068="Yes",F1068="Yes",G1068="No"),"Yes","No"))</f>
        <v/>
      </c>
      <c r="I1068" s="32"/>
      <c r="J1068" s="32"/>
    </row>
    <row r="1069" customFormat="false" ht="15" hidden="false" customHeight="false" outlineLevel="0" collapsed="false">
      <c r="A1069" s="32"/>
      <c r="B1069" s="32"/>
      <c r="C1069" s="32"/>
      <c r="D1069" s="32"/>
      <c r="E1069" s="32"/>
      <c r="F1069" s="32"/>
      <c r="G1069" s="32"/>
      <c r="H1069" s="28" t="str">
        <f aca="false">IF(COUNTA(C1069:G1069)=0,"",IF(AND(C1069="Yes",D1069="Yes",E1069="Yes",F1069="Yes",G1069="No"),"Yes","No"))</f>
        <v/>
      </c>
      <c r="I1069" s="32"/>
      <c r="J1069" s="32"/>
    </row>
    <row r="1070" customFormat="false" ht="15" hidden="false" customHeight="false" outlineLevel="0" collapsed="false">
      <c r="A1070" s="32"/>
      <c r="B1070" s="32"/>
      <c r="C1070" s="32"/>
      <c r="D1070" s="32"/>
      <c r="E1070" s="32"/>
      <c r="F1070" s="32"/>
      <c r="G1070" s="32"/>
      <c r="H1070" s="28" t="str">
        <f aca="false">IF(COUNTA(C1070:G1070)=0,"",IF(AND(C1070="Yes",D1070="Yes",E1070="Yes",F1070="Yes",G1070="No"),"Yes","No"))</f>
        <v/>
      </c>
      <c r="I1070" s="32"/>
      <c r="J1070" s="32"/>
    </row>
    <row r="1071" customFormat="false" ht="15" hidden="false" customHeight="false" outlineLevel="0" collapsed="false">
      <c r="A1071" s="32"/>
      <c r="B1071" s="32"/>
      <c r="C1071" s="32"/>
      <c r="D1071" s="32"/>
      <c r="E1071" s="32"/>
      <c r="F1071" s="32"/>
      <c r="G1071" s="32"/>
      <c r="H1071" s="28" t="str">
        <f aca="false">IF(COUNTA(C1071:G1071)=0,"",IF(AND(C1071="Yes",D1071="Yes",E1071="Yes",F1071="Yes",G1071="No"),"Yes","No"))</f>
        <v/>
      </c>
      <c r="I1071" s="32"/>
      <c r="J1071" s="32"/>
    </row>
    <row r="1072" customFormat="false" ht="15" hidden="false" customHeight="false" outlineLevel="0" collapsed="false">
      <c r="A1072" s="32"/>
      <c r="B1072" s="32"/>
      <c r="C1072" s="32"/>
      <c r="D1072" s="32"/>
      <c r="E1072" s="32"/>
      <c r="F1072" s="32"/>
      <c r="G1072" s="32"/>
      <c r="H1072" s="28" t="str">
        <f aca="false">IF(COUNTA(C1072:G1072)=0,"",IF(AND(C1072="Yes",D1072="Yes",E1072="Yes",F1072="Yes",G1072="No"),"Yes","No"))</f>
        <v/>
      </c>
      <c r="I1072" s="32"/>
      <c r="J1072" s="32"/>
    </row>
    <row r="1073" customFormat="false" ht="15" hidden="false" customHeight="false" outlineLevel="0" collapsed="false">
      <c r="A1073" s="32"/>
      <c r="B1073" s="32"/>
      <c r="C1073" s="32"/>
      <c r="D1073" s="32"/>
      <c r="E1073" s="32"/>
      <c r="F1073" s="32"/>
      <c r="G1073" s="32"/>
      <c r="H1073" s="28" t="str">
        <f aca="false">IF(COUNTA(C1073:G1073)=0,"",IF(AND(C1073="Yes",D1073="Yes",E1073="Yes",F1073="Yes",G1073="No"),"Yes","No"))</f>
        <v/>
      </c>
      <c r="I1073" s="32"/>
      <c r="J1073" s="32"/>
    </row>
    <row r="1074" customFormat="false" ht="15" hidden="false" customHeight="false" outlineLevel="0" collapsed="false">
      <c r="A1074" s="32"/>
      <c r="B1074" s="32"/>
      <c r="C1074" s="32"/>
      <c r="D1074" s="32"/>
      <c r="E1074" s="32"/>
      <c r="F1074" s="32"/>
      <c r="G1074" s="32"/>
      <c r="H1074" s="28" t="str">
        <f aca="false">IF(COUNTA(C1074:G1074)=0,"",IF(AND(C1074="Yes",D1074="Yes",E1074="Yes",F1074="Yes",G1074="No"),"Yes","No"))</f>
        <v/>
      </c>
      <c r="I1074" s="32"/>
      <c r="J1074" s="32"/>
    </row>
    <row r="1075" customFormat="false" ht="15" hidden="false" customHeight="false" outlineLevel="0" collapsed="false">
      <c r="A1075" s="32"/>
      <c r="B1075" s="32"/>
      <c r="C1075" s="32"/>
      <c r="D1075" s="32"/>
      <c r="E1075" s="32"/>
      <c r="F1075" s="32"/>
      <c r="G1075" s="32"/>
      <c r="H1075" s="28" t="str">
        <f aca="false">IF(COUNTA(C1075:G1075)=0,"",IF(AND(C1075="Yes",D1075="Yes",E1075="Yes",F1075="Yes",G1075="No"),"Yes","No"))</f>
        <v/>
      </c>
      <c r="I1075" s="32"/>
      <c r="J1075" s="32"/>
    </row>
    <row r="1076" customFormat="false" ht="15" hidden="false" customHeight="false" outlineLevel="0" collapsed="false">
      <c r="A1076" s="32"/>
      <c r="B1076" s="32"/>
      <c r="C1076" s="32"/>
      <c r="D1076" s="32"/>
      <c r="E1076" s="32"/>
      <c r="F1076" s="32"/>
      <c r="G1076" s="32"/>
      <c r="H1076" s="28" t="str">
        <f aca="false">IF(COUNTA(C1076:G1076)=0,"",IF(AND(C1076="Yes",D1076="Yes",E1076="Yes",F1076="Yes",G1076="No"),"Yes","No"))</f>
        <v/>
      </c>
      <c r="I1076" s="32"/>
      <c r="J1076" s="32"/>
    </row>
    <row r="1077" customFormat="false" ht="15" hidden="false" customHeight="false" outlineLevel="0" collapsed="false">
      <c r="A1077" s="32"/>
      <c r="B1077" s="32"/>
      <c r="C1077" s="32"/>
      <c r="D1077" s="32"/>
      <c r="E1077" s="32"/>
      <c r="F1077" s="32"/>
      <c r="G1077" s="32"/>
      <c r="H1077" s="28" t="str">
        <f aca="false">IF(COUNTA(C1077:G1077)=0,"",IF(AND(C1077="Yes",D1077="Yes",E1077="Yes",F1077="Yes",G1077="No"),"Yes","No"))</f>
        <v/>
      </c>
      <c r="I1077" s="32"/>
      <c r="J1077" s="32"/>
    </row>
    <row r="1078" customFormat="false" ht="15" hidden="false" customHeight="false" outlineLevel="0" collapsed="false">
      <c r="A1078" s="32"/>
      <c r="B1078" s="32"/>
      <c r="C1078" s="32"/>
      <c r="D1078" s="32"/>
      <c r="E1078" s="32"/>
      <c r="F1078" s="32"/>
      <c r="G1078" s="32"/>
      <c r="H1078" s="28" t="str">
        <f aca="false">IF(COUNTA(C1078:G1078)=0,"",IF(AND(C1078="Yes",D1078="Yes",E1078="Yes",F1078="Yes",G1078="No"),"Yes","No"))</f>
        <v/>
      </c>
      <c r="I1078" s="32"/>
      <c r="J1078" s="32"/>
    </row>
    <row r="1079" customFormat="false" ht="15" hidden="false" customHeight="false" outlineLevel="0" collapsed="false">
      <c r="A1079" s="32"/>
      <c r="B1079" s="32"/>
      <c r="C1079" s="32"/>
      <c r="D1079" s="32"/>
      <c r="E1079" s="32"/>
      <c r="F1079" s="32"/>
      <c r="G1079" s="32"/>
      <c r="H1079" s="28" t="str">
        <f aca="false">IF(COUNTA(C1079:G1079)=0,"",IF(AND(C1079="Yes",D1079="Yes",E1079="Yes",F1079="Yes",G1079="No"),"Yes","No"))</f>
        <v/>
      </c>
      <c r="I1079" s="32"/>
      <c r="J1079" s="32"/>
    </row>
    <row r="1080" customFormat="false" ht="15" hidden="false" customHeight="false" outlineLevel="0" collapsed="false">
      <c r="A1080" s="32"/>
      <c r="B1080" s="32"/>
      <c r="C1080" s="32"/>
      <c r="D1080" s="32"/>
      <c r="E1080" s="32"/>
      <c r="F1080" s="32"/>
      <c r="G1080" s="32"/>
      <c r="H1080" s="28" t="str">
        <f aca="false">IF(COUNTA(C1080:G1080)=0,"",IF(AND(C1080="Yes",D1080="Yes",E1080="Yes",F1080="Yes",G1080="No"),"Yes","No"))</f>
        <v/>
      </c>
      <c r="I1080" s="32"/>
      <c r="J1080" s="32"/>
    </row>
    <row r="1081" customFormat="false" ht="15" hidden="false" customHeight="false" outlineLevel="0" collapsed="false">
      <c r="A1081" s="32"/>
      <c r="B1081" s="32"/>
      <c r="C1081" s="32"/>
      <c r="D1081" s="32"/>
      <c r="E1081" s="32"/>
      <c r="F1081" s="32"/>
      <c r="G1081" s="32"/>
      <c r="H1081" s="28" t="str">
        <f aca="false">IF(COUNTA(C1081:G1081)=0,"",IF(AND(C1081="Yes",D1081="Yes",E1081="Yes",F1081="Yes",G1081="No"),"Yes","No"))</f>
        <v/>
      </c>
      <c r="I1081" s="32"/>
      <c r="J1081" s="32"/>
    </row>
    <row r="1082" customFormat="false" ht="15" hidden="false" customHeight="false" outlineLevel="0" collapsed="false">
      <c r="A1082" s="32"/>
      <c r="B1082" s="32"/>
      <c r="C1082" s="32"/>
      <c r="D1082" s="32"/>
      <c r="E1082" s="32"/>
      <c r="F1082" s="32"/>
      <c r="G1082" s="32"/>
      <c r="H1082" s="28" t="str">
        <f aca="false">IF(COUNTA(C1082:G1082)=0,"",IF(AND(C1082="Yes",D1082="Yes",E1082="Yes",F1082="Yes",G1082="No"),"Yes","No"))</f>
        <v/>
      </c>
      <c r="I1082" s="32"/>
      <c r="J1082" s="32"/>
    </row>
    <row r="1083" customFormat="false" ht="15" hidden="false" customHeight="false" outlineLevel="0" collapsed="false">
      <c r="A1083" s="32"/>
      <c r="B1083" s="32"/>
      <c r="C1083" s="32"/>
      <c r="D1083" s="32"/>
      <c r="E1083" s="32"/>
      <c r="F1083" s="32"/>
      <c r="G1083" s="32"/>
      <c r="H1083" s="28" t="str">
        <f aca="false">IF(COUNTA(C1083:G1083)=0,"",IF(AND(C1083="Yes",D1083="Yes",E1083="Yes",F1083="Yes",G1083="No"),"Yes","No"))</f>
        <v/>
      </c>
      <c r="I1083" s="32"/>
      <c r="J1083" s="32"/>
    </row>
    <row r="1084" customFormat="false" ht="15" hidden="false" customHeight="false" outlineLevel="0" collapsed="false">
      <c r="A1084" s="32"/>
      <c r="B1084" s="32"/>
      <c r="C1084" s="32"/>
      <c r="D1084" s="32"/>
      <c r="E1084" s="32"/>
      <c r="F1084" s="32"/>
      <c r="G1084" s="32"/>
      <c r="H1084" s="28" t="str">
        <f aca="false">IF(COUNTA(C1084:G1084)=0,"",IF(AND(C1084="Yes",D1084="Yes",E1084="Yes",F1084="Yes",G1084="No"),"Yes","No"))</f>
        <v/>
      </c>
      <c r="I1084" s="32"/>
      <c r="J1084" s="32"/>
    </row>
    <row r="1085" customFormat="false" ht="15" hidden="false" customHeight="false" outlineLevel="0" collapsed="false">
      <c r="A1085" s="32"/>
      <c r="B1085" s="32"/>
      <c r="C1085" s="32"/>
      <c r="D1085" s="32"/>
      <c r="E1085" s="32"/>
      <c r="F1085" s="32"/>
      <c r="G1085" s="32"/>
      <c r="H1085" s="28" t="str">
        <f aca="false">IF(COUNTA(C1085:G1085)=0,"",IF(AND(C1085="Yes",D1085="Yes",E1085="Yes",F1085="Yes",G1085="No"),"Yes","No"))</f>
        <v/>
      </c>
      <c r="I1085" s="32"/>
      <c r="J1085" s="32"/>
    </row>
    <row r="1086" customFormat="false" ht="15" hidden="false" customHeight="false" outlineLevel="0" collapsed="false">
      <c r="A1086" s="32"/>
      <c r="B1086" s="32"/>
      <c r="C1086" s="32"/>
      <c r="D1086" s="32"/>
      <c r="E1086" s="32"/>
      <c r="F1086" s="32"/>
      <c r="G1086" s="32"/>
      <c r="H1086" s="28" t="str">
        <f aca="false">IF(COUNTA(C1086:G1086)=0,"",IF(AND(C1086="Yes",D1086="Yes",E1086="Yes",F1086="Yes",G1086="No"),"Yes","No"))</f>
        <v/>
      </c>
      <c r="I1086" s="32"/>
      <c r="J1086" s="32"/>
    </row>
    <row r="1087" customFormat="false" ht="15" hidden="false" customHeight="false" outlineLevel="0" collapsed="false">
      <c r="A1087" s="32"/>
      <c r="B1087" s="32"/>
      <c r="C1087" s="32"/>
      <c r="D1087" s="32"/>
      <c r="E1087" s="32"/>
      <c r="F1087" s="32"/>
      <c r="G1087" s="32"/>
      <c r="H1087" s="28" t="str">
        <f aca="false">IF(COUNTA(C1087:G1087)=0,"",IF(AND(C1087="Yes",D1087="Yes",E1087="Yes",F1087="Yes",G1087="No"),"Yes","No"))</f>
        <v/>
      </c>
      <c r="I1087" s="32"/>
      <c r="J1087" s="32"/>
    </row>
    <row r="1088" customFormat="false" ht="15" hidden="false" customHeight="false" outlineLevel="0" collapsed="false">
      <c r="A1088" s="32"/>
      <c r="B1088" s="32"/>
      <c r="C1088" s="32"/>
      <c r="D1088" s="32"/>
      <c r="E1088" s="32"/>
      <c r="F1088" s="32"/>
      <c r="G1088" s="32"/>
      <c r="H1088" s="28" t="str">
        <f aca="false">IF(COUNTA(C1088:G1088)=0,"",IF(AND(C1088="Yes",D1088="Yes",E1088="Yes",F1088="Yes",G1088="No"),"Yes","No"))</f>
        <v/>
      </c>
      <c r="I1088" s="32"/>
      <c r="J1088" s="32"/>
    </row>
    <row r="1089" customFormat="false" ht="15" hidden="false" customHeight="false" outlineLevel="0" collapsed="false">
      <c r="A1089" s="32"/>
      <c r="B1089" s="32"/>
      <c r="C1089" s="32"/>
      <c r="D1089" s="32"/>
      <c r="E1089" s="32"/>
      <c r="F1089" s="32"/>
      <c r="G1089" s="32"/>
      <c r="H1089" s="28" t="str">
        <f aca="false">IF(COUNTA(C1089:G1089)=0,"",IF(AND(C1089="Yes",D1089="Yes",E1089="Yes",F1089="Yes",G1089="No"),"Yes","No"))</f>
        <v/>
      </c>
      <c r="I1089" s="32"/>
      <c r="J1089" s="32"/>
    </row>
    <row r="1090" customFormat="false" ht="15" hidden="false" customHeight="false" outlineLevel="0" collapsed="false">
      <c r="A1090" s="32"/>
      <c r="B1090" s="32"/>
      <c r="C1090" s="32"/>
      <c r="D1090" s="32"/>
      <c r="E1090" s="32"/>
      <c r="F1090" s="32"/>
      <c r="G1090" s="32"/>
      <c r="H1090" s="28" t="str">
        <f aca="false">IF(COUNTA(C1090:G1090)=0,"",IF(AND(C1090="Yes",D1090="Yes",E1090="Yes",F1090="Yes",G1090="No"),"Yes","No"))</f>
        <v/>
      </c>
      <c r="I1090" s="32"/>
      <c r="J1090" s="32"/>
    </row>
    <row r="1091" customFormat="false" ht="15" hidden="false" customHeight="false" outlineLevel="0" collapsed="false">
      <c r="A1091" s="32"/>
      <c r="B1091" s="32"/>
      <c r="C1091" s="32"/>
      <c r="D1091" s="32"/>
      <c r="E1091" s="32"/>
      <c r="F1091" s="32"/>
      <c r="G1091" s="32"/>
      <c r="H1091" s="28" t="str">
        <f aca="false">IF(COUNTA(C1091:G1091)=0,"",IF(AND(C1091="Yes",D1091="Yes",E1091="Yes",F1091="Yes",G1091="No"),"Yes","No"))</f>
        <v/>
      </c>
      <c r="I1091" s="32"/>
      <c r="J1091" s="32"/>
    </row>
    <row r="1092" customFormat="false" ht="15" hidden="false" customHeight="false" outlineLevel="0" collapsed="false">
      <c r="A1092" s="32"/>
      <c r="B1092" s="32"/>
      <c r="C1092" s="32"/>
      <c r="D1092" s="32"/>
      <c r="E1092" s="32"/>
      <c r="F1092" s="32"/>
      <c r="G1092" s="32"/>
      <c r="H1092" s="28" t="str">
        <f aca="false">IF(COUNTA(C1092:G1092)=0,"",IF(AND(C1092="Yes",D1092="Yes",E1092="Yes",F1092="Yes",G1092="No"),"Yes","No"))</f>
        <v/>
      </c>
      <c r="I1092" s="32"/>
      <c r="J1092" s="32"/>
    </row>
    <row r="1093" customFormat="false" ht="15" hidden="false" customHeight="false" outlineLevel="0" collapsed="false">
      <c r="A1093" s="32"/>
      <c r="B1093" s="32"/>
      <c r="C1093" s="32"/>
      <c r="D1093" s="32"/>
      <c r="E1093" s="32"/>
      <c r="F1093" s="32"/>
      <c r="G1093" s="32"/>
      <c r="H1093" s="28" t="str">
        <f aca="false">IF(COUNTA(C1093:G1093)=0,"",IF(AND(C1093="Yes",D1093="Yes",E1093="Yes",F1093="Yes",G1093="No"),"Yes","No"))</f>
        <v/>
      </c>
      <c r="I1093" s="32"/>
      <c r="J1093" s="32"/>
    </row>
    <row r="1094" customFormat="false" ht="15" hidden="false" customHeight="false" outlineLevel="0" collapsed="false">
      <c r="A1094" s="32"/>
      <c r="B1094" s="32"/>
      <c r="C1094" s="32"/>
      <c r="D1094" s="32"/>
      <c r="E1094" s="32"/>
      <c r="F1094" s="32"/>
      <c r="G1094" s="32"/>
      <c r="H1094" s="28" t="str">
        <f aca="false">IF(COUNTA(C1094:G1094)=0,"",IF(AND(C1094="Yes",D1094="Yes",E1094="Yes",F1094="Yes",G1094="No"),"Yes","No"))</f>
        <v/>
      </c>
      <c r="I1094" s="32"/>
      <c r="J1094" s="32"/>
    </row>
    <row r="1095" customFormat="false" ht="15" hidden="false" customHeight="false" outlineLevel="0" collapsed="false">
      <c r="A1095" s="32"/>
      <c r="B1095" s="32"/>
      <c r="C1095" s="32"/>
      <c r="D1095" s="32"/>
      <c r="E1095" s="32"/>
      <c r="F1095" s="32"/>
      <c r="G1095" s="32"/>
      <c r="H1095" s="28" t="str">
        <f aca="false">IF(COUNTA(C1095:G1095)=0,"",IF(AND(C1095="Yes",D1095="Yes",E1095="Yes",F1095="Yes",G1095="No"),"Yes","No"))</f>
        <v/>
      </c>
      <c r="I1095" s="32"/>
      <c r="J1095" s="32"/>
    </row>
    <row r="1096" customFormat="false" ht="15" hidden="false" customHeight="false" outlineLevel="0" collapsed="false">
      <c r="A1096" s="32"/>
      <c r="B1096" s="32"/>
      <c r="C1096" s="32"/>
      <c r="D1096" s="32"/>
      <c r="E1096" s="32"/>
      <c r="F1096" s="32"/>
      <c r="G1096" s="32"/>
      <c r="H1096" s="28" t="str">
        <f aca="false">IF(COUNTA(C1096:G1096)=0,"",IF(AND(C1096="Yes",D1096="Yes",E1096="Yes",F1096="Yes",G1096="No"),"Yes","No"))</f>
        <v/>
      </c>
      <c r="I1096" s="32"/>
      <c r="J1096" s="32"/>
    </row>
    <row r="1097" customFormat="false" ht="15" hidden="false" customHeight="false" outlineLevel="0" collapsed="false">
      <c r="A1097" s="32"/>
      <c r="B1097" s="32"/>
      <c r="C1097" s="32"/>
      <c r="D1097" s="32"/>
      <c r="E1097" s="32"/>
      <c r="F1097" s="32"/>
      <c r="G1097" s="32"/>
      <c r="H1097" s="28" t="str">
        <f aca="false">IF(COUNTA(C1097:G1097)=0,"",IF(AND(C1097="Yes",D1097="Yes",E1097="Yes",F1097="Yes",G1097="No"),"Yes","No"))</f>
        <v/>
      </c>
      <c r="I1097" s="32"/>
      <c r="J1097" s="32"/>
    </row>
    <row r="1098" customFormat="false" ht="15" hidden="false" customHeight="false" outlineLevel="0" collapsed="false">
      <c r="A1098" s="32"/>
      <c r="B1098" s="32"/>
      <c r="C1098" s="32"/>
      <c r="D1098" s="32"/>
      <c r="E1098" s="32"/>
      <c r="F1098" s="32"/>
      <c r="G1098" s="32"/>
      <c r="H1098" s="28" t="str">
        <f aca="false">IF(COUNTA(C1098:G1098)=0,"",IF(AND(C1098="Yes",D1098="Yes",E1098="Yes",F1098="Yes",G1098="No"),"Yes","No"))</f>
        <v/>
      </c>
      <c r="I1098" s="32"/>
      <c r="J1098" s="32"/>
    </row>
    <row r="1099" customFormat="false" ht="15" hidden="false" customHeight="false" outlineLevel="0" collapsed="false">
      <c r="A1099" s="32"/>
      <c r="B1099" s="32"/>
      <c r="C1099" s="32"/>
      <c r="D1099" s="32"/>
      <c r="E1099" s="32"/>
      <c r="F1099" s="32"/>
      <c r="G1099" s="32"/>
      <c r="H1099" s="28" t="str">
        <f aca="false">IF(COUNTA(C1099:G1099)=0,"",IF(AND(C1099="Yes",D1099="Yes",E1099="Yes",F1099="Yes",G1099="No"),"Yes","No"))</f>
        <v/>
      </c>
      <c r="I1099" s="32"/>
      <c r="J1099" s="32"/>
    </row>
    <row r="1100" customFormat="false" ht="15" hidden="false" customHeight="false" outlineLevel="0" collapsed="false">
      <c r="A1100" s="32"/>
      <c r="B1100" s="32"/>
      <c r="C1100" s="32"/>
      <c r="D1100" s="32"/>
      <c r="E1100" s="32"/>
      <c r="F1100" s="32"/>
      <c r="G1100" s="32"/>
      <c r="H1100" s="28" t="str">
        <f aca="false">IF(COUNTA(C1100:G1100)=0,"",IF(AND(C1100="Yes",D1100="Yes",E1100="Yes",F1100="Yes",G1100="No"),"Yes","No"))</f>
        <v/>
      </c>
      <c r="I1100" s="32"/>
      <c r="J1100" s="32"/>
    </row>
    <row r="1101" customFormat="false" ht="15" hidden="false" customHeight="false" outlineLevel="0" collapsed="false">
      <c r="A1101" s="32"/>
      <c r="B1101" s="32"/>
      <c r="C1101" s="32"/>
      <c r="D1101" s="32"/>
      <c r="E1101" s="32"/>
      <c r="F1101" s="32"/>
      <c r="G1101" s="32"/>
      <c r="H1101" s="28" t="str">
        <f aca="false">IF(COUNTA(C1101:G1101)=0,"",IF(AND(C1101="Yes",D1101="Yes",E1101="Yes",F1101="Yes",G1101="No"),"Yes","No"))</f>
        <v/>
      </c>
      <c r="I1101" s="32"/>
      <c r="J1101" s="32"/>
    </row>
    <row r="1102" customFormat="false" ht="15" hidden="false" customHeight="false" outlineLevel="0" collapsed="false">
      <c r="A1102" s="32"/>
      <c r="B1102" s="32"/>
      <c r="C1102" s="32"/>
      <c r="D1102" s="32"/>
      <c r="E1102" s="32"/>
      <c r="F1102" s="32"/>
      <c r="G1102" s="32"/>
      <c r="H1102" s="28" t="str">
        <f aca="false">IF(COUNTA(C1102:G1102)=0,"",IF(AND(C1102="Yes",D1102="Yes",E1102="Yes",F1102="Yes",G1102="No"),"Yes","No"))</f>
        <v/>
      </c>
      <c r="I1102" s="32"/>
      <c r="J1102" s="32"/>
    </row>
    <row r="1103" customFormat="false" ht="15" hidden="false" customHeight="false" outlineLevel="0" collapsed="false">
      <c r="A1103" s="32"/>
      <c r="B1103" s="32"/>
      <c r="C1103" s="32"/>
      <c r="D1103" s="32"/>
      <c r="E1103" s="32"/>
      <c r="F1103" s="32"/>
      <c r="G1103" s="32"/>
      <c r="H1103" s="28" t="str">
        <f aca="false">IF(COUNTA(C1103:G1103)=0,"",IF(AND(C1103="Yes",D1103="Yes",E1103="Yes",F1103="Yes",G1103="No"),"Yes","No"))</f>
        <v/>
      </c>
      <c r="I1103" s="32"/>
      <c r="J1103" s="32"/>
    </row>
    <row r="1104" customFormat="false" ht="15" hidden="false" customHeight="false" outlineLevel="0" collapsed="false">
      <c r="A1104" s="32"/>
      <c r="B1104" s="32"/>
      <c r="C1104" s="32"/>
      <c r="D1104" s="32"/>
      <c r="E1104" s="32"/>
      <c r="F1104" s="32"/>
      <c r="G1104" s="32"/>
      <c r="H1104" s="28" t="str">
        <f aca="false">IF(COUNTA(C1104:G1104)=0,"",IF(AND(C1104="Yes",D1104="Yes",E1104="Yes",F1104="Yes",G1104="No"),"Yes","No"))</f>
        <v/>
      </c>
      <c r="I1104" s="32"/>
      <c r="J1104" s="32"/>
    </row>
    <row r="1105" customFormat="false" ht="15" hidden="false" customHeight="false" outlineLevel="0" collapsed="false">
      <c r="A1105" s="32"/>
      <c r="B1105" s="32"/>
      <c r="C1105" s="32"/>
      <c r="D1105" s="32"/>
      <c r="E1105" s="32"/>
      <c r="F1105" s="32"/>
      <c r="G1105" s="32"/>
      <c r="H1105" s="28" t="str">
        <f aca="false">IF(COUNTA(C1105:G1105)=0,"",IF(AND(C1105="Yes",D1105="Yes",E1105="Yes",F1105="Yes",G1105="No"),"Yes","No"))</f>
        <v/>
      </c>
      <c r="I1105" s="32"/>
      <c r="J1105" s="32"/>
    </row>
    <row r="1106" customFormat="false" ht="15" hidden="false" customHeight="false" outlineLevel="0" collapsed="false">
      <c r="A1106" s="32"/>
      <c r="B1106" s="32"/>
      <c r="C1106" s="32"/>
      <c r="D1106" s="32"/>
      <c r="E1106" s="32"/>
      <c r="F1106" s="32"/>
      <c r="G1106" s="32"/>
      <c r="H1106" s="28" t="str">
        <f aca="false">IF(COUNTA(C1106:G1106)=0,"",IF(AND(C1106="Yes",D1106="Yes",E1106="Yes",F1106="Yes",G1106="No"),"Yes","No"))</f>
        <v/>
      </c>
      <c r="I1106" s="32"/>
      <c r="J1106" s="32"/>
    </row>
    <row r="1107" customFormat="false" ht="15" hidden="false" customHeight="false" outlineLevel="0" collapsed="false">
      <c r="A1107" s="32"/>
      <c r="B1107" s="32"/>
      <c r="C1107" s="32"/>
      <c r="D1107" s="32"/>
      <c r="E1107" s="32"/>
      <c r="F1107" s="32"/>
      <c r="G1107" s="32"/>
      <c r="H1107" s="28" t="str">
        <f aca="false">IF(COUNTA(C1107:G1107)=0,"",IF(AND(C1107="Yes",D1107="Yes",E1107="Yes",F1107="Yes",G1107="No"),"Yes","No"))</f>
        <v/>
      </c>
      <c r="I1107" s="32"/>
      <c r="J1107" s="32"/>
    </row>
    <row r="1108" customFormat="false" ht="15" hidden="false" customHeight="false" outlineLevel="0" collapsed="false">
      <c r="A1108" s="32"/>
      <c r="B1108" s="32"/>
      <c r="C1108" s="32"/>
      <c r="D1108" s="32"/>
      <c r="E1108" s="32"/>
      <c r="F1108" s="32"/>
      <c r="G1108" s="32"/>
      <c r="H1108" s="28" t="str">
        <f aca="false">IF(COUNTA(C1108:G1108)=0,"",IF(AND(C1108="Yes",D1108="Yes",E1108="Yes",F1108="Yes",G1108="No"),"Yes","No"))</f>
        <v/>
      </c>
      <c r="I1108" s="32"/>
      <c r="J1108" s="32"/>
    </row>
    <row r="1109" customFormat="false" ht="15" hidden="false" customHeight="false" outlineLevel="0" collapsed="false">
      <c r="A1109" s="32"/>
      <c r="B1109" s="32"/>
      <c r="C1109" s="32"/>
      <c r="D1109" s="32"/>
      <c r="E1109" s="32"/>
      <c r="F1109" s="32"/>
      <c r="G1109" s="32"/>
      <c r="H1109" s="28" t="str">
        <f aca="false">IF(COUNTA(C1109:G1109)=0,"",IF(AND(C1109="Yes",D1109="Yes",E1109="Yes",F1109="Yes",G1109="No"),"Yes","No"))</f>
        <v/>
      </c>
      <c r="I1109" s="32"/>
      <c r="J1109" s="32"/>
    </row>
    <row r="1110" customFormat="false" ht="15" hidden="false" customHeight="false" outlineLevel="0" collapsed="false">
      <c r="A1110" s="32"/>
      <c r="B1110" s="32"/>
      <c r="C1110" s="32"/>
      <c r="D1110" s="32"/>
      <c r="E1110" s="32"/>
      <c r="F1110" s="32"/>
      <c r="G1110" s="32"/>
      <c r="H1110" s="28" t="str">
        <f aca="false">IF(COUNTA(C1110:G1110)=0,"",IF(AND(C1110="Yes",D1110="Yes",E1110="Yes",F1110="Yes",G1110="No"),"Yes","No"))</f>
        <v/>
      </c>
      <c r="I1110" s="32"/>
      <c r="J1110" s="32"/>
    </row>
    <row r="1111" customFormat="false" ht="15" hidden="false" customHeight="false" outlineLevel="0" collapsed="false">
      <c r="A1111" s="32"/>
      <c r="B1111" s="32"/>
      <c r="C1111" s="32"/>
      <c r="D1111" s="32"/>
      <c r="E1111" s="32"/>
      <c r="F1111" s="32"/>
      <c r="G1111" s="32"/>
      <c r="H1111" s="28" t="str">
        <f aca="false">IF(COUNTA(C1111:G1111)=0,"",IF(AND(C1111="Yes",D1111="Yes",E1111="Yes",F1111="Yes",G1111="No"),"Yes","No"))</f>
        <v/>
      </c>
      <c r="I1111" s="32"/>
      <c r="J1111" s="32"/>
    </row>
    <row r="1112" customFormat="false" ht="15" hidden="false" customHeight="false" outlineLevel="0" collapsed="false">
      <c r="A1112" s="32"/>
      <c r="B1112" s="32"/>
      <c r="C1112" s="32"/>
      <c r="D1112" s="32"/>
      <c r="E1112" s="32"/>
      <c r="F1112" s="32"/>
      <c r="G1112" s="32"/>
      <c r="H1112" s="28" t="str">
        <f aca="false">IF(COUNTA(C1112:G1112)=0,"",IF(AND(C1112="Yes",D1112="Yes",E1112="Yes",F1112="Yes",G1112="No"),"Yes","No"))</f>
        <v/>
      </c>
      <c r="I1112" s="32"/>
      <c r="J1112" s="32"/>
    </row>
    <row r="1113" customFormat="false" ht="15" hidden="false" customHeight="false" outlineLevel="0" collapsed="false">
      <c r="A1113" s="32"/>
      <c r="B1113" s="32"/>
      <c r="C1113" s="32"/>
      <c r="D1113" s="32"/>
      <c r="E1113" s="32"/>
      <c r="F1113" s="32"/>
      <c r="G1113" s="32"/>
      <c r="H1113" s="28" t="str">
        <f aca="false">IF(COUNTA(C1113:G1113)=0,"",IF(AND(C1113="Yes",D1113="Yes",E1113="Yes",F1113="Yes",G1113="No"),"Yes","No"))</f>
        <v/>
      </c>
      <c r="I1113" s="32"/>
      <c r="J1113" s="32"/>
    </row>
    <row r="1114" customFormat="false" ht="15" hidden="false" customHeight="false" outlineLevel="0" collapsed="false">
      <c r="A1114" s="32"/>
      <c r="B1114" s="32"/>
      <c r="C1114" s="32"/>
      <c r="D1114" s="32"/>
      <c r="E1114" s="32"/>
      <c r="F1114" s="32"/>
      <c r="G1114" s="32"/>
      <c r="H1114" s="28" t="str">
        <f aca="false">IF(COUNTA(C1114:G1114)=0,"",IF(AND(C1114="Yes",D1114="Yes",E1114="Yes",F1114="Yes",G1114="No"),"Yes","No"))</f>
        <v/>
      </c>
      <c r="I1114" s="32"/>
      <c r="J1114" s="32"/>
    </row>
    <row r="1115" customFormat="false" ht="15" hidden="false" customHeight="false" outlineLevel="0" collapsed="false">
      <c r="A1115" s="32"/>
      <c r="B1115" s="32"/>
      <c r="C1115" s="32"/>
      <c r="D1115" s="32"/>
      <c r="E1115" s="32"/>
      <c r="F1115" s="32"/>
      <c r="G1115" s="32"/>
      <c r="H1115" s="28" t="str">
        <f aca="false">IF(COUNTA(C1115:G1115)=0,"",IF(AND(C1115="Yes",D1115="Yes",E1115="Yes",F1115="Yes",G1115="No"),"Yes","No"))</f>
        <v/>
      </c>
      <c r="I1115" s="32"/>
      <c r="J1115" s="32"/>
    </row>
    <row r="1116" customFormat="false" ht="15" hidden="false" customHeight="false" outlineLevel="0" collapsed="false">
      <c r="A1116" s="32"/>
      <c r="B1116" s="32"/>
      <c r="C1116" s="32"/>
      <c r="D1116" s="32"/>
      <c r="E1116" s="32"/>
      <c r="F1116" s="32"/>
      <c r="G1116" s="32"/>
      <c r="H1116" s="28" t="str">
        <f aca="false">IF(COUNTA(C1116:G1116)=0,"",IF(AND(C1116="Yes",D1116="Yes",E1116="Yes",F1116="Yes",G1116="No"),"Yes","No"))</f>
        <v/>
      </c>
      <c r="I1116" s="32"/>
      <c r="J1116" s="32"/>
    </row>
    <row r="1117" customFormat="false" ht="15" hidden="false" customHeight="false" outlineLevel="0" collapsed="false">
      <c r="A1117" s="32"/>
      <c r="B1117" s="32"/>
      <c r="C1117" s="32"/>
      <c r="D1117" s="32"/>
      <c r="E1117" s="32"/>
      <c r="F1117" s="32"/>
      <c r="G1117" s="32"/>
      <c r="H1117" s="28" t="str">
        <f aca="false">IF(COUNTA(C1117:G1117)=0,"",IF(AND(C1117="Yes",D1117="Yes",E1117="Yes",F1117="Yes",G1117="No"),"Yes","No"))</f>
        <v/>
      </c>
      <c r="I1117" s="32"/>
      <c r="J1117" s="32"/>
    </row>
    <row r="1118" customFormat="false" ht="15" hidden="false" customHeight="false" outlineLevel="0" collapsed="false">
      <c r="A1118" s="32"/>
      <c r="B1118" s="32"/>
      <c r="C1118" s="32"/>
      <c r="D1118" s="32"/>
      <c r="E1118" s="32"/>
      <c r="F1118" s="32"/>
      <c r="G1118" s="32"/>
      <c r="H1118" s="28" t="str">
        <f aca="false">IF(COUNTA(C1118:G1118)=0,"",IF(AND(C1118="Yes",D1118="Yes",E1118="Yes",F1118="Yes",G1118="No"),"Yes","No"))</f>
        <v/>
      </c>
      <c r="I1118" s="32"/>
      <c r="J1118" s="32"/>
    </row>
    <row r="1119" customFormat="false" ht="15" hidden="false" customHeight="false" outlineLevel="0" collapsed="false">
      <c r="A1119" s="32"/>
      <c r="B1119" s="32"/>
      <c r="C1119" s="32"/>
      <c r="D1119" s="32"/>
      <c r="E1119" s="32"/>
      <c r="F1119" s="32"/>
      <c r="G1119" s="32"/>
      <c r="H1119" s="28" t="str">
        <f aca="false">IF(COUNTA(C1119:G1119)=0,"",IF(AND(C1119="Yes",D1119="Yes",E1119="Yes",F1119="Yes",G1119="No"),"Yes","No"))</f>
        <v/>
      </c>
      <c r="I1119" s="32"/>
      <c r="J1119" s="32"/>
    </row>
    <row r="1120" customFormat="false" ht="15" hidden="false" customHeight="false" outlineLevel="0" collapsed="false">
      <c r="A1120" s="32"/>
      <c r="B1120" s="32"/>
      <c r="C1120" s="32"/>
      <c r="D1120" s="32"/>
      <c r="E1120" s="32"/>
      <c r="F1120" s="32"/>
      <c r="G1120" s="32"/>
      <c r="H1120" s="28" t="str">
        <f aca="false">IF(COUNTA(C1120:G1120)=0,"",IF(AND(C1120="Yes",D1120="Yes",E1120="Yes",F1120="Yes",G1120="No"),"Yes","No"))</f>
        <v/>
      </c>
      <c r="I1120" s="32"/>
      <c r="J1120" s="32"/>
    </row>
    <row r="1121" customFormat="false" ht="15" hidden="false" customHeight="false" outlineLevel="0" collapsed="false">
      <c r="A1121" s="32"/>
      <c r="B1121" s="32"/>
      <c r="C1121" s="32"/>
      <c r="D1121" s="32"/>
      <c r="E1121" s="32"/>
      <c r="F1121" s="32"/>
      <c r="G1121" s="32"/>
      <c r="H1121" s="28" t="str">
        <f aca="false">IF(COUNTA(C1121:G1121)=0,"",IF(AND(C1121="Yes",D1121="Yes",E1121="Yes",F1121="Yes",G1121="No"),"Yes","No"))</f>
        <v/>
      </c>
      <c r="I1121" s="32"/>
      <c r="J1121" s="32"/>
    </row>
    <row r="1122" customFormat="false" ht="15" hidden="false" customHeight="false" outlineLevel="0" collapsed="false">
      <c r="A1122" s="32"/>
      <c r="B1122" s="32"/>
      <c r="C1122" s="32"/>
      <c r="D1122" s="32"/>
      <c r="E1122" s="32"/>
      <c r="F1122" s="32"/>
      <c r="G1122" s="32"/>
      <c r="H1122" s="28" t="str">
        <f aca="false">IF(COUNTA(C1122:G1122)=0,"",IF(AND(C1122="Yes",D1122="Yes",E1122="Yes",F1122="Yes",G1122="No"),"Yes","No"))</f>
        <v/>
      </c>
      <c r="I1122" s="32"/>
      <c r="J1122" s="32"/>
    </row>
    <row r="1123" customFormat="false" ht="15" hidden="false" customHeight="false" outlineLevel="0" collapsed="false">
      <c r="A1123" s="32"/>
      <c r="B1123" s="32"/>
      <c r="C1123" s="32"/>
      <c r="D1123" s="32"/>
      <c r="E1123" s="32"/>
      <c r="F1123" s="32"/>
      <c r="G1123" s="32"/>
      <c r="H1123" s="28" t="str">
        <f aca="false">IF(COUNTA(C1123:G1123)=0,"",IF(AND(C1123="Yes",D1123="Yes",E1123="Yes",F1123="Yes",G1123="No"),"Yes","No"))</f>
        <v/>
      </c>
      <c r="I1123" s="32"/>
      <c r="J1123" s="32"/>
    </row>
    <row r="1124" customFormat="false" ht="15" hidden="false" customHeight="false" outlineLevel="0" collapsed="false">
      <c r="A1124" s="32"/>
      <c r="B1124" s="32"/>
      <c r="C1124" s="32"/>
      <c r="D1124" s="32"/>
      <c r="E1124" s="32"/>
      <c r="F1124" s="32"/>
      <c r="G1124" s="32"/>
      <c r="H1124" s="28" t="str">
        <f aca="false">IF(COUNTA(C1124:G1124)=0,"",IF(AND(C1124="Yes",D1124="Yes",E1124="Yes",F1124="Yes",G1124="No"),"Yes","No"))</f>
        <v/>
      </c>
      <c r="I1124" s="32"/>
      <c r="J1124" s="32"/>
    </row>
    <row r="1125" customFormat="false" ht="15" hidden="false" customHeight="false" outlineLevel="0" collapsed="false">
      <c r="A1125" s="32"/>
      <c r="B1125" s="32"/>
      <c r="C1125" s="32"/>
      <c r="D1125" s="32"/>
      <c r="E1125" s="32"/>
      <c r="F1125" s="32"/>
      <c r="G1125" s="32"/>
      <c r="H1125" s="28" t="str">
        <f aca="false">IF(COUNTA(C1125:G1125)=0,"",IF(AND(C1125="Yes",D1125="Yes",E1125="Yes",F1125="Yes",G1125="No"),"Yes","No"))</f>
        <v/>
      </c>
      <c r="I1125" s="32"/>
      <c r="J1125" s="32"/>
    </row>
    <row r="1126" customFormat="false" ht="15" hidden="false" customHeight="false" outlineLevel="0" collapsed="false">
      <c r="A1126" s="32"/>
      <c r="B1126" s="32"/>
      <c r="C1126" s="32"/>
      <c r="D1126" s="32"/>
      <c r="E1126" s="32"/>
      <c r="F1126" s="32"/>
      <c r="G1126" s="32"/>
      <c r="H1126" s="28" t="str">
        <f aca="false">IF(COUNTA(C1126:G1126)=0,"",IF(AND(C1126="Yes",D1126="Yes",E1126="Yes",F1126="Yes",G1126="No"),"Yes","No"))</f>
        <v/>
      </c>
      <c r="I1126" s="32"/>
      <c r="J1126" s="32"/>
    </row>
    <row r="1127" customFormat="false" ht="15" hidden="false" customHeight="false" outlineLevel="0" collapsed="false">
      <c r="A1127" s="32"/>
      <c r="B1127" s="32"/>
      <c r="C1127" s="32"/>
      <c r="D1127" s="32"/>
      <c r="E1127" s="32"/>
      <c r="F1127" s="32"/>
      <c r="G1127" s="32"/>
      <c r="H1127" s="28" t="str">
        <f aca="false">IF(COUNTA(C1127:G1127)=0,"",IF(AND(C1127="Yes",D1127="Yes",E1127="Yes",F1127="Yes",G1127="No"),"Yes","No"))</f>
        <v/>
      </c>
      <c r="I1127" s="32"/>
      <c r="J1127" s="32"/>
    </row>
    <row r="1128" customFormat="false" ht="15" hidden="false" customHeight="false" outlineLevel="0" collapsed="false">
      <c r="A1128" s="32"/>
      <c r="B1128" s="32"/>
      <c r="C1128" s="32"/>
      <c r="D1128" s="32"/>
      <c r="E1128" s="32"/>
      <c r="F1128" s="32"/>
      <c r="G1128" s="32"/>
      <c r="H1128" s="28" t="str">
        <f aca="false">IF(COUNTA(C1128:G1128)=0,"",IF(AND(C1128="Yes",D1128="Yes",E1128="Yes",F1128="Yes",G1128="No"),"Yes","No"))</f>
        <v/>
      </c>
      <c r="I1128" s="32"/>
      <c r="J1128" s="32"/>
    </row>
    <row r="1129" customFormat="false" ht="15" hidden="false" customHeight="false" outlineLevel="0" collapsed="false">
      <c r="A1129" s="32"/>
      <c r="B1129" s="32"/>
      <c r="C1129" s="32"/>
      <c r="D1129" s="32"/>
      <c r="E1129" s="32"/>
      <c r="F1129" s="32"/>
      <c r="G1129" s="32"/>
      <c r="H1129" s="28" t="str">
        <f aca="false">IF(COUNTA(C1129:G1129)=0,"",IF(AND(C1129="Yes",D1129="Yes",E1129="Yes",F1129="Yes",G1129="No"),"Yes","No"))</f>
        <v/>
      </c>
      <c r="I1129" s="32"/>
      <c r="J1129" s="32"/>
    </row>
    <row r="1130" customFormat="false" ht="15" hidden="false" customHeight="false" outlineLevel="0" collapsed="false">
      <c r="A1130" s="32"/>
      <c r="B1130" s="32"/>
      <c r="C1130" s="32"/>
      <c r="D1130" s="32"/>
      <c r="E1130" s="32"/>
      <c r="F1130" s="32"/>
      <c r="G1130" s="32"/>
      <c r="H1130" s="28" t="str">
        <f aca="false">IF(COUNTA(C1130:G1130)=0,"",IF(AND(C1130="Yes",D1130="Yes",E1130="Yes",F1130="Yes",G1130="No"),"Yes","No"))</f>
        <v/>
      </c>
      <c r="I1130" s="32"/>
      <c r="J1130" s="32"/>
    </row>
    <row r="1131" customFormat="false" ht="15" hidden="false" customHeight="false" outlineLevel="0" collapsed="false">
      <c r="A1131" s="32"/>
      <c r="B1131" s="32"/>
      <c r="C1131" s="32"/>
      <c r="D1131" s="32"/>
      <c r="E1131" s="32"/>
      <c r="F1131" s="32"/>
      <c r="G1131" s="32"/>
      <c r="H1131" s="28" t="str">
        <f aca="false">IF(COUNTA(C1131:G1131)=0,"",IF(AND(C1131="Yes",D1131="Yes",E1131="Yes",F1131="Yes",G1131="No"),"Yes","No"))</f>
        <v/>
      </c>
      <c r="I1131" s="32"/>
      <c r="J1131" s="32"/>
    </row>
    <row r="1132" customFormat="false" ht="15" hidden="false" customHeight="false" outlineLevel="0" collapsed="false">
      <c r="A1132" s="32"/>
      <c r="B1132" s="32"/>
      <c r="C1132" s="32"/>
      <c r="D1132" s="32"/>
      <c r="E1132" s="32"/>
      <c r="F1132" s="32"/>
      <c r="G1132" s="32"/>
      <c r="H1132" s="28" t="str">
        <f aca="false">IF(COUNTA(C1132:G1132)=0,"",IF(AND(C1132="Yes",D1132="Yes",E1132="Yes",F1132="Yes",G1132="No"),"Yes","No"))</f>
        <v/>
      </c>
      <c r="I1132" s="32"/>
      <c r="J1132" s="32"/>
    </row>
    <row r="1133" customFormat="false" ht="15" hidden="false" customHeight="false" outlineLevel="0" collapsed="false">
      <c r="A1133" s="32"/>
      <c r="B1133" s="32"/>
      <c r="C1133" s="32"/>
      <c r="D1133" s="32"/>
      <c r="E1133" s="32"/>
      <c r="F1133" s="32"/>
      <c r="G1133" s="32"/>
      <c r="H1133" s="28" t="str">
        <f aca="false">IF(COUNTA(C1133:G1133)=0,"",IF(AND(C1133="Yes",D1133="Yes",E1133="Yes",F1133="Yes",G1133="No"),"Yes","No"))</f>
        <v/>
      </c>
      <c r="I1133" s="32"/>
      <c r="J1133" s="32"/>
    </row>
    <row r="1134" customFormat="false" ht="15" hidden="false" customHeight="false" outlineLevel="0" collapsed="false">
      <c r="A1134" s="32"/>
      <c r="B1134" s="32"/>
      <c r="C1134" s="32"/>
      <c r="D1134" s="32"/>
      <c r="E1134" s="32"/>
      <c r="F1134" s="32"/>
      <c r="G1134" s="32"/>
      <c r="H1134" s="28" t="str">
        <f aca="false">IF(COUNTA(C1134:G1134)=0,"",IF(AND(C1134="Yes",D1134="Yes",E1134="Yes",F1134="Yes",G1134="No"),"Yes","No"))</f>
        <v/>
      </c>
      <c r="I1134" s="32"/>
      <c r="J1134" s="32"/>
    </row>
    <row r="1135" customFormat="false" ht="15" hidden="false" customHeight="false" outlineLevel="0" collapsed="false">
      <c r="A1135" s="32"/>
      <c r="B1135" s="32"/>
      <c r="C1135" s="32"/>
      <c r="D1135" s="32"/>
      <c r="E1135" s="32"/>
      <c r="F1135" s="32"/>
      <c r="G1135" s="32"/>
      <c r="H1135" s="28" t="str">
        <f aca="false">IF(COUNTA(C1135:G1135)=0,"",IF(AND(C1135="Yes",D1135="Yes",E1135="Yes",F1135="Yes",G1135="No"),"Yes","No"))</f>
        <v/>
      </c>
      <c r="I1135" s="32"/>
      <c r="J1135" s="32"/>
    </row>
    <row r="1136" customFormat="false" ht="15" hidden="false" customHeight="false" outlineLevel="0" collapsed="false">
      <c r="A1136" s="32"/>
      <c r="B1136" s="32"/>
      <c r="C1136" s="32"/>
      <c r="D1136" s="32"/>
      <c r="E1136" s="32"/>
      <c r="F1136" s="32"/>
      <c r="G1136" s="32"/>
      <c r="H1136" s="28" t="str">
        <f aca="false">IF(COUNTA(C1136:G1136)=0,"",IF(AND(C1136="Yes",D1136="Yes",E1136="Yes",F1136="Yes",G1136="No"),"Yes","No"))</f>
        <v/>
      </c>
      <c r="I1136" s="32"/>
      <c r="J1136" s="32"/>
    </row>
    <row r="1137" customFormat="false" ht="15" hidden="false" customHeight="false" outlineLevel="0" collapsed="false">
      <c r="A1137" s="32"/>
      <c r="B1137" s="32"/>
      <c r="C1137" s="32"/>
      <c r="D1137" s="32"/>
      <c r="E1137" s="32"/>
      <c r="F1137" s="32"/>
      <c r="G1137" s="32"/>
      <c r="H1137" s="28" t="str">
        <f aca="false">IF(COUNTA(C1137:G1137)=0,"",IF(AND(C1137="Yes",D1137="Yes",E1137="Yes",F1137="Yes",G1137="No"),"Yes","No"))</f>
        <v/>
      </c>
      <c r="I1137" s="32"/>
      <c r="J1137" s="32"/>
    </row>
    <row r="1138" customFormat="false" ht="15" hidden="false" customHeight="false" outlineLevel="0" collapsed="false">
      <c r="A1138" s="32"/>
      <c r="B1138" s="32"/>
      <c r="C1138" s="32"/>
      <c r="D1138" s="32"/>
      <c r="E1138" s="32"/>
      <c r="F1138" s="32"/>
      <c r="G1138" s="32"/>
      <c r="H1138" s="28" t="str">
        <f aca="false">IF(COUNTA(C1138:G1138)=0,"",IF(AND(C1138="Yes",D1138="Yes",E1138="Yes",F1138="Yes",G1138="No"),"Yes","No"))</f>
        <v/>
      </c>
      <c r="I1138" s="32"/>
      <c r="J1138" s="32"/>
    </row>
    <row r="1139" customFormat="false" ht="15" hidden="false" customHeight="false" outlineLevel="0" collapsed="false">
      <c r="A1139" s="32"/>
      <c r="B1139" s="32"/>
      <c r="C1139" s="32"/>
      <c r="D1139" s="32"/>
      <c r="E1139" s="32"/>
      <c r="F1139" s="32"/>
      <c r="G1139" s="32"/>
      <c r="H1139" s="28" t="str">
        <f aca="false">IF(COUNTA(C1139:G1139)=0,"",IF(AND(C1139="Yes",D1139="Yes",E1139="Yes",F1139="Yes",G1139="No"),"Yes","No"))</f>
        <v/>
      </c>
      <c r="I1139" s="32"/>
      <c r="J1139" s="32"/>
    </row>
    <row r="1140" customFormat="false" ht="15" hidden="false" customHeight="false" outlineLevel="0" collapsed="false">
      <c r="A1140" s="32"/>
      <c r="B1140" s="32"/>
      <c r="C1140" s="32"/>
      <c r="D1140" s="32"/>
      <c r="E1140" s="32"/>
      <c r="F1140" s="32"/>
      <c r="G1140" s="32"/>
      <c r="H1140" s="28" t="str">
        <f aca="false">IF(COUNTA(C1140:G1140)=0,"",IF(AND(C1140="Yes",D1140="Yes",E1140="Yes",F1140="Yes",G1140="No"),"Yes","No"))</f>
        <v/>
      </c>
      <c r="I1140" s="32"/>
      <c r="J1140" s="32"/>
    </row>
    <row r="1141" customFormat="false" ht="15" hidden="false" customHeight="false" outlineLevel="0" collapsed="false">
      <c r="A1141" s="32"/>
      <c r="B1141" s="32"/>
      <c r="C1141" s="32"/>
      <c r="D1141" s="32"/>
      <c r="E1141" s="32"/>
      <c r="F1141" s="32"/>
      <c r="G1141" s="32"/>
      <c r="H1141" s="28" t="str">
        <f aca="false">IF(COUNTA(C1141:G1141)=0,"",IF(AND(C1141="Yes",D1141="Yes",E1141="Yes",F1141="Yes",G1141="No"),"Yes","No"))</f>
        <v/>
      </c>
      <c r="I1141" s="32"/>
      <c r="J1141" s="32"/>
    </row>
    <row r="1142" customFormat="false" ht="15" hidden="false" customHeight="false" outlineLevel="0" collapsed="false">
      <c r="A1142" s="32"/>
      <c r="B1142" s="32"/>
      <c r="C1142" s="32"/>
      <c r="D1142" s="32"/>
      <c r="E1142" s="32"/>
      <c r="F1142" s="32"/>
      <c r="G1142" s="32"/>
      <c r="H1142" s="28" t="str">
        <f aca="false">IF(COUNTA(C1142:G1142)=0,"",IF(AND(C1142="Yes",D1142="Yes",E1142="Yes",F1142="Yes",G1142="No"),"Yes","No"))</f>
        <v/>
      </c>
      <c r="I1142" s="32"/>
      <c r="J1142" s="32"/>
    </row>
    <row r="1143" customFormat="false" ht="15" hidden="false" customHeight="false" outlineLevel="0" collapsed="false">
      <c r="A1143" s="32"/>
      <c r="B1143" s="32"/>
      <c r="C1143" s="32"/>
      <c r="D1143" s="32"/>
      <c r="E1143" s="32"/>
      <c r="F1143" s="32"/>
      <c r="G1143" s="32"/>
      <c r="H1143" s="28" t="str">
        <f aca="false">IF(COUNTA(C1143:G1143)=0,"",IF(AND(C1143="Yes",D1143="Yes",E1143="Yes",F1143="Yes",G1143="No"),"Yes","No"))</f>
        <v/>
      </c>
      <c r="I1143" s="32"/>
      <c r="J1143" s="32"/>
    </row>
    <row r="1144" customFormat="false" ht="15" hidden="false" customHeight="false" outlineLevel="0" collapsed="false">
      <c r="A1144" s="32"/>
      <c r="B1144" s="32"/>
      <c r="C1144" s="32"/>
      <c r="D1144" s="32"/>
      <c r="E1144" s="32"/>
      <c r="F1144" s="32"/>
      <c r="G1144" s="32"/>
      <c r="H1144" s="28" t="str">
        <f aca="false">IF(COUNTA(C1144:G1144)=0,"",IF(AND(C1144="Yes",D1144="Yes",E1144="Yes",F1144="Yes",G1144="No"),"Yes","No"))</f>
        <v/>
      </c>
      <c r="I1144" s="32"/>
      <c r="J1144" s="32"/>
    </row>
    <row r="1145" customFormat="false" ht="15" hidden="false" customHeight="false" outlineLevel="0" collapsed="false">
      <c r="A1145" s="32"/>
      <c r="B1145" s="32"/>
      <c r="C1145" s="32"/>
      <c r="D1145" s="32"/>
      <c r="E1145" s="32"/>
      <c r="F1145" s="32"/>
      <c r="G1145" s="32"/>
      <c r="H1145" s="28" t="str">
        <f aca="false">IF(COUNTA(C1145:G1145)=0,"",IF(AND(C1145="Yes",D1145="Yes",E1145="Yes",F1145="Yes",G1145="No"),"Yes","No"))</f>
        <v/>
      </c>
      <c r="I1145" s="32"/>
      <c r="J1145" s="32"/>
    </row>
    <row r="1146" customFormat="false" ht="15" hidden="false" customHeight="false" outlineLevel="0" collapsed="false">
      <c r="A1146" s="32"/>
      <c r="B1146" s="32"/>
      <c r="C1146" s="32"/>
      <c r="D1146" s="32"/>
      <c r="E1146" s="32"/>
      <c r="F1146" s="32"/>
      <c r="G1146" s="32"/>
      <c r="H1146" s="28" t="str">
        <f aca="false">IF(COUNTA(C1146:G1146)=0,"",IF(AND(C1146="Yes",D1146="Yes",E1146="Yes",F1146="Yes",G1146="No"),"Yes","No"))</f>
        <v/>
      </c>
      <c r="I1146" s="32"/>
      <c r="J1146" s="32"/>
    </row>
    <row r="1147" customFormat="false" ht="15" hidden="false" customHeight="false" outlineLevel="0" collapsed="false">
      <c r="A1147" s="32"/>
      <c r="B1147" s="32"/>
      <c r="C1147" s="32"/>
      <c r="D1147" s="32"/>
      <c r="E1147" s="32"/>
      <c r="F1147" s="32"/>
      <c r="G1147" s="32"/>
      <c r="H1147" s="28" t="str">
        <f aca="false">IF(COUNTA(C1147:G1147)=0,"",IF(AND(C1147="Yes",D1147="Yes",E1147="Yes",F1147="Yes",G1147="No"),"Yes","No"))</f>
        <v/>
      </c>
      <c r="I1147" s="32"/>
      <c r="J1147" s="32"/>
    </row>
    <row r="1148" customFormat="false" ht="15" hidden="false" customHeight="false" outlineLevel="0" collapsed="false">
      <c r="A1148" s="32"/>
      <c r="B1148" s="32"/>
      <c r="C1148" s="32"/>
      <c r="D1148" s="32"/>
      <c r="E1148" s="32"/>
      <c r="F1148" s="32"/>
      <c r="G1148" s="32"/>
      <c r="H1148" s="28" t="str">
        <f aca="false">IF(COUNTA(C1148:G1148)=0,"",IF(AND(C1148="Yes",D1148="Yes",E1148="Yes",F1148="Yes",G1148="No"),"Yes","No"))</f>
        <v/>
      </c>
      <c r="I1148" s="32"/>
      <c r="J1148" s="32"/>
    </row>
    <row r="1149" customFormat="false" ht="15" hidden="false" customHeight="false" outlineLevel="0" collapsed="false">
      <c r="A1149" s="32"/>
      <c r="B1149" s="32"/>
      <c r="C1149" s="32"/>
      <c r="D1149" s="32"/>
      <c r="E1149" s="32"/>
      <c r="F1149" s="32"/>
      <c r="G1149" s="32"/>
      <c r="H1149" s="28" t="str">
        <f aca="false">IF(COUNTA(C1149:G1149)=0,"",IF(AND(C1149="Yes",D1149="Yes",E1149="Yes",F1149="Yes",G1149="No"),"Yes","No"))</f>
        <v/>
      </c>
      <c r="I1149" s="32"/>
      <c r="J1149" s="32"/>
    </row>
    <row r="1150" customFormat="false" ht="15" hidden="false" customHeight="false" outlineLevel="0" collapsed="false">
      <c r="A1150" s="32"/>
      <c r="B1150" s="32"/>
      <c r="C1150" s="32"/>
      <c r="D1150" s="32"/>
      <c r="E1150" s="32"/>
      <c r="F1150" s="32"/>
      <c r="G1150" s="32"/>
      <c r="H1150" s="28" t="str">
        <f aca="false">IF(COUNTA(C1150:G1150)=0,"",IF(AND(C1150="Yes",D1150="Yes",E1150="Yes",F1150="Yes",G1150="No"),"Yes","No"))</f>
        <v/>
      </c>
      <c r="I1150" s="32"/>
      <c r="J1150" s="32"/>
    </row>
    <row r="1151" customFormat="false" ht="15" hidden="false" customHeight="false" outlineLevel="0" collapsed="false">
      <c r="A1151" s="32"/>
      <c r="B1151" s="32"/>
      <c r="C1151" s="32"/>
      <c r="D1151" s="32"/>
      <c r="E1151" s="32"/>
      <c r="F1151" s="32"/>
      <c r="G1151" s="32"/>
      <c r="H1151" s="28" t="str">
        <f aca="false">IF(COUNTA(C1151:G1151)=0,"",IF(AND(C1151="Yes",D1151="Yes",E1151="Yes",F1151="Yes",G1151="No"),"Yes","No"))</f>
        <v/>
      </c>
      <c r="I1151" s="32"/>
      <c r="J1151" s="32"/>
    </row>
    <row r="1152" customFormat="false" ht="15" hidden="false" customHeight="false" outlineLevel="0" collapsed="false">
      <c r="A1152" s="32"/>
      <c r="B1152" s="32"/>
      <c r="C1152" s="32"/>
      <c r="D1152" s="32"/>
      <c r="E1152" s="32"/>
      <c r="F1152" s="32"/>
      <c r="G1152" s="32"/>
      <c r="H1152" s="28" t="str">
        <f aca="false">IF(COUNTA(C1152:G1152)=0,"",IF(AND(C1152="Yes",D1152="Yes",E1152="Yes",F1152="Yes",G1152="No"),"Yes","No"))</f>
        <v/>
      </c>
      <c r="I1152" s="32"/>
      <c r="J1152" s="32"/>
    </row>
    <row r="1153" customFormat="false" ht="15" hidden="false" customHeight="false" outlineLevel="0" collapsed="false">
      <c r="A1153" s="32"/>
      <c r="B1153" s="32"/>
      <c r="C1153" s="32"/>
      <c r="D1153" s="32"/>
      <c r="E1153" s="32"/>
      <c r="F1153" s="32"/>
      <c r="G1153" s="32"/>
      <c r="H1153" s="28" t="str">
        <f aca="false">IF(COUNTA(C1153:G1153)=0,"",IF(AND(C1153="Yes",D1153="Yes",E1153="Yes",F1153="Yes",G1153="No"),"Yes","No"))</f>
        <v/>
      </c>
      <c r="I1153" s="32"/>
      <c r="J1153" s="32"/>
    </row>
    <row r="1154" customFormat="false" ht="15" hidden="false" customHeight="false" outlineLevel="0" collapsed="false">
      <c r="A1154" s="32"/>
      <c r="B1154" s="32"/>
      <c r="C1154" s="32"/>
      <c r="D1154" s="32"/>
      <c r="E1154" s="32"/>
      <c r="F1154" s="32"/>
      <c r="G1154" s="32"/>
      <c r="H1154" s="28" t="str">
        <f aca="false">IF(COUNTA(C1154:G1154)=0,"",IF(AND(C1154="Yes",D1154="Yes",E1154="Yes",F1154="Yes",G1154="No"),"Yes","No"))</f>
        <v/>
      </c>
      <c r="I1154" s="32"/>
      <c r="J1154" s="32"/>
    </row>
    <row r="1155" customFormat="false" ht="15" hidden="false" customHeight="false" outlineLevel="0" collapsed="false">
      <c r="A1155" s="32"/>
      <c r="B1155" s="32"/>
      <c r="C1155" s="32"/>
      <c r="D1155" s="32"/>
      <c r="E1155" s="32"/>
      <c r="F1155" s="32"/>
      <c r="G1155" s="32"/>
      <c r="H1155" s="28" t="str">
        <f aca="false">IF(COUNTA(C1155:G1155)=0,"",IF(AND(C1155="Yes",D1155="Yes",E1155="Yes",F1155="Yes",G1155="No"),"Yes","No"))</f>
        <v/>
      </c>
      <c r="I1155" s="32"/>
      <c r="J1155" s="32"/>
    </row>
    <row r="1156" customFormat="false" ht="15" hidden="false" customHeight="false" outlineLevel="0" collapsed="false">
      <c r="A1156" s="32"/>
      <c r="B1156" s="32"/>
      <c r="C1156" s="32"/>
      <c r="D1156" s="32"/>
      <c r="E1156" s="32"/>
      <c r="F1156" s="32"/>
      <c r="G1156" s="32"/>
      <c r="H1156" s="28" t="str">
        <f aca="false">IF(COUNTA(C1156:G1156)=0,"",IF(AND(C1156="Yes",D1156="Yes",E1156="Yes",F1156="Yes",G1156="No"),"Yes","No"))</f>
        <v/>
      </c>
      <c r="I1156" s="32"/>
      <c r="J1156" s="32"/>
    </row>
    <row r="1157" customFormat="false" ht="15" hidden="false" customHeight="false" outlineLevel="0" collapsed="false">
      <c r="A1157" s="32"/>
      <c r="B1157" s="32"/>
      <c r="C1157" s="32"/>
      <c r="D1157" s="32"/>
      <c r="E1157" s="32"/>
      <c r="F1157" s="32"/>
      <c r="G1157" s="32"/>
      <c r="H1157" s="28" t="str">
        <f aca="false">IF(COUNTA(C1157:G1157)=0,"",IF(AND(C1157="Yes",D1157="Yes",E1157="Yes",F1157="Yes",G1157="No"),"Yes","No"))</f>
        <v/>
      </c>
      <c r="I1157" s="32"/>
      <c r="J1157" s="32"/>
    </row>
    <row r="1158" customFormat="false" ht="15" hidden="false" customHeight="false" outlineLevel="0" collapsed="false">
      <c r="A1158" s="32"/>
      <c r="B1158" s="32"/>
      <c r="C1158" s="32"/>
      <c r="D1158" s="32"/>
      <c r="E1158" s="32"/>
      <c r="F1158" s="32"/>
      <c r="G1158" s="32"/>
      <c r="H1158" s="28" t="str">
        <f aca="false">IF(COUNTA(C1158:G1158)=0,"",IF(AND(C1158="Yes",D1158="Yes",E1158="Yes",F1158="Yes",G1158="No"),"Yes","No"))</f>
        <v/>
      </c>
      <c r="I1158" s="32"/>
      <c r="J1158" s="32"/>
    </row>
    <row r="1159" customFormat="false" ht="15" hidden="false" customHeight="false" outlineLevel="0" collapsed="false">
      <c r="A1159" s="32"/>
      <c r="B1159" s="32"/>
      <c r="C1159" s="32"/>
      <c r="D1159" s="32"/>
      <c r="E1159" s="32"/>
      <c r="F1159" s="32"/>
      <c r="G1159" s="32"/>
      <c r="H1159" s="28" t="str">
        <f aca="false">IF(COUNTA(C1159:G1159)=0,"",IF(AND(C1159="Yes",D1159="Yes",E1159="Yes",F1159="Yes",G1159="No"),"Yes","No"))</f>
        <v/>
      </c>
      <c r="I1159" s="32"/>
      <c r="J1159" s="32"/>
    </row>
    <row r="1160" customFormat="false" ht="15" hidden="false" customHeight="false" outlineLevel="0" collapsed="false">
      <c r="A1160" s="32"/>
      <c r="B1160" s="32"/>
      <c r="C1160" s="32"/>
      <c r="D1160" s="32"/>
      <c r="E1160" s="32"/>
      <c r="F1160" s="32"/>
      <c r="G1160" s="32"/>
      <c r="H1160" s="28" t="str">
        <f aca="false">IF(COUNTA(C1160:G1160)=0,"",IF(AND(C1160="Yes",D1160="Yes",E1160="Yes",F1160="Yes",G1160="No"),"Yes","No"))</f>
        <v/>
      </c>
      <c r="I1160" s="32"/>
      <c r="J1160" s="32"/>
    </row>
    <row r="1161" customFormat="false" ht="15" hidden="false" customHeight="false" outlineLevel="0" collapsed="false">
      <c r="A1161" s="32"/>
      <c r="B1161" s="32"/>
      <c r="C1161" s="32"/>
      <c r="D1161" s="32"/>
      <c r="E1161" s="32"/>
      <c r="F1161" s="32"/>
      <c r="G1161" s="32"/>
      <c r="H1161" s="28" t="str">
        <f aca="false">IF(COUNTA(C1161:G1161)=0,"",IF(AND(C1161="Yes",D1161="Yes",E1161="Yes",F1161="Yes",G1161="No"),"Yes","No"))</f>
        <v/>
      </c>
      <c r="I1161" s="32"/>
      <c r="J1161" s="32"/>
    </row>
    <row r="1162" customFormat="false" ht="15" hidden="false" customHeight="false" outlineLevel="0" collapsed="false">
      <c r="A1162" s="32"/>
      <c r="B1162" s="32"/>
      <c r="C1162" s="32"/>
      <c r="D1162" s="32"/>
      <c r="E1162" s="32"/>
      <c r="F1162" s="32"/>
      <c r="G1162" s="32"/>
      <c r="H1162" s="28" t="str">
        <f aca="false">IF(COUNTA(C1162:G1162)=0,"",IF(AND(C1162="Yes",D1162="Yes",E1162="Yes",F1162="Yes",G1162="No"),"Yes","No"))</f>
        <v/>
      </c>
      <c r="I1162" s="32"/>
      <c r="J1162" s="32"/>
    </row>
    <row r="1163" customFormat="false" ht="15" hidden="false" customHeight="false" outlineLevel="0" collapsed="false">
      <c r="A1163" s="32"/>
      <c r="B1163" s="32"/>
      <c r="C1163" s="32"/>
      <c r="D1163" s="32"/>
      <c r="E1163" s="32"/>
      <c r="F1163" s="32"/>
      <c r="G1163" s="32"/>
      <c r="H1163" s="28" t="str">
        <f aca="false">IF(COUNTA(C1163:G1163)=0,"",IF(AND(C1163="Yes",D1163="Yes",E1163="Yes",F1163="Yes",G1163="No"),"Yes","No"))</f>
        <v/>
      </c>
      <c r="I1163" s="32"/>
      <c r="J1163" s="32"/>
    </row>
    <row r="1164" customFormat="false" ht="15" hidden="false" customHeight="false" outlineLevel="0" collapsed="false">
      <c r="A1164" s="32"/>
      <c r="B1164" s="32"/>
      <c r="C1164" s="32"/>
      <c r="D1164" s="32"/>
      <c r="E1164" s="32"/>
      <c r="F1164" s="32"/>
      <c r="G1164" s="32"/>
      <c r="H1164" s="28" t="str">
        <f aca="false">IF(COUNTA(C1164:G1164)=0,"",IF(AND(C1164="Yes",D1164="Yes",E1164="Yes",F1164="Yes",G1164="No"),"Yes","No"))</f>
        <v/>
      </c>
      <c r="I1164" s="32"/>
      <c r="J1164" s="32"/>
    </row>
    <row r="1165" customFormat="false" ht="15" hidden="false" customHeight="false" outlineLevel="0" collapsed="false">
      <c r="A1165" s="32"/>
      <c r="B1165" s="32"/>
      <c r="C1165" s="32"/>
      <c r="D1165" s="32"/>
      <c r="E1165" s="32"/>
      <c r="F1165" s="32"/>
      <c r="G1165" s="32"/>
      <c r="H1165" s="28" t="str">
        <f aca="false">IF(COUNTA(C1165:G1165)=0,"",IF(AND(C1165="Yes",D1165="Yes",E1165="Yes",F1165="Yes",G1165="No"),"Yes","No"))</f>
        <v/>
      </c>
      <c r="I1165" s="32"/>
      <c r="J1165" s="32"/>
    </row>
    <row r="1166" customFormat="false" ht="15" hidden="false" customHeight="false" outlineLevel="0" collapsed="false">
      <c r="A1166" s="32"/>
      <c r="B1166" s="32"/>
      <c r="C1166" s="32"/>
      <c r="D1166" s="32"/>
      <c r="E1166" s="32"/>
      <c r="F1166" s="32"/>
      <c r="G1166" s="32"/>
      <c r="H1166" s="28" t="str">
        <f aca="false">IF(COUNTA(C1166:G1166)=0,"",IF(AND(C1166="Yes",D1166="Yes",E1166="Yes",F1166="Yes",G1166="No"),"Yes","No"))</f>
        <v/>
      </c>
      <c r="I1166" s="32"/>
      <c r="J1166" s="32"/>
    </row>
    <row r="1167" customFormat="false" ht="15" hidden="false" customHeight="false" outlineLevel="0" collapsed="false">
      <c r="A1167" s="32"/>
      <c r="B1167" s="32"/>
      <c r="C1167" s="32"/>
      <c r="D1167" s="32"/>
      <c r="E1167" s="32"/>
      <c r="F1167" s="32"/>
      <c r="G1167" s="32"/>
      <c r="H1167" s="28" t="str">
        <f aca="false">IF(COUNTA(C1167:G1167)=0,"",IF(AND(C1167="Yes",D1167="Yes",E1167="Yes",F1167="Yes",G1167="No"),"Yes","No"))</f>
        <v/>
      </c>
      <c r="I1167" s="32"/>
      <c r="J1167" s="32"/>
    </row>
    <row r="1168" customFormat="false" ht="15" hidden="false" customHeight="false" outlineLevel="0" collapsed="false">
      <c r="A1168" s="32"/>
      <c r="B1168" s="32"/>
      <c r="C1168" s="32"/>
      <c r="D1168" s="32"/>
      <c r="E1168" s="32"/>
      <c r="F1168" s="32"/>
      <c r="G1168" s="32"/>
      <c r="H1168" s="28" t="str">
        <f aca="false">IF(COUNTA(C1168:G1168)=0,"",IF(AND(C1168="Yes",D1168="Yes",E1168="Yes",F1168="Yes",G1168="No"),"Yes","No"))</f>
        <v/>
      </c>
      <c r="I1168" s="32"/>
      <c r="J1168" s="32"/>
    </row>
    <row r="1169" customFormat="false" ht="15" hidden="false" customHeight="false" outlineLevel="0" collapsed="false">
      <c r="A1169" s="32"/>
      <c r="B1169" s="32"/>
      <c r="C1169" s="32"/>
      <c r="D1169" s="32"/>
      <c r="E1169" s="32"/>
      <c r="F1169" s="32"/>
      <c r="G1169" s="32"/>
      <c r="H1169" s="28" t="str">
        <f aca="false">IF(COUNTA(C1169:G1169)=0,"",IF(AND(C1169="Yes",D1169="Yes",E1169="Yes",F1169="Yes",G1169="No"),"Yes","No"))</f>
        <v/>
      </c>
      <c r="I1169" s="32"/>
      <c r="J1169" s="32"/>
    </row>
    <row r="1170" customFormat="false" ht="15" hidden="false" customHeight="false" outlineLevel="0" collapsed="false">
      <c r="A1170" s="32"/>
      <c r="B1170" s="32"/>
      <c r="C1170" s="32"/>
      <c r="D1170" s="32"/>
      <c r="E1170" s="32"/>
      <c r="F1170" s="32"/>
      <c r="G1170" s="32"/>
      <c r="H1170" s="28" t="str">
        <f aca="false">IF(COUNTA(C1170:G1170)=0,"",IF(AND(C1170="Yes",D1170="Yes",E1170="Yes",F1170="Yes",G1170="No"),"Yes","No"))</f>
        <v/>
      </c>
      <c r="I1170" s="32"/>
      <c r="J1170" s="32"/>
    </row>
    <row r="1171" customFormat="false" ht="15" hidden="false" customHeight="false" outlineLevel="0" collapsed="false">
      <c r="A1171" s="32"/>
      <c r="B1171" s="32"/>
      <c r="C1171" s="32"/>
      <c r="D1171" s="32"/>
      <c r="E1171" s="32"/>
      <c r="F1171" s="32"/>
      <c r="G1171" s="32"/>
      <c r="H1171" s="28" t="str">
        <f aca="false">IF(COUNTA(C1171:G1171)=0,"",IF(AND(C1171="Yes",D1171="Yes",E1171="Yes",F1171="Yes",G1171="No"),"Yes","No"))</f>
        <v/>
      </c>
      <c r="I1171" s="32"/>
      <c r="J1171" s="32"/>
    </row>
    <row r="1172" customFormat="false" ht="15" hidden="false" customHeight="false" outlineLevel="0" collapsed="false">
      <c r="A1172" s="32"/>
      <c r="B1172" s="32"/>
      <c r="C1172" s="32"/>
      <c r="D1172" s="32"/>
      <c r="E1172" s="32"/>
      <c r="F1172" s="32"/>
      <c r="G1172" s="32"/>
      <c r="H1172" s="28" t="str">
        <f aca="false">IF(COUNTA(C1172:G1172)=0,"",IF(AND(C1172="Yes",D1172="Yes",E1172="Yes",F1172="Yes",G1172="No"),"Yes","No"))</f>
        <v/>
      </c>
      <c r="I1172" s="32"/>
      <c r="J1172" s="32"/>
    </row>
    <row r="1173" customFormat="false" ht="15" hidden="false" customHeight="false" outlineLevel="0" collapsed="false">
      <c r="A1173" s="32"/>
      <c r="B1173" s="32"/>
      <c r="C1173" s="32"/>
      <c r="D1173" s="32"/>
      <c r="E1173" s="32"/>
      <c r="F1173" s="32"/>
      <c r="G1173" s="32"/>
      <c r="H1173" s="28" t="str">
        <f aca="false">IF(COUNTA(C1173:G1173)=0,"",IF(AND(C1173="Yes",D1173="Yes",E1173="Yes",F1173="Yes",G1173="No"),"Yes","No"))</f>
        <v/>
      </c>
      <c r="I1173" s="32"/>
      <c r="J1173" s="32"/>
    </row>
    <row r="1174" customFormat="false" ht="15" hidden="false" customHeight="false" outlineLevel="0" collapsed="false">
      <c r="A1174" s="32"/>
      <c r="B1174" s="32"/>
      <c r="C1174" s="32"/>
      <c r="D1174" s="32"/>
      <c r="E1174" s="32"/>
      <c r="F1174" s="32"/>
      <c r="G1174" s="32"/>
      <c r="H1174" s="28" t="str">
        <f aca="false">IF(COUNTA(C1174:G1174)=0,"",IF(AND(C1174="Yes",D1174="Yes",E1174="Yes",F1174="Yes",G1174="No"),"Yes","No"))</f>
        <v/>
      </c>
      <c r="I1174" s="32"/>
      <c r="J1174" s="32"/>
    </row>
    <row r="1175" customFormat="false" ht="15" hidden="false" customHeight="false" outlineLevel="0" collapsed="false">
      <c r="A1175" s="32"/>
      <c r="B1175" s="32"/>
      <c r="C1175" s="32"/>
      <c r="D1175" s="32"/>
      <c r="E1175" s="32"/>
      <c r="F1175" s="32"/>
      <c r="G1175" s="32"/>
      <c r="H1175" s="28" t="str">
        <f aca="false">IF(COUNTA(C1175:G1175)=0,"",IF(AND(C1175="Yes",D1175="Yes",E1175="Yes",F1175="Yes",G1175="No"),"Yes","No"))</f>
        <v/>
      </c>
      <c r="I1175" s="32"/>
      <c r="J1175" s="32"/>
    </row>
    <row r="1176" customFormat="false" ht="15" hidden="false" customHeight="false" outlineLevel="0" collapsed="false">
      <c r="A1176" s="32"/>
      <c r="B1176" s="32"/>
      <c r="C1176" s="32"/>
      <c r="D1176" s="32"/>
      <c r="E1176" s="32"/>
      <c r="F1176" s="32"/>
      <c r="G1176" s="32"/>
      <c r="H1176" s="28" t="str">
        <f aca="false">IF(COUNTA(C1176:G1176)=0,"",IF(AND(C1176="Yes",D1176="Yes",E1176="Yes",F1176="Yes",G1176="No"),"Yes","No"))</f>
        <v/>
      </c>
      <c r="I1176" s="32"/>
      <c r="J1176" s="32"/>
    </row>
    <row r="1177" customFormat="false" ht="15" hidden="false" customHeight="false" outlineLevel="0" collapsed="false">
      <c r="A1177" s="32"/>
      <c r="B1177" s="32"/>
      <c r="C1177" s="32"/>
      <c r="D1177" s="32"/>
      <c r="E1177" s="32"/>
      <c r="F1177" s="32"/>
      <c r="G1177" s="32"/>
      <c r="H1177" s="28" t="str">
        <f aca="false">IF(COUNTA(C1177:G1177)=0,"",IF(AND(C1177="Yes",D1177="Yes",E1177="Yes",F1177="Yes",G1177="No"),"Yes","No"))</f>
        <v/>
      </c>
      <c r="I1177" s="32"/>
      <c r="J1177" s="32"/>
    </row>
    <row r="1178" customFormat="false" ht="15" hidden="false" customHeight="false" outlineLevel="0" collapsed="false">
      <c r="A1178" s="32"/>
      <c r="B1178" s="32"/>
      <c r="C1178" s="32"/>
      <c r="D1178" s="32"/>
      <c r="E1178" s="32"/>
      <c r="F1178" s="32"/>
      <c r="G1178" s="32"/>
      <c r="H1178" s="28" t="str">
        <f aca="false">IF(COUNTA(C1178:G1178)=0,"",IF(AND(C1178="Yes",D1178="Yes",E1178="Yes",F1178="Yes",G1178="No"),"Yes","No"))</f>
        <v/>
      </c>
      <c r="I1178" s="32"/>
      <c r="J1178" s="32"/>
    </row>
    <row r="1179" customFormat="false" ht="15" hidden="false" customHeight="false" outlineLevel="0" collapsed="false">
      <c r="A1179" s="32"/>
      <c r="B1179" s="32"/>
      <c r="C1179" s="32"/>
      <c r="D1179" s="32"/>
      <c r="E1179" s="32"/>
      <c r="F1179" s="32"/>
      <c r="G1179" s="32"/>
      <c r="H1179" s="28" t="str">
        <f aca="false">IF(COUNTA(C1179:G1179)=0,"",IF(AND(C1179="Yes",D1179="Yes",E1179="Yes",F1179="Yes",G1179="No"),"Yes","No"))</f>
        <v/>
      </c>
      <c r="I1179" s="32"/>
      <c r="J1179" s="32"/>
    </row>
    <row r="1180" customFormat="false" ht="15" hidden="false" customHeight="false" outlineLevel="0" collapsed="false">
      <c r="A1180" s="32"/>
      <c r="B1180" s="32"/>
      <c r="C1180" s="32"/>
      <c r="D1180" s="32"/>
      <c r="E1180" s="32"/>
      <c r="F1180" s="32"/>
      <c r="G1180" s="32"/>
      <c r="H1180" s="28" t="str">
        <f aca="false">IF(COUNTA(C1180:G1180)=0,"",IF(AND(C1180="Yes",D1180="Yes",E1180="Yes",F1180="Yes",G1180="No"),"Yes","No"))</f>
        <v/>
      </c>
      <c r="I1180" s="32"/>
      <c r="J1180" s="32"/>
    </row>
    <row r="1181" customFormat="false" ht="15" hidden="false" customHeight="false" outlineLevel="0" collapsed="false">
      <c r="A1181" s="32"/>
      <c r="B1181" s="32"/>
      <c r="C1181" s="32"/>
      <c r="D1181" s="32"/>
      <c r="E1181" s="32"/>
      <c r="F1181" s="32"/>
      <c r="G1181" s="32"/>
      <c r="H1181" s="28" t="str">
        <f aca="false">IF(COUNTA(C1181:G1181)=0,"",IF(AND(C1181="Yes",D1181="Yes",E1181="Yes",F1181="Yes",G1181="No"),"Yes","No"))</f>
        <v/>
      </c>
      <c r="I1181" s="32"/>
      <c r="J1181" s="32"/>
    </row>
    <row r="1182" customFormat="false" ht="15" hidden="false" customHeight="false" outlineLevel="0" collapsed="false">
      <c r="A1182" s="32"/>
      <c r="B1182" s="32"/>
      <c r="C1182" s="32"/>
      <c r="D1182" s="32"/>
      <c r="E1182" s="32"/>
      <c r="F1182" s="32"/>
      <c r="G1182" s="32"/>
      <c r="H1182" s="28" t="str">
        <f aca="false">IF(COUNTA(C1182:G1182)=0,"",IF(AND(C1182="Yes",D1182="Yes",E1182="Yes",F1182="Yes",G1182="No"),"Yes","No"))</f>
        <v/>
      </c>
      <c r="I1182" s="32"/>
      <c r="J1182" s="32"/>
    </row>
    <row r="1183" customFormat="false" ht="15" hidden="false" customHeight="false" outlineLevel="0" collapsed="false">
      <c r="A1183" s="32"/>
      <c r="B1183" s="32"/>
      <c r="C1183" s="32"/>
      <c r="D1183" s="32"/>
      <c r="E1183" s="32"/>
      <c r="F1183" s="32"/>
      <c r="G1183" s="32"/>
      <c r="H1183" s="28" t="str">
        <f aca="false">IF(COUNTA(C1183:G1183)=0,"",IF(AND(C1183="Yes",D1183="Yes",E1183="Yes",F1183="Yes",G1183="No"),"Yes","No"))</f>
        <v/>
      </c>
      <c r="I1183" s="32"/>
      <c r="J1183" s="32"/>
    </row>
    <row r="1184" customFormat="false" ht="15" hidden="false" customHeight="false" outlineLevel="0" collapsed="false">
      <c r="A1184" s="32"/>
      <c r="B1184" s="32"/>
      <c r="C1184" s="32"/>
      <c r="D1184" s="32"/>
      <c r="E1184" s="32"/>
      <c r="F1184" s="32"/>
      <c r="G1184" s="32"/>
      <c r="H1184" s="28" t="str">
        <f aca="false">IF(COUNTA(C1184:G1184)=0,"",IF(AND(C1184="Yes",D1184="Yes",E1184="Yes",F1184="Yes",G1184="No"),"Yes","No"))</f>
        <v/>
      </c>
      <c r="I1184" s="32"/>
      <c r="J1184" s="32"/>
    </row>
    <row r="1185" customFormat="false" ht="15" hidden="false" customHeight="false" outlineLevel="0" collapsed="false">
      <c r="A1185" s="32"/>
      <c r="B1185" s="32"/>
      <c r="C1185" s="32"/>
      <c r="D1185" s="32"/>
      <c r="E1185" s="32"/>
      <c r="F1185" s="32"/>
      <c r="G1185" s="32"/>
      <c r="H1185" s="28" t="str">
        <f aca="false">IF(COUNTA(C1185:G1185)=0,"",IF(AND(C1185="Yes",D1185="Yes",E1185="Yes",F1185="Yes",G1185="No"),"Yes","No"))</f>
        <v/>
      </c>
      <c r="I1185" s="32"/>
      <c r="J1185" s="32"/>
    </row>
    <row r="1186" customFormat="false" ht="15" hidden="false" customHeight="false" outlineLevel="0" collapsed="false">
      <c r="A1186" s="32"/>
      <c r="B1186" s="32"/>
      <c r="C1186" s="32"/>
      <c r="D1186" s="32"/>
      <c r="E1186" s="32"/>
      <c r="F1186" s="32"/>
      <c r="G1186" s="32"/>
      <c r="H1186" s="28" t="str">
        <f aca="false">IF(COUNTA(C1186:G1186)=0,"",IF(AND(C1186="Yes",D1186="Yes",E1186="Yes",F1186="Yes",G1186="No"),"Yes","No"))</f>
        <v/>
      </c>
      <c r="I1186" s="32"/>
      <c r="J1186" s="32"/>
    </row>
    <row r="1187" customFormat="false" ht="15" hidden="false" customHeight="false" outlineLevel="0" collapsed="false">
      <c r="A1187" s="32"/>
      <c r="B1187" s="32"/>
      <c r="C1187" s="32"/>
      <c r="D1187" s="32"/>
      <c r="E1187" s="32"/>
      <c r="F1187" s="32"/>
      <c r="G1187" s="32"/>
      <c r="H1187" s="28" t="str">
        <f aca="false">IF(COUNTA(C1187:G1187)=0,"",IF(AND(C1187="Yes",D1187="Yes",E1187="Yes",F1187="Yes",G1187="No"),"Yes","No"))</f>
        <v/>
      </c>
      <c r="I1187" s="32"/>
      <c r="J1187" s="32"/>
    </row>
    <row r="1188" customFormat="false" ht="15" hidden="false" customHeight="false" outlineLevel="0" collapsed="false">
      <c r="A1188" s="32"/>
      <c r="B1188" s="32"/>
      <c r="C1188" s="32"/>
      <c r="D1188" s="32"/>
      <c r="E1188" s="32"/>
      <c r="F1188" s="32"/>
      <c r="G1188" s="32"/>
      <c r="H1188" s="28" t="str">
        <f aca="false">IF(COUNTA(C1188:G1188)=0,"",IF(AND(C1188="Yes",D1188="Yes",E1188="Yes",F1188="Yes",G1188="No"),"Yes","No"))</f>
        <v/>
      </c>
      <c r="I1188" s="32"/>
      <c r="J1188" s="32"/>
    </row>
    <row r="1189" customFormat="false" ht="15" hidden="false" customHeight="false" outlineLevel="0" collapsed="false">
      <c r="A1189" s="32"/>
      <c r="B1189" s="32"/>
      <c r="C1189" s="32"/>
      <c r="D1189" s="32"/>
      <c r="E1189" s="32"/>
      <c r="F1189" s="32"/>
      <c r="G1189" s="32"/>
      <c r="H1189" s="28" t="str">
        <f aca="false">IF(COUNTA(C1189:G1189)=0,"",IF(AND(C1189="Yes",D1189="Yes",E1189="Yes",F1189="Yes",G1189="No"),"Yes","No"))</f>
        <v/>
      </c>
      <c r="I1189" s="32"/>
      <c r="J1189" s="32"/>
    </row>
    <row r="1190" customFormat="false" ht="15" hidden="false" customHeight="false" outlineLevel="0" collapsed="false">
      <c r="A1190" s="32"/>
      <c r="B1190" s="32"/>
      <c r="C1190" s="32"/>
      <c r="D1190" s="32"/>
      <c r="E1190" s="32"/>
      <c r="F1190" s="32"/>
      <c r="G1190" s="32"/>
      <c r="H1190" s="28" t="str">
        <f aca="false">IF(COUNTA(C1190:G1190)=0,"",IF(AND(C1190="Yes",D1190="Yes",E1190="Yes",F1190="Yes",G1190="No"),"Yes","No"))</f>
        <v/>
      </c>
      <c r="I1190" s="32"/>
      <c r="J1190" s="32"/>
    </row>
    <row r="1191" customFormat="false" ht="15" hidden="false" customHeight="false" outlineLevel="0" collapsed="false">
      <c r="A1191" s="32"/>
      <c r="B1191" s="32"/>
      <c r="C1191" s="32"/>
      <c r="D1191" s="32"/>
      <c r="E1191" s="32"/>
      <c r="F1191" s="32"/>
      <c r="G1191" s="32"/>
      <c r="H1191" s="28" t="str">
        <f aca="false">IF(COUNTA(C1191:G1191)=0,"",IF(AND(C1191="Yes",D1191="Yes",E1191="Yes",F1191="Yes",G1191="No"),"Yes","No"))</f>
        <v/>
      </c>
      <c r="I1191" s="32"/>
      <c r="J1191" s="32"/>
    </row>
    <row r="1192" customFormat="false" ht="15" hidden="false" customHeight="false" outlineLevel="0" collapsed="false">
      <c r="A1192" s="32"/>
      <c r="B1192" s="32"/>
      <c r="C1192" s="32"/>
      <c r="D1192" s="32"/>
      <c r="E1192" s="32"/>
      <c r="F1192" s="32"/>
      <c r="G1192" s="32"/>
      <c r="H1192" s="28" t="str">
        <f aca="false">IF(COUNTA(C1192:G1192)=0,"",IF(AND(C1192="Yes",D1192="Yes",E1192="Yes",F1192="Yes",G1192="No"),"Yes","No"))</f>
        <v/>
      </c>
      <c r="I1192" s="32"/>
      <c r="J1192" s="32"/>
    </row>
    <row r="1193" customFormat="false" ht="15" hidden="false" customHeight="false" outlineLevel="0" collapsed="false">
      <c r="A1193" s="32"/>
      <c r="B1193" s="32"/>
      <c r="C1193" s="32"/>
      <c r="D1193" s="32"/>
      <c r="E1193" s="32"/>
      <c r="F1193" s="32"/>
      <c r="G1193" s="32"/>
      <c r="H1193" s="28" t="str">
        <f aca="false">IF(COUNTA(C1193:G1193)=0,"",IF(AND(C1193="Yes",D1193="Yes",E1193="Yes",F1193="Yes",G1193="No"),"Yes","No"))</f>
        <v/>
      </c>
      <c r="I1193" s="32"/>
      <c r="J1193" s="32"/>
    </row>
    <row r="1194" customFormat="false" ht="15" hidden="false" customHeight="false" outlineLevel="0" collapsed="false">
      <c r="A1194" s="32"/>
      <c r="B1194" s="32"/>
      <c r="C1194" s="32"/>
      <c r="D1194" s="32"/>
      <c r="E1194" s="32"/>
      <c r="F1194" s="32"/>
      <c r="G1194" s="32"/>
      <c r="H1194" s="28" t="str">
        <f aca="false">IF(COUNTA(C1194:G1194)=0,"",IF(AND(C1194="Yes",D1194="Yes",E1194="Yes",F1194="Yes",G1194="No"),"Yes","No"))</f>
        <v/>
      </c>
      <c r="I1194" s="32"/>
      <c r="J1194" s="32"/>
    </row>
    <row r="1195" customFormat="false" ht="15" hidden="false" customHeight="false" outlineLevel="0" collapsed="false">
      <c r="A1195" s="32"/>
      <c r="B1195" s="32"/>
      <c r="C1195" s="32"/>
      <c r="D1195" s="32"/>
      <c r="E1195" s="32"/>
      <c r="F1195" s="32"/>
      <c r="G1195" s="32"/>
      <c r="H1195" s="28" t="str">
        <f aca="false">IF(COUNTA(C1195:G1195)=0,"",IF(AND(C1195="Yes",D1195="Yes",E1195="Yes",F1195="Yes",G1195="No"),"Yes","No"))</f>
        <v/>
      </c>
      <c r="I1195" s="32"/>
      <c r="J1195" s="32"/>
    </row>
    <row r="1196" customFormat="false" ht="15" hidden="false" customHeight="false" outlineLevel="0" collapsed="false">
      <c r="A1196" s="32"/>
      <c r="B1196" s="32"/>
      <c r="C1196" s="32"/>
      <c r="D1196" s="32"/>
      <c r="E1196" s="32"/>
      <c r="F1196" s="32"/>
      <c r="G1196" s="32"/>
      <c r="H1196" s="28" t="str">
        <f aca="false">IF(COUNTA(C1196:G1196)=0,"",IF(AND(C1196="Yes",D1196="Yes",E1196="Yes",F1196="Yes",G1196="No"),"Yes","No"))</f>
        <v/>
      </c>
      <c r="I1196" s="32"/>
      <c r="J1196" s="32"/>
    </row>
    <row r="1197" customFormat="false" ht="15" hidden="false" customHeight="false" outlineLevel="0" collapsed="false">
      <c r="A1197" s="32"/>
      <c r="B1197" s="32"/>
      <c r="C1197" s="32"/>
      <c r="D1197" s="32"/>
      <c r="E1197" s="32"/>
      <c r="F1197" s="32"/>
      <c r="G1197" s="32"/>
      <c r="H1197" s="28" t="str">
        <f aca="false">IF(COUNTA(C1197:G1197)=0,"",IF(AND(C1197="Yes",D1197="Yes",E1197="Yes",F1197="Yes",G1197="No"),"Yes","No"))</f>
        <v/>
      </c>
      <c r="I1197" s="32"/>
      <c r="J1197" s="32"/>
    </row>
    <row r="1198" customFormat="false" ht="15" hidden="false" customHeight="false" outlineLevel="0" collapsed="false">
      <c r="A1198" s="32"/>
      <c r="B1198" s="32"/>
      <c r="C1198" s="32"/>
      <c r="D1198" s="32"/>
      <c r="E1198" s="32"/>
      <c r="F1198" s="32"/>
      <c r="G1198" s="32"/>
      <c r="H1198" s="28" t="str">
        <f aca="false">IF(COUNTA(C1198:G1198)=0,"",IF(AND(C1198="Yes",D1198="Yes",E1198="Yes",F1198="Yes",G1198="No"),"Yes","No"))</f>
        <v/>
      </c>
      <c r="I1198" s="32"/>
      <c r="J1198" s="32"/>
    </row>
    <row r="1199" customFormat="false" ht="15" hidden="false" customHeight="false" outlineLevel="0" collapsed="false">
      <c r="A1199" s="32"/>
      <c r="B1199" s="32"/>
      <c r="C1199" s="32"/>
      <c r="D1199" s="32"/>
      <c r="E1199" s="32"/>
      <c r="F1199" s="32"/>
      <c r="G1199" s="32"/>
      <c r="H1199" s="28" t="str">
        <f aca="false">IF(COUNTA(C1199:G1199)=0,"",IF(AND(C1199="Yes",D1199="Yes",E1199="Yes",F1199="Yes",G1199="No"),"Yes","No"))</f>
        <v/>
      </c>
      <c r="I1199" s="32"/>
      <c r="J1199" s="32"/>
    </row>
    <row r="1200" customFormat="false" ht="15" hidden="false" customHeight="false" outlineLevel="0" collapsed="false">
      <c r="A1200" s="32"/>
      <c r="B1200" s="32"/>
      <c r="C1200" s="32"/>
      <c r="D1200" s="32"/>
      <c r="E1200" s="32"/>
      <c r="F1200" s="32"/>
      <c r="G1200" s="32"/>
      <c r="H1200" s="28" t="str">
        <f aca="false">IF(COUNTA(C1200:G1200)=0,"",IF(AND(C1200="Yes",D1200="Yes",E1200="Yes",F1200="Yes",G1200="No"),"Yes","No"))</f>
        <v/>
      </c>
      <c r="I1200" s="32"/>
      <c r="J1200" s="32"/>
    </row>
    <row r="1201" customFormat="false" ht="15" hidden="false" customHeight="false" outlineLevel="0" collapsed="false">
      <c r="A1201" s="32"/>
      <c r="B1201" s="32"/>
      <c r="C1201" s="32"/>
      <c r="D1201" s="32"/>
      <c r="E1201" s="32"/>
      <c r="F1201" s="32"/>
      <c r="G1201" s="32"/>
      <c r="H1201" s="28" t="str">
        <f aca="false">IF(COUNTA(C1201:G1201)=0,"",IF(AND(C1201="Yes",D1201="Yes",E1201="Yes",F1201="Yes",G1201="No"),"Yes","No"))</f>
        <v/>
      </c>
      <c r="I1201" s="32"/>
      <c r="J1201" s="32"/>
    </row>
    <row r="1202" customFormat="false" ht="15" hidden="false" customHeight="false" outlineLevel="0" collapsed="false">
      <c r="A1202" s="32"/>
      <c r="B1202" s="32"/>
      <c r="C1202" s="32"/>
      <c r="D1202" s="32"/>
      <c r="E1202" s="32"/>
      <c r="F1202" s="32"/>
      <c r="G1202" s="32"/>
      <c r="H1202" s="28" t="str">
        <f aca="false">IF(COUNTA(C1202:G1202)=0,"",IF(AND(C1202="Yes",D1202="Yes",E1202="Yes",F1202="Yes",G1202="No"),"Yes","No"))</f>
        <v/>
      </c>
      <c r="I1202" s="32"/>
      <c r="J1202" s="32"/>
    </row>
    <row r="1203" customFormat="false" ht="15" hidden="false" customHeight="false" outlineLevel="0" collapsed="false">
      <c r="A1203" s="32"/>
      <c r="B1203" s="32"/>
      <c r="C1203" s="32"/>
      <c r="D1203" s="32"/>
      <c r="E1203" s="32"/>
      <c r="F1203" s="32"/>
      <c r="G1203" s="32"/>
      <c r="H1203" s="28" t="str">
        <f aca="false">IF(COUNTA(C1203:G1203)=0,"",IF(AND(C1203="Yes",D1203="Yes",E1203="Yes",F1203="Yes",G1203="No"),"Yes","No"))</f>
        <v/>
      </c>
      <c r="I1203" s="32"/>
      <c r="J1203" s="32"/>
    </row>
    <row r="1204" customFormat="false" ht="15" hidden="false" customHeight="false" outlineLevel="0" collapsed="false">
      <c r="A1204" s="32"/>
      <c r="B1204" s="32"/>
      <c r="C1204" s="32"/>
      <c r="D1204" s="32"/>
      <c r="E1204" s="32"/>
      <c r="F1204" s="32"/>
      <c r="G1204" s="32"/>
      <c r="H1204" s="28" t="str">
        <f aca="false">IF(COUNTA(C1204:G1204)=0,"",IF(AND(C1204="Yes",D1204="Yes",E1204="Yes",F1204="Yes",G1204="No"),"Yes","No"))</f>
        <v/>
      </c>
      <c r="I1204" s="32"/>
      <c r="J1204" s="32"/>
    </row>
    <row r="1205" customFormat="false" ht="15" hidden="false" customHeight="false" outlineLevel="0" collapsed="false">
      <c r="A1205" s="32"/>
      <c r="B1205" s="32"/>
      <c r="C1205" s="32"/>
      <c r="D1205" s="32"/>
      <c r="E1205" s="32"/>
      <c r="F1205" s="32"/>
      <c r="G1205" s="32"/>
      <c r="H1205" s="28" t="str">
        <f aca="false">IF(COUNTA(C1205:G1205)=0,"",IF(AND(C1205="Yes",D1205="Yes",E1205="Yes",F1205="Yes",G1205="No"),"Yes","No"))</f>
        <v/>
      </c>
      <c r="I1205" s="32"/>
      <c r="J1205" s="32"/>
    </row>
    <row r="1206" customFormat="false" ht="15" hidden="false" customHeight="false" outlineLevel="0" collapsed="false">
      <c r="A1206" s="32"/>
      <c r="B1206" s="32"/>
      <c r="C1206" s="32"/>
      <c r="D1206" s="32"/>
      <c r="E1206" s="32"/>
      <c r="F1206" s="32"/>
      <c r="G1206" s="32"/>
      <c r="H1206" s="28" t="str">
        <f aca="false">IF(COUNTA(C1206:G1206)=0,"",IF(AND(C1206="Yes",D1206="Yes",E1206="Yes",F1206="Yes",G1206="No"),"Yes","No"))</f>
        <v/>
      </c>
      <c r="I1206" s="32"/>
      <c r="J1206" s="32"/>
    </row>
    <row r="1207" customFormat="false" ht="15" hidden="false" customHeight="false" outlineLevel="0" collapsed="false">
      <c r="A1207" s="32"/>
      <c r="B1207" s="32"/>
      <c r="C1207" s="32"/>
      <c r="D1207" s="32"/>
      <c r="E1207" s="32"/>
      <c r="F1207" s="32"/>
      <c r="G1207" s="32"/>
      <c r="H1207" s="28" t="str">
        <f aca="false">IF(COUNTA(C1207:G1207)=0,"",IF(AND(C1207="Yes",D1207="Yes",E1207="Yes",F1207="Yes",G1207="No"),"Yes","No"))</f>
        <v/>
      </c>
      <c r="I1207" s="32"/>
      <c r="J1207" s="32"/>
    </row>
    <row r="1208" customFormat="false" ht="15" hidden="false" customHeight="false" outlineLevel="0" collapsed="false">
      <c r="A1208" s="32"/>
      <c r="B1208" s="32"/>
      <c r="C1208" s="32"/>
      <c r="D1208" s="32"/>
      <c r="E1208" s="32"/>
      <c r="F1208" s="32"/>
      <c r="G1208" s="32"/>
      <c r="H1208" s="28" t="str">
        <f aca="false">IF(COUNTA(C1208:G1208)=0,"",IF(AND(C1208="Yes",D1208="Yes",E1208="Yes",F1208="Yes",G1208="No"),"Yes","No"))</f>
        <v/>
      </c>
      <c r="I1208" s="32"/>
      <c r="J1208" s="32"/>
    </row>
    <row r="1209" customFormat="false" ht="15" hidden="false" customHeight="false" outlineLevel="0" collapsed="false">
      <c r="A1209" s="32"/>
      <c r="B1209" s="32"/>
      <c r="C1209" s="32"/>
      <c r="D1209" s="32"/>
      <c r="E1209" s="32"/>
      <c r="F1209" s="32"/>
      <c r="G1209" s="32"/>
      <c r="H1209" s="28" t="str">
        <f aca="false">IF(COUNTA(C1209:G1209)=0,"",IF(AND(C1209="Yes",D1209="Yes",E1209="Yes",F1209="Yes",G1209="No"),"Yes","No"))</f>
        <v/>
      </c>
      <c r="I1209" s="32"/>
      <c r="J1209" s="32"/>
    </row>
    <row r="1210" customFormat="false" ht="15" hidden="false" customHeight="false" outlineLevel="0" collapsed="false">
      <c r="A1210" s="32"/>
      <c r="B1210" s="32"/>
      <c r="C1210" s="32"/>
      <c r="D1210" s="32"/>
      <c r="E1210" s="32"/>
      <c r="F1210" s="32"/>
      <c r="G1210" s="32"/>
      <c r="H1210" s="28" t="str">
        <f aca="false">IF(COUNTA(C1210:G1210)=0,"",IF(AND(C1210="Yes",D1210="Yes",E1210="Yes",F1210="Yes",G1210="No"),"Yes","No"))</f>
        <v/>
      </c>
      <c r="I1210" s="32"/>
      <c r="J1210" s="32"/>
    </row>
    <row r="1211" customFormat="false" ht="15" hidden="false" customHeight="false" outlineLevel="0" collapsed="false">
      <c r="A1211" s="32"/>
      <c r="B1211" s="32"/>
      <c r="C1211" s="32"/>
      <c r="D1211" s="32"/>
      <c r="E1211" s="32"/>
      <c r="F1211" s="32"/>
      <c r="G1211" s="32"/>
      <c r="H1211" s="28" t="str">
        <f aca="false">IF(COUNTA(C1211:G1211)=0,"",IF(AND(C1211="Yes",D1211="Yes",E1211="Yes",F1211="Yes",G1211="No"),"Yes","No"))</f>
        <v/>
      </c>
      <c r="I1211" s="32"/>
      <c r="J1211" s="32"/>
    </row>
    <row r="1212" customFormat="false" ht="15" hidden="false" customHeight="false" outlineLevel="0" collapsed="false">
      <c r="A1212" s="32"/>
      <c r="B1212" s="32"/>
      <c r="C1212" s="32"/>
      <c r="D1212" s="32"/>
      <c r="E1212" s="32"/>
      <c r="F1212" s="32"/>
      <c r="G1212" s="32"/>
      <c r="H1212" s="28" t="str">
        <f aca="false">IF(COUNTA(C1212:G1212)=0,"",IF(AND(C1212="Yes",D1212="Yes",E1212="Yes",F1212="Yes",G1212="No"),"Yes","No"))</f>
        <v/>
      </c>
      <c r="I1212" s="32"/>
      <c r="J1212" s="32"/>
    </row>
    <row r="1213" customFormat="false" ht="15" hidden="false" customHeight="false" outlineLevel="0" collapsed="false">
      <c r="A1213" s="32"/>
      <c r="B1213" s="32"/>
      <c r="C1213" s="32"/>
      <c r="D1213" s="32"/>
      <c r="E1213" s="32"/>
      <c r="F1213" s="32"/>
      <c r="G1213" s="32"/>
      <c r="H1213" s="28" t="str">
        <f aca="false">IF(COUNTA(C1213:G1213)=0,"",IF(AND(C1213="Yes",D1213="Yes",E1213="Yes",F1213="Yes",G1213="No"),"Yes","No"))</f>
        <v/>
      </c>
      <c r="I1213" s="32"/>
      <c r="J1213" s="32"/>
    </row>
    <row r="1214" customFormat="false" ht="15" hidden="false" customHeight="false" outlineLevel="0" collapsed="false">
      <c r="A1214" s="32"/>
      <c r="B1214" s="32"/>
      <c r="C1214" s="32"/>
      <c r="D1214" s="32"/>
      <c r="E1214" s="32"/>
      <c r="F1214" s="32"/>
      <c r="G1214" s="32"/>
      <c r="H1214" s="28" t="str">
        <f aca="false">IF(COUNTA(C1214:G1214)=0,"",IF(AND(C1214="Yes",D1214="Yes",E1214="Yes",F1214="Yes",G1214="No"),"Yes","No"))</f>
        <v/>
      </c>
      <c r="I1214" s="32"/>
      <c r="J1214" s="32"/>
    </row>
    <row r="1215" customFormat="false" ht="15" hidden="false" customHeight="false" outlineLevel="0" collapsed="false">
      <c r="A1215" s="32"/>
      <c r="B1215" s="32"/>
      <c r="C1215" s="32"/>
      <c r="D1215" s="32"/>
      <c r="E1215" s="32"/>
      <c r="F1215" s="32"/>
      <c r="G1215" s="32"/>
      <c r="H1215" s="28" t="str">
        <f aca="false">IF(COUNTA(C1215:G1215)=0,"",IF(AND(C1215="Yes",D1215="Yes",E1215="Yes",F1215="Yes",G1215="No"),"Yes","No"))</f>
        <v/>
      </c>
      <c r="I1215" s="32"/>
      <c r="J1215" s="32"/>
    </row>
    <row r="1216" customFormat="false" ht="15" hidden="false" customHeight="false" outlineLevel="0" collapsed="false">
      <c r="A1216" s="32"/>
      <c r="B1216" s="32"/>
      <c r="C1216" s="32"/>
      <c r="D1216" s="32"/>
      <c r="E1216" s="32"/>
      <c r="F1216" s="32"/>
      <c r="G1216" s="32"/>
      <c r="H1216" s="28" t="str">
        <f aca="false">IF(COUNTA(C1216:G1216)=0,"",IF(AND(C1216="Yes",D1216="Yes",E1216="Yes",F1216="Yes",G1216="No"),"Yes","No"))</f>
        <v/>
      </c>
      <c r="I1216" s="32"/>
      <c r="J1216" s="32"/>
    </row>
    <row r="1217" customFormat="false" ht="15" hidden="false" customHeight="false" outlineLevel="0" collapsed="false">
      <c r="A1217" s="32"/>
      <c r="B1217" s="32"/>
      <c r="C1217" s="32"/>
      <c r="D1217" s="32"/>
      <c r="E1217" s="32"/>
      <c r="F1217" s="32"/>
      <c r="G1217" s="32"/>
      <c r="H1217" s="28" t="str">
        <f aca="false">IF(COUNTA(C1217:G1217)=0,"",IF(AND(C1217="Yes",D1217="Yes",E1217="Yes",F1217="Yes",G1217="No"),"Yes","No"))</f>
        <v/>
      </c>
      <c r="I1217" s="32"/>
      <c r="J1217" s="32"/>
    </row>
    <row r="1218" customFormat="false" ht="15" hidden="false" customHeight="false" outlineLevel="0" collapsed="false">
      <c r="A1218" s="32"/>
      <c r="B1218" s="32"/>
      <c r="C1218" s="32"/>
      <c r="D1218" s="32"/>
      <c r="E1218" s="32"/>
      <c r="F1218" s="32"/>
      <c r="G1218" s="32"/>
      <c r="H1218" s="28" t="str">
        <f aca="false">IF(COUNTA(C1218:G1218)=0,"",IF(AND(C1218="Yes",D1218="Yes",E1218="Yes",F1218="Yes",G1218="No"),"Yes","No"))</f>
        <v/>
      </c>
      <c r="I1218" s="32"/>
      <c r="J1218" s="32"/>
    </row>
    <row r="1219" customFormat="false" ht="15" hidden="false" customHeight="false" outlineLevel="0" collapsed="false">
      <c r="A1219" s="32"/>
      <c r="B1219" s="32"/>
      <c r="C1219" s="32"/>
      <c r="D1219" s="32"/>
      <c r="E1219" s="32"/>
      <c r="F1219" s="32"/>
      <c r="G1219" s="32"/>
      <c r="H1219" s="28" t="str">
        <f aca="false">IF(COUNTA(C1219:G1219)=0,"",IF(AND(C1219="Yes",D1219="Yes",E1219="Yes",F1219="Yes",G1219="No"),"Yes","No"))</f>
        <v/>
      </c>
      <c r="I1219" s="32"/>
      <c r="J1219" s="32"/>
    </row>
    <row r="1220" customFormat="false" ht="15" hidden="false" customHeight="false" outlineLevel="0" collapsed="false">
      <c r="A1220" s="32"/>
      <c r="B1220" s="32"/>
      <c r="C1220" s="32"/>
      <c r="D1220" s="32"/>
      <c r="E1220" s="32"/>
      <c r="F1220" s="32"/>
      <c r="G1220" s="32"/>
      <c r="H1220" s="28" t="str">
        <f aca="false">IF(COUNTA(C1220:G1220)=0,"",IF(AND(C1220="Yes",D1220="Yes",E1220="Yes",F1220="Yes",G1220="No"),"Yes","No"))</f>
        <v/>
      </c>
      <c r="I1220" s="32"/>
      <c r="J1220" s="32"/>
    </row>
    <row r="1221" customFormat="false" ht="15" hidden="false" customHeight="false" outlineLevel="0" collapsed="false">
      <c r="A1221" s="32"/>
      <c r="B1221" s="32"/>
      <c r="C1221" s="32"/>
      <c r="D1221" s="32"/>
      <c r="E1221" s="32"/>
      <c r="F1221" s="32"/>
      <c r="G1221" s="32"/>
      <c r="H1221" s="28" t="str">
        <f aca="false">IF(COUNTA(C1221:G1221)=0,"",IF(AND(C1221="Yes",D1221="Yes",E1221="Yes",F1221="Yes",G1221="No"),"Yes","No"))</f>
        <v/>
      </c>
      <c r="I1221" s="32"/>
      <c r="J1221" s="32"/>
    </row>
    <row r="1222" customFormat="false" ht="15" hidden="false" customHeight="false" outlineLevel="0" collapsed="false">
      <c r="A1222" s="32"/>
      <c r="B1222" s="32"/>
      <c r="C1222" s="32"/>
      <c r="D1222" s="32"/>
      <c r="E1222" s="32"/>
      <c r="F1222" s="32"/>
      <c r="G1222" s="32"/>
      <c r="H1222" s="28" t="str">
        <f aca="false">IF(COUNTA(C1222:G1222)=0,"",IF(AND(C1222="Yes",D1222="Yes",E1222="Yes",F1222="Yes",G1222="No"),"Yes","No"))</f>
        <v/>
      </c>
      <c r="I1222" s="32"/>
      <c r="J1222" s="32"/>
    </row>
    <row r="1223" customFormat="false" ht="15" hidden="false" customHeight="false" outlineLevel="0" collapsed="false">
      <c r="A1223" s="32"/>
      <c r="B1223" s="32"/>
      <c r="C1223" s="32"/>
      <c r="D1223" s="32"/>
      <c r="E1223" s="32"/>
      <c r="F1223" s="32"/>
      <c r="G1223" s="32"/>
      <c r="H1223" s="28" t="str">
        <f aca="false">IF(COUNTA(C1223:G1223)=0,"",IF(AND(C1223="Yes",D1223="Yes",E1223="Yes",F1223="Yes",G1223="No"),"Yes","No"))</f>
        <v/>
      </c>
      <c r="I1223" s="32"/>
      <c r="J1223" s="32"/>
    </row>
    <row r="1224" customFormat="false" ht="15" hidden="false" customHeight="false" outlineLevel="0" collapsed="false">
      <c r="A1224" s="32"/>
      <c r="B1224" s="32"/>
      <c r="C1224" s="32"/>
      <c r="D1224" s="32"/>
      <c r="E1224" s="32"/>
      <c r="F1224" s="32"/>
      <c r="G1224" s="32"/>
      <c r="H1224" s="28" t="str">
        <f aca="false">IF(COUNTA(C1224:G1224)=0,"",IF(AND(C1224="Yes",D1224="Yes",E1224="Yes",F1224="Yes",G1224="No"),"Yes","No"))</f>
        <v/>
      </c>
      <c r="I1224" s="32"/>
      <c r="J1224" s="32"/>
    </row>
    <row r="1225" customFormat="false" ht="15" hidden="false" customHeight="false" outlineLevel="0" collapsed="false">
      <c r="A1225" s="32"/>
      <c r="B1225" s="32"/>
      <c r="C1225" s="32"/>
      <c r="D1225" s="32"/>
      <c r="E1225" s="32"/>
      <c r="F1225" s="32"/>
      <c r="G1225" s="32"/>
      <c r="H1225" s="28" t="str">
        <f aca="false">IF(COUNTA(C1225:G1225)=0,"",IF(AND(C1225="Yes",D1225="Yes",E1225="Yes",F1225="Yes",G1225="No"),"Yes","No"))</f>
        <v/>
      </c>
      <c r="I1225" s="32"/>
      <c r="J1225" s="32"/>
    </row>
    <row r="1226" customFormat="false" ht="15" hidden="false" customHeight="false" outlineLevel="0" collapsed="false">
      <c r="A1226" s="32"/>
      <c r="B1226" s="32"/>
      <c r="C1226" s="32"/>
      <c r="D1226" s="32"/>
      <c r="E1226" s="32"/>
      <c r="F1226" s="32"/>
      <c r="G1226" s="32"/>
      <c r="H1226" s="28" t="str">
        <f aca="false">IF(COUNTA(C1226:G1226)=0,"",IF(AND(C1226="Yes",D1226="Yes",E1226="Yes",F1226="Yes",G1226="No"),"Yes","No"))</f>
        <v/>
      </c>
      <c r="I1226" s="32"/>
      <c r="J1226" s="32"/>
    </row>
    <row r="1227" customFormat="false" ht="15" hidden="false" customHeight="false" outlineLevel="0" collapsed="false">
      <c r="A1227" s="32"/>
      <c r="B1227" s="32"/>
      <c r="C1227" s="32"/>
      <c r="D1227" s="32"/>
      <c r="E1227" s="32"/>
      <c r="F1227" s="32"/>
      <c r="G1227" s="32"/>
      <c r="H1227" s="28" t="str">
        <f aca="false">IF(COUNTA(C1227:G1227)=0,"",IF(AND(C1227="Yes",D1227="Yes",E1227="Yes",F1227="Yes",G1227="No"),"Yes","No"))</f>
        <v/>
      </c>
      <c r="I1227" s="32"/>
      <c r="J1227" s="32"/>
    </row>
    <row r="1228" customFormat="false" ht="15" hidden="false" customHeight="false" outlineLevel="0" collapsed="false">
      <c r="A1228" s="32"/>
      <c r="B1228" s="32"/>
      <c r="C1228" s="32"/>
      <c r="D1228" s="32"/>
      <c r="E1228" s="32"/>
      <c r="F1228" s="32"/>
      <c r="G1228" s="32"/>
      <c r="H1228" s="28" t="str">
        <f aca="false">IF(COUNTA(C1228:G1228)=0,"",IF(AND(C1228="Yes",D1228="Yes",E1228="Yes",F1228="Yes",G1228="No"),"Yes","No"))</f>
        <v/>
      </c>
      <c r="I1228" s="32"/>
      <c r="J1228" s="32"/>
    </row>
    <row r="1229" customFormat="false" ht="15" hidden="false" customHeight="false" outlineLevel="0" collapsed="false">
      <c r="A1229" s="32"/>
      <c r="B1229" s="32"/>
      <c r="C1229" s="32"/>
      <c r="D1229" s="32"/>
      <c r="E1229" s="32"/>
      <c r="F1229" s="32"/>
      <c r="G1229" s="32"/>
      <c r="H1229" s="28" t="str">
        <f aca="false">IF(COUNTA(C1229:G1229)=0,"",IF(AND(C1229="Yes",D1229="Yes",E1229="Yes",F1229="Yes",G1229="No"),"Yes","No"))</f>
        <v/>
      </c>
      <c r="I1229" s="32"/>
      <c r="J1229" s="32"/>
    </row>
    <row r="1230" customFormat="false" ht="15" hidden="false" customHeight="false" outlineLevel="0" collapsed="false">
      <c r="A1230" s="32"/>
      <c r="B1230" s="32"/>
      <c r="C1230" s="32"/>
      <c r="D1230" s="32"/>
      <c r="E1230" s="32"/>
      <c r="F1230" s="32"/>
      <c r="G1230" s="32"/>
      <c r="H1230" s="28" t="str">
        <f aca="false">IF(COUNTA(C1230:G1230)=0,"",IF(AND(C1230="Yes",D1230="Yes",E1230="Yes",F1230="Yes",G1230="No"),"Yes","No"))</f>
        <v/>
      </c>
      <c r="I1230" s="32"/>
      <c r="J1230" s="32"/>
    </row>
    <row r="1231" customFormat="false" ht="15" hidden="false" customHeight="false" outlineLevel="0" collapsed="false">
      <c r="A1231" s="32"/>
      <c r="B1231" s="32"/>
      <c r="C1231" s="32"/>
      <c r="D1231" s="32"/>
      <c r="E1231" s="32"/>
      <c r="F1231" s="32"/>
      <c r="G1231" s="32"/>
      <c r="H1231" s="28" t="str">
        <f aca="false">IF(COUNTA(C1231:G1231)=0,"",IF(AND(C1231="Yes",D1231="Yes",E1231="Yes",F1231="Yes",G1231="No"),"Yes","No"))</f>
        <v/>
      </c>
      <c r="I1231" s="32"/>
      <c r="J1231" s="32"/>
    </row>
    <row r="1232" customFormat="false" ht="15" hidden="false" customHeight="false" outlineLevel="0" collapsed="false">
      <c r="A1232" s="32"/>
      <c r="B1232" s="32"/>
      <c r="C1232" s="32"/>
      <c r="D1232" s="32"/>
      <c r="E1232" s="32"/>
      <c r="F1232" s="32"/>
      <c r="G1232" s="32"/>
      <c r="H1232" s="28" t="str">
        <f aca="false">IF(COUNTA(C1232:G1232)=0,"",IF(AND(C1232="Yes",D1232="Yes",E1232="Yes",F1232="Yes",G1232="No"),"Yes","No"))</f>
        <v/>
      </c>
      <c r="I1232" s="32"/>
      <c r="J1232" s="32"/>
    </row>
    <row r="1233" customFormat="false" ht="15" hidden="false" customHeight="false" outlineLevel="0" collapsed="false">
      <c r="A1233" s="32"/>
      <c r="B1233" s="32"/>
      <c r="C1233" s="32"/>
      <c r="D1233" s="32"/>
      <c r="E1233" s="32"/>
      <c r="F1233" s="32"/>
      <c r="G1233" s="32"/>
      <c r="H1233" s="28" t="str">
        <f aca="false">IF(COUNTA(C1233:G1233)=0,"",IF(AND(C1233="Yes",D1233="Yes",E1233="Yes",F1233="Yes",G1233="No"),"Yes","No"))</f>
        <v/>
      </c>
      <c r="I1233" s="32"/>
      <c r="J1233" s="32"/>
    </row>
    <row r="1234" customFormat="false" ht="15" hidden="false" customHeight="false" outlineLevel="0" collapsed="false">
      <c r="A1234" s="32"/>
      <c r="B1234" s="32"/>
      <c r="C1234" s="32"/>
      <c r="D1234" s="32"/>
      <c r="E1234" s="32"/>
      <c r="F1234" s="32"/>
      <c r="G1234" s="32"/>
      <c r="H1234" s="28" t="str">
        <f aca="false">IF(COUNTA(C1234:G1234)=0,"",IF(AND(C1234="Yes",D1234="Yes",E1234="Yes",F1234="Yes",G1234="No"),"Yes","No"))</f>
        <v/>
      </c>
      <c r="I1234" s="32"/>
      <c r="J1234" s="32"/>
    </row>
    <row r="1235" customFormat="false" ht="15" hidden="false" customHeight="false" outlineLevel="0" collapsed="false">
      <c r="A1235" s="32"/>
      <c r="B1235" s="32"/>
      <c r="C1235" s="32"/>
      <c r="D1235" s="32"/>
      <c r="E1235" s="32"/>
      <c r="F1235" s="32"/>
      <c r="G1235" s="32"/>
      <c r="H1235" s="28" t="str">
        <f aca="false">IF(COUNTA(C1235:G1235)=0,"",IF(AND(C1235="Yes",D1235="Yes",E1235="Yes",F1235="Yes",G1235="No"),"Yes","No"))</f>
        <v/>
      </c>
      <c r="I1235" s="32"/>
      <c r="J1235" s="32"/>
    </row>
    <row r="1236" customFormat="false" ht="15" hidden="false" customHeight="false" outlineLevel="0" collapsed="false">
      <c r="A1236" s="32"/>
      <c r="B1236" s="32"/>
      <c r="C1236" s="32"/>
      <c r="D1236" s="32"/>
      <c r="E1236" s="32"/>
      <c r="F1236" s="32"/>
      <c r="G1236" s="32"/>
      <c r="H1236" s="28" t="str">
        <f aca="false">IF(COUNTA(C1236:G1236)=0,"",IF(AND(C1236="Yes",D1236="Yes",E1236="Yes",F1236="Yes",G1236="No"),"Yes","No"))</f>
        <v/>
      </c>
      <c r="I1236" s="32"/>
      <c r="J1236" s="32"/>
    </row>
    <row r="1237" customFormat="false" ht="15" hidden="false" customHeight="false" outlineLevel="0" collapsed="false">
      <c r="A1237" s="32"/>
      <c r="B1237" s="32"/>
      <c r="C1237" s="32"/>
      <c r="D1237" s="32"/>
      <c r="E1237" s="32"/>
      <c r="F1237" s="32"/>
      <c r="G1237" s="32"/>
      <c r="H1237" s="28" t="str">
        <f aca="false">IF(COUNTA(C1237:G1237)=0,"",IF(AND(C1237="Yes",D1237="Yes",E1237="Yes",F1237="Yes",G1237="No"),"Yes","No"))</f>
        <v/>
      </c>
      <c r="I1237" s="32"/>
      <c r="J1237" s="32"/>
    </row>
    <row r="1238" customFormat="false" ht="15" hidden="false" customHeight="false" outlineLevel="0" collapsed="false">
      <c r="A1238" s="32"/>
      <c r="B1238" s="32"/>
      <c r="C1238" s="32"/>
      <c r="D1238" s="32"/>
      <c r="E1238" s="32"/>
      <c r="F1238" s="32"/>
      <c r="G1238" s="32"/>
      <c r="H1238" s="28" t="str">
        <f aca="false">IF(COUNTA(C1238:G1238)=0,"",IF(AND(C1238="Yes",D1238="Yes",E1238="Yes",F1238="Yes",G1238="No"),"Yes","No"))</f>
        <v/>
      </c>
      <c r="I1238" s="32"/>
      <c r="J1238" s="32"/>
    </row>
    <row r="1239" customFormat="false" ht="15" hidden="false" customHeight="false" outlineLevel="0" collapsed="false">
      <c r="A1239" s="32"/>
      <c r="B1239" s="32"/>
      <c r="C1239" s="32"/>
      <c r="D1239" s="32"/>
      <c r="E1239" s="32"/>
      <c r="F1239" s="32"/>
      <c r="G1239" s="32"/>
      <c r="H1239" s="28" t="str">
        <f aca="false">IF(COUNTA(C1239:G1239)=0,"",IF(AND(C1239="Yes",D1239="Yes",E1239="Yes",F1239="Yes",G1239="No"),"Yes","No"))</f>
        <v/>
      </c>
      <c r="I1239" s="32"/>
      <c r="J1239" s="32"/>
    </row>
    <row r="1240" customFormat="false" ht="15" hidden="false" customHeight="false" outlineLevel="0" collapsed="false">
      <c r="A1240" s="32"/>
      <c r="B1240" s="32"/>
      <c r="C1240" s="32"/>
      <c r="D1240" s="32"/>
      <c r="E1240" s="32"/>
      <c r="F1240" s="32"/>
      <c r="G1240" s="32"/>
      <c r="H1240" s="28" t="str">
        <f aca="false">IF(COUNTA(C1240:G1240)=0,"",IF(AND(C1240="Yes",D1240="Yes",E1240="Yes",F1240="Yes",G1240="No"),"Yes","No"))</f>
        <v/>
      </c>
      <c r="I1240" s="32"/>
      <c r="J1240" s="32"/>
    </row>
    <row r="1241" customFormat="false" ht="15" hidden="false" customHeight="false" outlineLevel="0" collapsed="false">
      <c r="A1241" s="32"/>
      <c r="B1241" s="32"/>
      <c r="C1241" s="32"/>
      <c r="D1241" s="32"/>
      <c r="E1241" s="32"/>
      <c r="F1241" s="32"/>
      <c r="G1241" s="32"/>
      <c r="H1241" s="28" t="str">
        <f aca="false">IF(COUNTA(C1241:G1241)=0,"",IF(AND(C1241="Yes",D1241="Yes",E1241="Yes",F1241="Yes",G1241="No"),"Yes","No"))</f>
        <v/>
      </c>
      <c r="I1241" s="32"/>
      <c r="J1241" s="32"/>
    </row>
    <row r="1242" customFormat="false" ht="15" hidden="false" customHeight="false" outlineLevel="0" collapsed="false">
      <c r="A1242" s="32"/>
      <c r="B1242" s="32"/>
      <c r="C1242" s="32"/>
      <c r="D1242" s="32"/>
      <c r="E1242" s="32"/>
      <c r="F1242" s="32"/>
      <c r="G1242" s="32"/>
      <c r="H1242" s="28" t="str">
        <f aca="false">IF(COUNTA(C1242:G1242)=0,"",IF(AND(C1242="Yes",D1242="Yes",E1242="Yes",F1242="Yes",G1242="No"),"Yes","No"))</f>
        <v/>
      </c>
      <c r="I1242" s="32"/>
      <c r="J1242" s="32"/>
    </row>
    <row r="1243" customFormat="false" ht="15" hidden="false" customHeight="false" outlineLevel="0" collapsed="false">
      <c r="A1243" s="32"/>
      <c r="B1243" s="32"/>
      <c r="C1243" s="32"/>
      <c r="D1243" s="32"/>
      <c r="E1243" s="32"/>
      <c r="F1243" s="32"/>
      <c r="G1243" s="32"/>
      <c r="H1243" s="28" t="str">
        <f aca="false">IF(COUNTA(C1243:G1243)=0,"",IF(AND(C1243="Yes",D1243="Yes",E1243="Yes",F1243="Yes",G1243="No"),"Yes","No"))</f>
        <v/>
      </c>
      <c r="I1243" s="32"/>
      <c r="J1243" s="32"/>
    </row>
    <row r="1244" customFormat="false" ht="15" hidden="false" customHeight="false" outlineLevel="0" collapsed="false">
      <c r="A1244" s="32"/>
      <c r="B1244" s="32"/>
      <c r="C1244" s="32"/>
      <c r="D1244" s="32"/>
      <c r="E1244" s="32"/>
      <c r="F1244" s="32"/>
      <c r="G1244" s="32"/>
      <c r="H1244" s="28" t="str">
        <f aca="false">IF(COUNTA(C1244:G1244)=0,"",IF(AND(C1244="Yes",D1244="Yes",E1244="Yes",F1244="Yes",G1244="No"),"Yes","No"))</f>
        <v/>
      </c>
      <c r="I1244" s="32"/>
      <c r="J1244" s="32"/>
    </row>
    <row r="1245" customFormat="false" ht="15" hidden="false" customHeight="false" outlineLevel="0" collapsed="false">
      <c r="A1245" s="32"/>
      <c r="B1245" s="32"/>
      <c r="C1245" s="32"/>
      <c r="D1245" s="32"/>
      <c r="E1245" s="32"/>
      <c r="F1245" s="32"/>
      <c r="G1245" s="32"/>
      <c r="H1245" s="28" t="str">
        <f aca="false">IF(COUNTA(C1245:G1245)=0,"",IF(AND(C1245="Yes",D1245="Yes",E1245="Yes",F1245="Yes",G1245="No"),"Yes","No"))</f>
        <v/>
      </c>
      <c r="I1245" s="32"/>
      <c r="J1245" s="32"/>
    </row>
    <row r="1246" customFormat="false" ht="15" hidden="false" customHeight="false" outlineLevel="0" collapsed="false">
      <c r="A1246" s="32"/>
      <c r="B1246" s="32"/>
      <c r="C1246" s="32"/>
      <c r="D1246" s="32"/>
      <c r="E1246" s="32"/>
      <c r="F1246" s="32"/>
      <c r="G1246" s="32"/>
      <c r="H1246" s="28" t="str">
        <f aca="false">IF(COUNTA(C1246:G1246)=0,"",IF(AND(C1246="Yes",D1246="Yes",E1246="Yes",F1246="Yes",G1246="No"),"Yes","No"))</f>
        <v/>
      </c>
      <c r="I1246" s="32"/>
      <c r="J1246" s="32"/>
    </row>
    <row r="1247" customFormat="false" ht="15" hidden="false" customHeight="false" outlineLevel="0" collapsed="false">
      <c r="A1247" s="32"/>
      <c r="B1247" s="32"/>
      <c r="C1247" s="32"/>
      <c r="D1247" s="32"/>
      <c r="E1247" s="32"/>
      <c r="F1247" s="32"/>
      <c r="G1247" s="32"/>
      <c r="H1247" s="28" t="str">
        <f aca="false">IF(COUNTA(C1247:G1247)=0,"",IF(AND(C1247="Yes",D1247="Yes",E1247="Yes",F1247="Yes",G1247="No"),"Yes","No"))</f>
        <v/>
      </c>
      <c r="I1247" s="32"/>
      <c r="J1247" s="32"/>
    </row>
    <row r="1248" customFormat="false" ht="15" hidden="false" customHeight="false" outlineLevel="0" collapsed="false">
      <c r="A1248" s="32"/>
      <c r="B1248" s="32"/>
      <c r="C1248" s="32"/>
      <c r="D1248" s="32"/>
      <c r="E1248" s="32"/>
      <c r="F1248" s="32"/>
      <c r="G1248" s="32"/>
      <c r="H1248" s="28" t="str">
        <f aca="false">IF(COUNTA(C1248:G1248)=0,"",IF(AND(C1248="Yes",D1248="Yes",E1248="Yes",F1248="Yes",G1248="No"),"Yes","No"))</f>
        <v/>
      </c>
      <c r="I1248" s="32"/>
      <c r="J1248" s="32"/>
    </row>
    <row r="1249" customFormat="false" ht="15" hidden="false" customHeight="false" outlineLevel="0" collapsed="false">
      <c r="A1249" s="32"/>
      <c r="B1249" s="32"/>
      <c r="C1249" s="32"/>
      <c r="D1249" s="32"/>
      <c r="E1249" s="32"/>
      <c r="F1249" s="32"/>
      <c r="G1249" s="32"/>
      <c r="H1249" s="28" t="str">
        <f aca="false">IF(COUNTA(C1249:G1249)=0,"",IF(AND(C1249="Yes",D1249="Yes",E1249="Yes",F1249="Yes",G1249="No"),"Yes","No"))</f>
        <v/>
      </c>
      <c r="I1249" s="32"/>
      <c r="J1249" s="32"/>
    </row>
    <row r="1250" customFormat="false" ht="15" hidden="false" customHeight="false" outlineLevel="0" collapsed="false">
      <c r="A1250" s="32"/>
      <c r="B1250" s="32"/>
      <c r="C1250" s="32"/>
      <c r="D1250" s="32"/>
      <c r="E1250" s="32"/>
      <c r="F1250" s="32"/>
      <c r="G1250" s="32"/>
      <c r="H1250" s="28" t="str">
        <f aca="false">IF(COUNTA(C1250:G1250)=0,"",IF(AND(C1250="Yes",D1250="Yes",E1250="Yes",F1250="Yes",G1250="No"),"Yes","No"))</f>
        <v/>
      </c>
      <c r="I1250" s="32"/>
      <c r="J1250" s="32"/>
    </row>
    <row r="1251" customFormat="false" ht="15" hidden="false" customHeight="false" outlineLevel="0" collapsed="false">
      <c r="A1251" s="32"/>
      <c r="B1251" s="32"/>
      <c r="C1251" s="32"/>
      <c r="D1251" s="32"/>
      <c r="E1251" s="32"/>
      <c r="F1251" s="32"/>
      <c r="G1251" s="32"/>
      <c r="H1251" s="28" t="str">
        <f aca="false">IF(COUNTA(C1251:G1251)=0,"",IF(AND(C1251="Yes",D1251="Yes",E1251="Yes",F1251="Yes",G1251="No"),"Yes","No"))</f>
        <v/>
      </c>
      <c r="I1251" s="32"/>
      <c r="J1251" s="32"/>
    </row>
    <row r="1252" customFormat="false" ht="15" hidden="false" customHeight="false" outlineLevel="0" collapsed="false">
      <c r="A1252" s="32"/>
      <c r="B1252" s="32"/>
      <c r="C1252" s="32"/>
      <c r="D1252" s="32"/>
      <c r="E1252" s="32"/>
      <c r="F1252" s="32"/>
      <c r="G1252" s="32"/>
      <c r="H1252" s="28" t="str">
        <f aca="false">IF(COUNTA(C1252:G1252)=0,"",IF(AND(C1252="Yes",D1252="Yes",E1252="Yes",F1252="Yes",G1252="No"),"Yes","No"))</f>
        <v/>
      </c>
      <c r="I1252" s="32"/>
      <c r="J1252" s="32"/>
    </row>
    <row r="1253" customFormat="false" ht="15" hidden="false" customHeight="false" outlineLevel="0" collapsed="false">
      <c r="A1253" s="32"/>
      <c r="B1253" s="32"/>
      <c r="C1253" s="32"/>
      <c r="D1253" s="32"/>
      <c r="E1253" s="32"/>
      <c r="F1253" s="32"/>
      <c r="G1253" s="32"/>
      <c r="H1253" s="28" t="str">
        <f aca="false">IF(COUNTA(C1253:G1253)=0,"",IF(AND(C1253="Yes",D1253="Yes",E1253="Yes",F1253="Yes",G1253="No"),"Yes","No"))</f>
        <v/>
      </c>
      <c r="I1253" s="32"/>
      <c r="J1253" s="32"/>
    </row>
    <row r="1254" customFormat="false" ht="15" hidden="false" customHeight="false" outlineLevel="0" collapsed="false">
      <c r="A1254" s="32"/>
      <c r="B1254" s="32"/>
      <c r="C1254" s="32"/>
      <c r="D1254" s="32"/>
      <c r="E1254" s="32"/>
      <c r="F1254" s="32"/>
      <c r="G1254" s="32"/>
      <c r="H1254" s="28" t="str">
        <f aca="false">IF(COUNTA(C1254:G1254)=0,"",IF(AND(C1254="Yes",D1254="Yes",E1254="Yes",F1254="Yes",G1254="No"),"Yes","No"))</f>
        <v/>
      </c>
      <c r="I1254" s="32"/>
      <c r="J1254" s="32"/>
    </row>
    <row r="1255" customFormat="false" ht="15" hidden="false" customHeight="false" outlineLevel="0" collapsed="false">
      <c r="A1255" s="32"/>
      <c r="B1255" s="32"/>
      <c r="C1255" s="32"/>
      <c r="D1255" s="32"/>
      <c r="E1255" s="32"/>
      <c r="F1255" s="32"/>
      <c r="G1255" s="32"/>
      <c r="H1255" s="28" t="str">
        <f aca="false">IF(COUNTA(C1255:G1255)=0,"",IF(AND(C1255="Yes",D1255="Yes",E1255="Yes",F1255="Yes",G1255="No"),"Yes","No"))</f>
        <v/>
      </c>
      <c r="I1255" s="32"/>
      <c r="J1255" s="32"/>
    </row>
    <row r="1256" customFormat="false" ht="15" hidden="false" customHeight="false" outlineLevel="0" collapsed="false">
      <c r="A1256" s="32"/>
      <c r="B1256" s="32"/>
      <c r="C1256" s="32"/>
      <c r="D1256" s="32"/>
      <c r="E1256" s="32"/>
      <c r="F1256" s="32"/>
      <c r="G1256" s="32"/>
      <c r="H1256" s="28" t="str">
        <f aca="false">IF(COUNTA(C1256:G1256)=0,"",IF(AND(C1256="Yes",D1256="Yes",E1256="Yes",F1256="Yes",G1256="No"),"Yes","No"))</f>
        <v/>
      </c>
      <c r="I1256" s="32"/>
      <c r="J1256" s="32"/>
    </row>
    <row r="1257" customFormat="false" ht="15" hidden="false" customHeight="false" outlineLevel="0" collapsed="false">
      <c r="A1257" s="32"/>
      <c r="B1257" s="32"/>
      <c r="C1257" s="32"/>
      <c r="D1257" s="32"/>
      <c r="E1257" s="32"/>
      <c r="F1257" s="32"/>
      <c r="G1257" s="32"/>
      <c r="H1257" s="28" t="str">
        <f aca="false">IF(COUNTA(C1257:G1257)=0,"",IF(AND(C1257="Yes",D1257="Yes",E1257="Yes",F1257="Yes",G1257="No"),"Yes","No"))</f>
        <v/>
      </c>
      <c r="I1257" s="32"/>
      <c r="J1257" s="32"/>
    </row>
    <row r="1258" customFormat="false" ht="15" hidden="false" customHeight="false" outlineLevel="0" collapsed="false">
      <c r="A1258" s="32"/>
      <c r="B1258" s="32"/>
      <c r="C1258" s="32"/>
      <c r="D1258" s="32"/>
      <c r="E1258" s="32"/>
      <c r="F1258" s="32"/>
      <c r="G1258" s="32"/>
      <c r="H1258" s="28" t="str">
        <f aca="false">IF(COUNTA(C1258:G1258)=0,"",IF(AND(C1258="Yes",D1258="Yes",E1258="Yes",F1258="Yes",G1258="No"),"Yes","No"))</f>
        <v/>
      </c>
      <c r="I1258" s="32"/>
      <c r="J1258" s="32"/>
    </row>
    <row r="1259" customFormat="false" ht="15" hidden="false" customHeight="false" outlineLevel="0" collapsed="false">
      <c r="A1259" s="32"/>
      <c r="B1259" s="32"/>
      <c r="C1259" s="32"/>
      <c r="D1259" s="32"/>
      <c r="E1259" s="32"/>
      <c r="F1259" s="32"/>
      <c r="G1259" s="32"/>
      <c r="H1259" s="28" t="str">
        <f aca="false">IF(COUNTA(C1259:G1259)=0,"",IF(AND(C1259="Yes",D1259="Yes",E1259="Yes",F1259="Yes",G1259="No"),"Yes","No"))</f>
        <v/>
      </c>
      <c r="I1259" s="32"/>
      <c r="J1259" s="32"/>
    </row>
    <row r="1260" customFormat="false" ht="15" hidden="false" customHeight="false" outlineLevel="0" collapsed="false">
      <c r="A1260" s="32"/>
      <c r="B1260" s="32"/>
      <c r="C1260" s="32"/>
      <c r="D1260" s="32"/>
      <c r="E1260" s="32"/>
      <c r="F1260" s="32"/>
      <c r="G1260" s="32"/>
      <c r="H1260" s="28" t="str">
        <f aca="false">IF(COUNTA(C1260:G1260)=0,"",IF(AND(C1260="Yes",D1260="Yes",E1260="Yes",F1260="Yes",G1260="No"),"Yes","No"))</f>
        <v/>
      </c>
      <c r="I1260" s="32"/>
      <c r="J1260" s="32"/>
    </row>
    <row r="1261" customFormat="false" ht="15" hidden="false" customHeight="false" outlineLevel="0" collapsed="false">
      <c r="A1261" s="32"/>
      <c r="B1261" s="32"/>
      <c r="C1261" s="32"/>
      <c r="D1261" s="32"/>
      <c r="E1261" s="32"/>
      <c r="F1261" s="32"/>
      <c r="G1261" s="32"/>
      <c r="H1261" s="28" t="str">
        <f aca="false">IF(COUNTA(C1261:G1261)=0,"",IF(AND(C1261="Yes",D1261="Yes",E1261="Yes",F1261="Yes",G1261="No"),"Yes","No"))</f>
        <v/>
      </c>
      <c r="I1261" s="32"/>
      <c r="J1261" s="32"/>
    </row>
    <row r="1262" customFormat="false" ht="15" hidden="false" customHeight="false" outlineLevel="0" collapsed="false">
      <c r="A1262" s="32"/>
      <c r="B1262" s="32"/>
      <c r="C1262" s="32"/>
      <c r="D1262" s="32"/>
      <c r="E1262" s="32"/>
      <c r="F1262" s="32"/>
      <c r="G1262" s="32"/>
      <c r="H1262" s="28" t="str">
        <f aca="false">IF(COUNTA(C1262:G1262)=0,"",IF(AND(C1262="Yes",D1262="Yes",E1262="Yes",F1262="Yes",G1262="No"),"Yes","No"))</f>
        <v/>
      </c>
      <c r="I1262" s="32"/>
      <c r="J1262" s="32"/>
    </row>
    <row r="1263" customFormat="false" ht="15" hidden="false" customHeight="false" outlineLevel="0" collapsed="false">
      <c r="A1263" s="32"/>
      <c r="B1263" s="32"/>
      <c r="C1263" s="32"/>
      <c r="D1263" s="32"/>
      <c r="E1263" s="32"/>
      <c r="F1263" s="32"/>
      <c r="G1263" s="32"/>
      <c r="H1263" s="28" t="str">
        <f aca="false">IF(COUNTA(C1263:G1263)=0,"",IF(AND(C1263="Yes",D1263="Yes",E1263="Yes",F1263="Yes",G1263="No"),"Yes","No"))</f>
        <v/>
      </c>
      <c r="I1263" s="32"/>
      <c r="J1263" s="32"/>
    </row>
    <row r="1264" customFormat="false" ht="15" hidden="false" customHeight="false" outlineLevel="0" collapsed="false">
      <c r="A1264" s="32"/>
      <c r="B1264" s="32"/>
      <c r="C1264" s="32"/>
      <c r="D1264" s="32"/>
      <c r="E1264" s="32"/>
      <c r="F1264" s="32"/>
      <c r="G1264" s="32"/>
      <c r="H1264" s="28" t="str">
        <f aca="false">IF(COUNTA(C1264:G1264)=0,"",IF(AND(C1264="Yes",D1264="Yes",E1264="Yes",F1264="Yes",G1264="No"),"Yes","No"))</f>
        <v/>
      </c>
      <c r="I1264" s="32"/>
      <c r="J1264" s="32"/>
    </row>
    <row r="1265" customFormat="false" ht="15" hidden="false" customHeight="false" outlineLevel="0" collapsed="false">
      <c r="A1265" s="32"/>
      <c r="B1265" s="32"/>
      <c r="C1265" s="32"/>
      <c r="D1265" s="32"/>
      <c r="E1265" s="32"/>
      <c r="F1265" s="32"/>
      <c r="G1265" s="32"/>
      <c r="H1265" s="28" t="str">
        <f aca="false">IF(COUNTA(C1265:G1265)=0,"",IF(AND(C1265="Yes",D1265="Yes",E1265="Yes",F1265="Yes",G1265="No"),"Yes","No"))</f>
        <v/>
      </c>
      <c r="I1265" s="32"/>
      <c r="J1265" s="32"/>
    </row>
    <row r="1266" customFormat="false" ht="15" hidden="false" customHeight="false" outlineLevel="0" collapsed="false">
      <c r="A1266" s="32"/>
      <c r="B1266" s="32"/>
      <c r="C1266" s="32"/>
      <c r="D1266" s="32"/>
      <c r="E1266" s="32"/>
      <c r="F1266" s="32"/>
      <c r="G1266" s="32"/>
      <c r="H1266" s="28" t="str">
        <f aca="false">IF(COUNTA(C1266:G1266)=0,"",IF(AND(C1266="Yes",D1266="Yes",E1266="Yes",F1266="Yes",G1266="No"),"Yes","No"))</f>
        <v/>
      </c>
      <c r="I1266" s="32"/>
      <c r="J1266" s="32"/>
    </row>
    <row r="1267" customFormat="false" ht="15" hidden="false" customHeight="false" outlineLevel="0" collapsed="false">
      <c r="A1267" s="32"/>
      <c r="B1267" s="32"/>
      <c r="C1267" s="32"/>
      <c r="D1267" s="32"/>
      <c r="E1267" s="32"/>
      <c r="F1267" s="32"/>
      <c r="G1267" s="32"/>
      <c r="H1267" s="28" t="str">
        <f aca="false">IF(COUNTA(C1267:G1267)=0,"",IF(AND(C1267="Yes",D1267="Yes",E1267="Yes",F1267="Yes",G1267="No"),"Yes","No"))</f>
        <v/>
      </c>
      <c r="I1267" s="32"/>
      <c r="J1267" s="32"/>
    </row>
    <row r="1268" customFormat="false" ht="15" hidden="false" customHeight="false" outlineLevel="0" collapsed="false">
      <c r="A1268" s="32"/>
      <c r="B1268" s="32"/>
      <c r="C1268" s="32"/>
      <c r="D1268" s="32"/>
      <c r="E1268" s="32"/>
      <c r="F1268" s="32"/>
      <c r="G1268" s="32"/>
      <c r="H1268" s="28" t="str">
        <f aca="false">IF(COUNTA(C1268:G1268)=0,"",IF(AND(C1268="Yes",D1268="Yes",E1268="Yes",F1268="Yes",G1268="No"),"Yes","No"))</f>
        <v/>
      </c>
      <c r="I1268" s="32"/>
      <c r="J1268" s="32"/>
    </row>
    <row r="1269" customFormat="false" ht="15" hidden="false" customHeight="false" outlineLevel="0" collapsed="false">
      <c r="A1269" s="32"/>
      <c r="B1269" s="32"/>
      <c r="C1269" s="32"/>
      <c r="D1269" s="32"/>
      <c r="E1269" s="32"/>
      <c r="F1269" s="32"/>
      <c r="G1269" s="32"/>
      <c r="H1269" s="28" t="str">
        <f aca="false">IF(COUNTA(C1269:G1269)=0,"",IF(AND(C1269="Yes",D1269="Yes",E1269="Yes",F1269="Yes",G1269="No"),"Yes","No"))</f>
        <v/>
      </c>
      <c r="I1269" s="32"/>
      <c r="J1269" s="32"/>
    </row>
    <row r="1270" customFormat="false" ht="15" hidden="false" customHeight="false" outlineLevel="0" collapsed="false">
      <c r="A1270" s="32"/>
      <c r="B1270" s="32"/>
      <c r="C1270" s="32"/>
      <c r="D1270" s="32"/>
      <c r="E1270" s="32"/>
      <c r="F1270" s="32"/>
      <c r="G1270" s="32"/>
      <c r="H1270" s="28" t="str">
        <f aca="false">IF(COUNTA(C1270:G1270)=0,"",IF(AND(C1270="Yes",D1270="Yes",E1270="Yes",F1270="Yes",G1270="No"),"Yes","No"))</f>
        <v/>
      </c>
      <c r="I1270" s="32"/>
      <c r="J1270" s="32"/>
    </row>
    <row r="1271" customFormat="false" ht="15" hidden="false" customHeight="false" outlineLevel="0" collapsed="false">
      <c r="A1271" s="32"/>
      <c r="B1271" s="32"/>
      <c r="C1271" s="32"/>
      <c r="D1271" s="32"/>
      <c r="E1271" s="32"/>
      <c r="F1271" s="32"/>
      <c r="G1271" s="32"/>
      <c r="H1271" s="28" t="str">
        <f aca="false">IF(COUNTA(C1271:G1271)=0,"",IF(AND(C1271="Yes",D1271="Yes",E1271="Yes",F1271="Yes",G1271="No"),"Yes","No"))</f>
        <v/>
      </c>
      <c r="I1271" s="32"/>
      <c r="J1271" s="32"/>
    </row>
    <row r="1272" customFormat="false" ht="15" hidden="false" customHeight="false" outlineLevel="0" collapsed="false">
      <c r="A1272" s="32"/>
      <c r="B1272" s="32"/>
      <c r="C1272" s="32"/>
      <c r="D1272" s="32"/>
      <c r="E1272" s="32"/>
      <c r="F1272" s="32"/>
      <c r="G1272" s="32"/>
      <c r="H1272" s="28" t="str">
        <f aca="false">IF(COUNTA(C1272:G1272)=0,"",IF(AND(C1272="Yes",D1272="Yes",E1272="Yes",F1272="Yes",G1272="No"),"Yes","No"))</f>
        <v/>
      </c>
      <c r="I1272" s="32"/>
      <c r="J1272" s="32"/>
    </row>
    <row r="1273" customFormat="false" ht="15" hidden="false" customHeight="false" outlineLevel="0" collapsed="false">
      <c r="A1273" s="32"/>
      <c r="B1273" s="32"/>
      <c r="C1273" s="32"/>
      <c r="D1273" s="32"/>
      <c r="E1273" s="32"/>
      <c r="F1273" s="32"/>
      <c r="G1273" s="32"/>
      <c r="H1273" s="28" t="str">
        <f aca="false">IF(COUNTA(C1273:G1273)=0,"",IF(AND(C1273="Yes",D1273="Yes",E1273="Yes",F1273="Yes",G1273="No"),"Yes","No"))</f>
        <v/>
      </c>
      <c r="I1273" s="32"/>
      <c r="J1273" s="32"/>
    </row>
    <row r="1274" customFormat="false" ht="15" hidden="false" customHeight="false" outlineLevel="0" collapsed="false">
      <c r="A1274" s="32"/>
      <c r="B1274" s="32"/>
      <c r="C1274" s="32"/>
      <c r="D1274" s="32"/>
      <c r="E1274" s="32"/>
      <c r="F1274" s="32"/>
      <c r="G1274" s="32"/>
      <c r="H1274" s="28" t="str">
        <f aca="false">IF(COUNTA(C1274:G1274)=0,"",IF(AND(C1274="Yes",D1274="Yes",E1274="Yes",F1274="Yes",G1274="No"),"Yes","No"))</f>
        <v/>
      </c>
      <c r="I1274" s="32"/>
      <c r="J1274" s="32"/>
    </row>
    <row r="1275" customFormat="false" ht="15" hidden="false" customHeight="false" outlineLevel="0" collapsed="false">
      <c r="A1275" s="32"/>
      <c r="B1275" s="32"/>
      <c r="C1275" s="32"/>
      <c r="D1275" s="32"/>
      <c r="E1275" s="32"/>
      <c r="F1275" s="32"/>
      <c r="G1275" s="32"/>
      <c r="H1275" s="28" t="str">
        <f aca="false">IF(COUNTA(C1275:G1275)=0,"",IF(AND(C1275="Yes",D1275="Yes",E1275="Yes",F1275="Yes",G1275="No"),"Yes","No"))</f>
        <v/>
      </c>
      <c r="I1275" s="32"/>
      <c r="J1275" s="32"/>
    </row>
    <row r="1276" customFormat="false" ht="15" hidden="false" customHeight="false" outlineLevel="0" collapsed="false">
      <c r="A1276" s="32"/>
      <c r="B1276" s="32"/>
      <c r="C1276" s="32"/>
      <c r="D1276" s="32"/>
      <c r="E1276" s="32"/>
      <c r="F1276" s="32"/>
      <c r="G1276" s="32"/>
      <c r="H1276" s="28" t="str">
        <f aca="false">IF(COUNTA(C1276:G1276)=0,"",IF(AND(C1276="Yes",D1276="Yes",E1276="Yes",F1276="Yes",G1276="No"),"Yes","No"))</f>
        <v/>
      </c>
      <c r="I1276" s="32"/>
      <c r="J1276" s="32"/>
    </row>
    <row r="1277" customFormat="false" ht="15" hidden="false" customHeight="false" outlineLevel="0" collapsed="false">
      <c r="A1277" s="32"/>
      <c r="B1277" s="32"/>
      <c r="C1277" s="32"/>
      <c r="D1277" s="32"/>
      <c r="E1277" s="32"/>
      <c r="F1277" s="32"/>
      <c r="G1277" s="32"/>
      <c r="H1277" s="28" t="str">
        <f aca="false">IF(COUNTA(C1277:G1277)=0,"",IF(AND(C1277="Yes",D1277="Yes",E1277="Yes",F1277="Yes",G1277="No"),"Yes","No"))</f>
        <v/>
      </c>
      <c r="I1277" s="32"/>
      <c r="J1277" s="32"/>
    </row>
    <row r="1278" customFormat="false" ht="15" hidden="false" customHeight="false" outlineLevel="0" collapsed="false">
      <c r="A1278" s="32"/>
      <c r="B1278" s="32"/>
      <c r="C1278" s="32"/>
      <c r="D1278" s="32"/>
      <c r="E1278" s="32"/>
      <c r="F1278" s="32"/>
      <c r="G1278" s="32"/>
      <c r="H1278" s="28" t="str">
        <f aca="false">IF(COUNTA(C1278:G1278)=0,"",IF(AND(C1278="Yes",D1278="Yes",E1278="Yes",F1278="Yes",G1278="No"),"Yes","No"))</f>
        <v/>
      </c>
      <c r="I1278" s="32"/>
      <c r="J1278" s="32"/>
    </row>
    <row r="1279" customFormat="false" ht="15" hidden="false" customHeight="false" outlineLevel="0" collapsed="false">
      <c r="A1279" s="32"/>
      <c r="B1279" s="32"/>
      <c r="C1279" s="32"/>
      <c r="D1279" s="32"/>
      <c r="E1279" s="32"/>
      <c r="F1279" s="32"/>
      <c r="G1279" s="32"/>
      <c r="H1279" s="28" t="str">
        <f aca="false">IF(COUNTA(C1279:G1279)=0,"",IF(AND(C1279="Yes",D1279="Yes",E1279="Yes",F1279="Yes",G1279="No"),"Yes","No"))</f>
        <v/>
      </c>
      <c r="I1279" s="32"/>
      <c r="J1279" s="32"/>
    </row>
    <row r="1280" customFormat="false" ht="15" hidden="false" customHeight="false" outlineLevel="0" collapsed="false">
      <c r="A1280" s="32"/>
      <c r="B1280" s="32"/>
      <c r="C1280" s="32"/>
      <c r="D1280" s="32"/>
      <c r="E1280" s="32"/>
      <c r="F1280" s="32"/>
      <c r="G1280" s="32"/>
      <c r="H1280" s="28" t="str">
        <f aca="false">IF(COUNTA(C1280:G1280)=0,"",IF(AND(C1280="Yes",D1280="Yes",E1280="Yes",F1280="Yes",G1280="No"),"Yes","No"))</f>
        <v/>
      </c>
      <c r="I1280" s="32"/>
      <c r="J1280" s="32"/>
    </row>
    <row r="1281" customFormat="false" ht="15" hidden="false" customHeight="false" outlineLevel="0" collapsed="false">
      <c r="A1281" s="32"/>
      <c r="B1281" s="32"/>
      <c r="C1281" s="32"/>
      <c r="D1281" s="32"/>
      <c r="E1281" s="32"/>
      <c r="F1281" s="32"/>
      <c r="G1281" s="32"/>
      <c r="H1281" s="28" t="str">
        <f aca="false">IF(COUNTA(C1281:G1281)=0,"",IF(AND(C1281="Yes",D1281="Yes",E1281="Yes",F1281="Yes",G1281="No"),"Yes","No"))</f>
        <v/>
      </c>
      <c r="I1281" s="32"/>
      <c r="J1281" s="32"/>
    </row>
    <row r="1282" customFormat="false" ht="15" hidden="false" customHeight="false" outlineLevel="0" collapsed="false">
      <c r="A1282" s="32"/>
      <c r="B1282" s="32"/>
      <c r="C1282" s="32"/>
      <c r="D1282" s="32"/>
      <c r="E1282" s="32"/>
      <c r="F1282" s="32"/>
      <c r="G1282" s="32"/>
      <c r="H1282" s="28" t="str">
        <f aca="false">IF(COUNTA(C1282:G1282)=0,"",IF(AND(C1282="Yes",D1282="Yes",E1282="Yes",F1282="Yes",G1282="No"),"Yes","No"))</f>
        <v/>
      </c>
      <c r="I1282" s="32"/>
      <c r="J1282" s="32"/>
    </row>
    <row r="1283" customFormat="false" ht="15" hidden="false" customHeight="false" outlineLevel="0" collapsed="false">
      <c r="A1283" s="32"/>
      <c r="B1283" s="32"/>
      <c r="C1283" s="32"/>
      <c r="D1283" s="32"/>
      <c r="E1283" s="32"/>
      <c r="F1283" s="32"/>
      <c r="G1283" s="32"/>
      <c r="H1283" s="28" t="str">
        <f aca="false">IF(COUNTA(C1283:G1283)=0,"",IF(AND(C1283="Yes",D1283="Yes",E1283="Yes",F1283="Yes",G1283="No"),"Yes","No"))</f>
        <v/>
      </c>
      <c r="I1283" s="32"/>
      <c r="J1283" s="32"/>
    </row>
    <row r="1284" customFormat="false" ht="15" hidden="false" customHeight="false" outlineLevel="0" collapsed="false">
      <c r="A1284" s="32"/>
      <c r="B1284" s="32"/>
      <c r="C1284" s="32"/>
      <c r="D1284" s="32"/>
      <c r="E1284" s="32"/>
      <c r="F1284" s="32"/>
      <c r="G1284" s="32"/>
      <c r="H1284" s="28" t="str">
        <f aca="false">IF(COUNTA(C1284:G1284)=0,"",IF(AND(C1284="Yes",D1284="Yes",E1284="Yes",F1284="Yes",G1284="No"),"Yes","No"))</f>
        <v/>
      </c>
      <c r="I1284" s="32"/>
      <c r="J1284" s="32"/>
    </row>
    <row r="1285" customFormat="false" ht="15" hidden="false" customHeight="false" outlineLevel="0" collapsed="false">
      <c r="A1285" s="32"/>
      <c r="B1285" s="32"/>
      <c r="C1285" s="32"/>
      <c r="D1285" s="32"/>
      <c r="E1285" s="32"/>
      <c r="F1285" s="32"/>
      <c r="G1285" s="32"/>
      <c r="H1285" s="28" t="str">
        <f aca="false">IF(COUNTA(C1285:G1285)=0,"",IF(AND(C1285="Yes",D1285="Yes",E1285="Yes",F1285="Yes",G1285="No"),"Yes","No"))</f>
        <v/>
      </c>
      <c r="I1285" s="32"/>
      <c r="J1285" s="32"/>
    </row>
    <row r="1286" customFormat="false" ht="15" hidden="false" customHeight="false" outlineLevel="0" collapsed="false">
      <c r="A1286" s="32"/>
      <c r="B1286" s="32"/>
      <c r="C1286" s="32"/>
      <c r="D1286" s="32"/>
      <c r="E1286" s="32"/>
      <c r="F1286" s="32"/>
      <c r="G1286" s="32"/>
      <c r="H1286" s="28" t="str">
        <f aca="false">IF(COUNTA(C1286:G1286)=0,"",IF(AND(C1286="Yes",D1286="Yes",E1286="Yes",F1286="Yes",G1286="No"),"Yes","No"))</f>
        <v/>
      </c>
      <c r="I1286" s="32"/>
      <c r="J1286" s="32"/>
    </row>
    <row r="1287" customFormat="false" ht="15" hidden="false" customHeight="false" outlineLevel="0" collapsed="false">
      <c r="A1287" s="32"/>
      <c r="B1287" s="32"/>
      <c r="C1287" s="32"/>
      <c r="D1287" s="32"/>
      <c r="E1287" s="32"/>
      <c r="F1287" s="32"/>
      <c r="G1287" s="32"/>
      <c r="H1287" s="28" t="str">
        <f aca="false">IF(COUNTA(C1287:G1287)=0,"",IF(AND(C1287="Yes",D1287="Yes",E1287="Yes",F1287="Yes",G1287="No"),"Yes","No"))</f>
        <v/>
      </c>
      <c r="I1287" s="32"/>
      <c r="J1287" s="32"/>
    </row>
    <row r="1288" customFormat="false" ht="15" hidden="false" customHeight="false" outlineLevel="0" collapsed="false">
      <c r="A1288" s="32"/>
      <c r="B1288" s="32"/>
      <c r="C1288" s="32"/>
      <c r="D1288" s="32"/>
      <c r="E1288" s="32"/>
      <c r="F1288" s="32"/>
      <c r="G1288" s="32"/>
      <c r="H1288" s="28" t="str">
        <f aca="false">IF(COUNTA(C1288:G1288)=0,"",IF(AND(C1288="Yes",D1288="Yes",E1288="Yes",F1288="Yes",G1288="No"),"Yes","No"))</f>
        <v/>
      </c>
      <c r="I1288" s="32"/>
      <c r="J1288" s="32"/>
    </row>
    <row r="1289" customFormat="false" ht="15" hidden="false" customHeight="false" outlineLevel="0" collapsed="false">
      <c r="A1289" s="32"/>
      <c r="B1289" s="32"/>
      <c r="C1289" s="32"/>
      <c r="D1289" s="32"/>
      <c r="E1289" s="32"/>
      <c r="F1289" s="32"/>
      <c r="G1289" s="32"/>
      <c r="H1289" s="28" t="str">
        <f aca="false">IF(COUNTA(C1289:G1289)=0,"",IF(AND(C1289="Yes",D1289="Yes",E1289="Yes",F1289="Yes",G1289="No"),"Yes","No"))</f>
        <v/>
      </c>
      <c r="I1289" s="32"/>
      <c r="J1289" s="32"/>
    </row>
    <row r="1290" customFormat="false" ht="15" hidden="false" customHeight="false" outlineLevel="0" collapsed="false">
      <c r="A1290" s="32"/>
      <c r="B1290" s="32"/>
      <c r="C1290" s="32"/>
      <c r="D1290" s="32"/>
      <c r="E1290" s="32"/>
      <c r="F1290" s="32"/>
      <c r="G1290" s="32"/>
      <c r="H1290" s="28" t="str">
        <f aca="false">IF(COUNTA(C1290:G1290)=0,"",IF(AND(C1290="Yes",D1290="Yes",E1290="Yes",F1290="Yes",G1290="No"),"Yes","No"))</f>
        <v/>
      </c>
      <c r="I1290" s="32"/>
      <c r="J1290" s="32"/>
    </row>
    <row r="1291" customFormat="false" ht="15" hidden="false" customHeight="false" outlineLevel="0" collapsed="false">
      <c r="A1291" s="32"/>
      <c r="B1291" s="32"/>
      <c r="C1291" s="32"/>
      <c r="D1291" s="32"/>
      <c r="E1291" s="32"/>
      <c r="F1291" s="32"/>
      <c r="G1291" s="32"/>
      <c r="H1291" s="28" t="str">
        <f aca="false">IF(COUNTA(C1291:G1291)=0,"",IF(AND(C1291="Yes",D1291="Yes",E1291="Yes",F1291="Yes",G1291="No"),"Yes","No"))</f>
        <v/>
      </c>
      <c r="I1291" s="32"/>
      <c r="J1291" s="32"/>
    </row>
    <row r="1292" customFormat="false" ht="15" hidden="false" customHeight="false" outlineLevel="0" collapsed="false">
      <c r="A1292" s="32"/>
      <c r="B1292" s="32"/>
      <c r="C1292" s="32"/>
      <c r="D1292" s="32"/>
      <c r="E1292" s="32"/>
      <c r="F1292" s="32"/>
      <c r="G1292" s="32"/>
      <c r="H1292" s="28" t="str">
        <f aca="false">IF(COUNTA(C1292:G1292)=0,"",IF(AND(C1292="Yes",D1292="Yes",E1292="Yes",F1292="Yes",G1292="No"),"Yes","No"))</f>
        <v/>
      </c>
      <c r="I1292" s="32"/>
      <c r="J1292" s="32"/>
    </row>
    <row r="1293" customFormat="false" ht="15" hidden="false" customHeight="false" outlineLevel="0" collapsed="false">
      <c r="A1293" s="32"/>
      <c r="B1293" s="32"/>
      <c r="C1293" s="32"/>
      <c r="D1293" s="32"/>
      <c r="E1293" s="32"/>
      <c r="F1293" s="32"/>
      <c r="G1293" s="32"/>
      <c r="H1293" s="28" t="str">
        <f aca="false">IF(COUNTA(C1293:G1293)=0,"",IF(AND(C1293="Yes",D1293="Yes",E1293="Yes",F1293="Yes",G1293="No"),"Yes","No"))</f>
        <v/>
      </c>
      <c r="I1293" s="32"/>
      <c r="J1293" s="32"/>
    </row>
    <row r="1294" customFormat="false" ht="15" hidden="false" customHeight="false" outlineLevel="0" collapsed="false">
      <c r="A1294" s="32"/>
      <c r="B1294" s="32"/>
      <c r="C1294" s="32"/>
      <c r="D1294" s="32"/>
      <c r="E1294" s="32"/>
      <c r="F1294" s="32"/>
      <c r="G1294" s="32"/>
      <c r="H1294" s="28" t="str">
        <f aca="false">IF(COUNTA(C1294:G1294)=0,"",IF(AND(C1294="Yes",D1294="Yes",E1294="Yes",F1294="Yes",G1294="No"),"Yes","No"))</f>
        <v/>
      </c>
      <c r="I1294" s="32"/>
      <c r="J1294" s="32"/>
    </row>
    <row r="1295" customFormat="false" ht="15" hidden="false" customHeight="false" outlineLevel="0" collapsed="false">
      <c r="A1295" s="32"/>
      <c r="B1295" s="32"/>
      <c r="C1295" s="32"/>
      <c r="D1295" s="32"/>
      <c r="E1295" s="32"/>
      <c r="F1295" s="32"/>
      <c r="G1295" s="32"/>
      <c r="H1295" s="28" t="str">
        <f aca="false">IF(COUNTA(C1295:G1295)=0,"",IF(AND(C1295="Yes",D1295="Yes",E1295="Yes",F1295="Yes",G1295="No"),"Yes","No"))</f>
        <v/>
      </c>
      <c r="I1295" s="32"/>
      <c r="J1295" s="32"/>
    </row>
    <row r="1296" customFormat="false" ht="15" hidden="false" customHeight="false" outlineLevel="0" collapsed="false">
      <c r="A1296" s="32"/>
      <c r="B1296" s="32"/>
      <c r="C1296" s="32"/>
      <c r="D1296" s="32"/>
      <c r="E1296" s="32"/>
      <c r="F1296" s="32"/>
      <c r="G1296" s="32"/>
      <c r="H1296" s="28" t="str">
        <f aca="false">IF(COUNTA(C1296:G1296)=0,"",IF(AND(C1296="Yes",D1296="Yes",E1296="Yes",F1296="Yes",G1296="No"),"Yes","No"))</f>
        <v/>
      </c>
      <c r="I1296" s="32"/>
      <c r="J1296" s="32"/>
    </row>
    <row r="1297" customFormat="false" ht="15" hidden="false" customHeight="false" outlineLevel="0" collapsed="false">
      <c r="A1297" s="32"/>
      <c r="B1297" s="32"/>
      <c r="C1297" s="32"/>
      <c r="D1297" s="32"/>
      <c r="E1297" s="32"/>
      <c r="F1297" s="32"/>
      <c r="G1297" s="32"/>
      <c r="H1297" s="28" t="str">
        <f aca="false">IF(COUNTA(C1297:G1297)=0,"",IF(AND(C1297="Yes",D1297="Yes",E1297="Yes",F1297="Yes",G1297="No"),"Yes","No"))</f>
        <v/>
      </c>
      <c r="I1297" s="32"/>
      <c r="J1297" s="32"/>
    </row>
    <row r="1298" customFormat="false" ht="15" hidden="false" customHeight="false" outlineLevel="0" collapsed="false">
      <c r="A1298" s="32"/>
      <c r="B1298" s="32"/>
      <c r="C1298" s="32"/>
      <c r="D1298" s="32"/>
      <c r="E1298" s="32"/>
      <c r="F1298" s="32"/>
      <c r="G1298" s="32"/>
      <c r="H1298" s="28" t="str">
        <f aca="false">IF(COUNTA(C1298:G1298)=0,"",IF(AND(C1298="Yes",D1298="Yes",E1298="Yes",F1298="Yes",G1298="No"),"Yes","No"))</f>
        <v/>
      </c>
      <c r="I1298" s="32"/>
      <c r="J1298" s="32"/>
    </row>
    <row r="1299" customFormat="false" ht="15" hidden="false" customHeight="false" outlineLevel="0" collapsed="false">
      <c r="A1299" s="32"/>
      <c r="B1299" s="32"/>
      <c r="C1299" s="32"/>
      <c r="D1299" s="32"/>
      <c r="E1299" s="32"/>
      <c r="F1299" s="32"/>
      <c r="G1299" s="32"/>
      <c r="H1299" s="28" t="str">
        <f aca="false">IF(COUNTA(C1299:G1299)=0,"",IF(AND(C1299="Yes",D1299="Yes",E1299="Yes",F1299="Yes",G1299="No"),"Yes","No"))</f>
        <v/>
      </c>
      <c r="I1299" s="32"/>
      <c r="J1299" s="32"/>
    </row>
    <row r="1300" customFormat="false" ht="15" hidden="false" customHeight="false" outlineLevel="0" collapsed="false">
      <c r="A1300" s="32"/>
      <c r="B1300" s="32"/>
      <c r="C1300" s="32"/>
      <c r="D1300" s="32"/>
      <c r="E1300" s="32"/>
      <c r="F1300" s="32"/>
      <c r="G1300" s="32"/>
      <c r="H1300" s="28" t="str">
        <f aca="false">IF(COUNTA(C1300:G1300)=0,"",IF(AND(C1300="Yes",D1300="Yes",E1300="Yes",F1300="Yes",G1300="No"),"Yes","No"))</f>
        <v/>
      </c>
      <c r="I1300" s="32"/>
      <c r="J1300" s="32"/>
    </row>
    <row r="1301" customFormat="false" ht="15" hidden="false" customHeight="false" outlineLevel="0" collapsed="false">
      <c r="A1301" s="32"/>
      <c r="B1301" s="32"/>
      <c r="C1301" s="32"/>
      <c r="D1301" s="32"/>
      <c r="E1301" s="32"/>
      <c r="F1301" s="32"/>
      <c r="G1301" s="32"/>
      <c r="H1301" s="28" t="str">
        <f aca="false">IF(COUNTA(C1301:G1301)=0,"",IF(AND(C1301="Yes",D1301="Yes",E1301="Yes",F1301="Yes",G1301="No"),"Yes","No"))</f>
        <v/>
      </c>
      <c r="I1301" s="32"/>
      <c r="J1301" s="32"/>
    </row>
    <row r="1302" customFormat="false" ht="15" hidden="false" customHeight="false" outlineLevel="0" collapsed="false">
      <c r="A1302" s="32"/>
      <c r="B1302" s="32"/>
      <c r="C1302" s="32"/>
      <c r="D1302" s="32"/>
      <c r="E1302" s="32"/>
      <c r="F1302" s="32"/>
      <c r="G1302" s="32"/>
      <c r="H1302" s="28" t="str">
        <f aca="false">IF(COUNTA(C1302:G1302)=0,"",IF(AND(C1302="Yes",D1302="Yes",E1302="Yes",F1302="Yes",G1302="No"),"Yes","No"))</f>
        <v/>
      </c>
      <c r="I1302" s="32"/>
      <c r="J1302" s="32"/>
    </row>
    <row r="1303" customFormat="false" ht="15" hidden="false" customHeight="false" outlineLevel="0" collapsed="false">
      <c r="A1303" s="32"/>
      <c r="B1303" s="32"/>
      <c r="C1303" s="32"/>
      <c r="D1303" s="32"/>
      <c r="E1303" s="32"/>
      <c r="F1303" s="32"/>
      <c r="G1303" s="32"/>
      <c r="H1303" s="28" t="str">
        <f aca="false">IF(COUNTA(C1303:G1303)=0,"",IF(AND(C1303="Yes",D1303="Yes",E1303="Yes",F1303="Yes",G1303="No"),"Yes","No"))</f>
        <v/>
      </c>
      <c r="I1303" s="32"/>
      <c r="J1303" s="32"/>
    </row>
    <row r="1304" customFormat="false" ht="15" hidden="false" customHeight="false" outlineLevel="0" collapsed="false">
      <c r="A1304" s="32"/>
      <c r="B1304" s="32"/>
      <c r="C1304" s="32"/>
      <c r="D1304" s="32"/>
      <c r="E1304" s="32"/>
      <c r="F1304" s="32"/>
      <c r="G1304" s="32"/>
      <c r="H1304" s="28" t="str">
        <f aca="false">IF(COUNTA(C1304:G1304)=0,"",IF(AND(C1304="Yes",D1304="Yes",E1304="Yes",F1304="Yes",G1304="No"),"Yes","No"))</f>
        <v/>
      </c>
      <c r="I1304" s="32"/>
      <c r="J1304" s="32"/>
    </row>
    <row r="1305" customFormat="false" ht="15" hidden="false" customHeight="false" outlineLevel="0" collapsed="false">
      <c r="A1305" s="32"/>
      <c r="B1305" s="32"/>
      <c r="C1305" s="32"/>
      <c r="D1305" s="32"/>
      <c r="E1305" s="32"/>
      <c r="F1305" s="32"/>
      <c r="G1305" s="32"/>
      <c r="H1305" s="28" t="str">
        <f aca="false">IF(COUNTA(C1305:G1305)=0,"",IF(AND(C1305="Yes",D1305="Yes",E1305="Yes",F1305="Yes",G1305="No"),"Yes","No"))</f>
        <v/>
      </c>
      <c r="I1305" s="32"/>
      <c r="J1305" s="32"/>
    </row>
    <row r="1306" customFormat="false" ht="15" hidden="false" customHeight="false" outlineLevel="0" collapsed="false">
      <c r="A1306" s="32"/>
      <c r="B1306" s="32"/>
      <c r="C1306" s="32"/>
      <c r="D1306" s="32"/>
      <c r="E1306" s="32"/>
      <c r="F1306" s="32"/>
      <c r="G1306" s="32"/>
      <c r="H1306" s="28" t="str">
        <f aca="false">IF(COUNTA(C1306:G1306)=0,"",IF(AND(C1306="Yes",D1306="Yes",E1306="Yes",F1306="Yes",G1306="No"),"Yes","No"))</f>
        <v/>
      </c>
      <c r="I1306" s="32"/>
      <c r="J1306" s="32"/>
    </row>
    <row r="1307" customFormat="false" ht="15" hidden="false" customHeight="false" outlineLevel="0" collapsed="false">
      <c r="A1307" s="32"/>
      <c r="B1307" s="32"/>
      <c r="C1307" s="32"/>
      <c r="D1307" s="32"/>
      <c r="E1307" s="32"/>
      <c r="F1307" s="32"/>
      <c r="G1307" s="32"/>
      <c r="H1307" s="28" t="str">
        <f aca="false">IF(COUNTA(C1307:G1307)=0,"",IF(AND(C1307="Yes",D1307="Yes",E1307="Yes",F1307="Yes",G1307="No"),"Yes","No"))</f>
        <v/>
      </c>
      <c r="I1307" s="32"/>
      <c r="J1307" s="32"/>
    </row>
    <row r="1308" customFormat="false" ht="15" hidden="false" customHeight="false" outlineLevel="0" collapsed="false">
      <c r="A1308" s="32"/>
      <c r="B1308" s="32"/>
      <c r="C1308" s="32"/>
      <c r="D1308" s="32"/>
      <c r="E1308" s="32"/>
      <c r="F1308" s="32"/>
      <c r="G1308" s="32"/>
      <c r="H1308" s="28" t="str">
        <f aca="false">IF(COUNTA(C1308:G1308)=0,"",IF(AND(C1308="Yes",D1308="Yes",E1308="Yes",F1308="Yes",G1308="No"),"Yes","No"))</f>
        <v/>
      </c>
      <c r="I1308" s="32"/>
      <c r="J1308" s="32"/>
    </row>
    <row r="1309" customFormat="false" ht="15" hidden="false" customHeight="false" outlineLevel="0" collapsed="false">
      <c r="A1309" s="32"/>
      <c r="B1309" s="32"/>
      <c r="C1309" s="32"/>
      <c r="D1309" s="32"/>
      <c r="E1309" s="32"/>
      <c r="F1309" s="32"/>
      <c r="G1309" s="32"/>
      <c r="H1309" s="28" t="str">
        <f aca="false">IF(COUNTA(C1309:G1309)=0,"",IF(AND(C1309="Yes",D1309="Yes",E1309="Yes",F1309="Yes",G1309="No"),"Yes","No"))</f>
        <v/>
      </c>
      <c r="I1309" s="32"/>
      <c r="J1309" s="32"/>
    </row>
    <row r="1310" customFormat="false" ht="15" hidden="false" customHeight="false" outlineLevel="0" collapsed="false">
      <c r="A1310" s="32"/>
      <c r="B1310" s="32"/>
      <c r="C1310" s="32"/>
      <c r="D1310" s="32"/>
      <c r="E1310" s="32"/>
      <c r="F1310" s="32"/>
      <c r="G1310" s="32"/>
      <c r="H1310" s="28" t="str">
        <f aca="false">IF(COUNTA(C1310:G1310)=0,"",IF(AND(C1310="Yes",D1310="Yes",E1310="Yes",F1310="Yes",G1310="No"),"Yes","No"))</f>
        <v/>
      </c>
      <c r="I1310" s="32"/>
      <c r="J1310" s="32"/>
    </row>
    <row r="1311" customFormat="false" ht="15" hidden="false" customHeight="false" outlineLevel="0" collapsed="false">
      <c r="A1311" s="32"/>
      <c r="B1311" s="32"/>
      <c r="C1311" s="32"/>
      <c r="D1311" s="32"/>
      <c r="E1311" s="32"/>
      <c r="F1311" s="32"/>
      <c r="G1311" s="32"/>
      <c r="H1311" s="28" t="str">
        <f aca="false">IF(COUNTA(C1311:G1311)=0,"",IF(AND(C1311="Yes",D1311="Yes",E1311="Yes",F1311="Yes",G1311="No"),"Yes","No"))</f>
        <v/>
      </c>
      <c r="I1311" s="32"/>
      <c r="J1311" s="32"/>
    </row>
    <row r="1312" customFormat="false" ht="15" hidden="false" customHeight="false" outlineLevel="0" collapsed="false">
      <c r="A1312" s="32"/>
      <c r="B1312" s="32"/>
      <c r="C1312" s="32"/>
      <c r="D1312" s="32"/>
      <c r="E1312" s="32"/>
      <c r="F1312" s="32"/>
      <c r="G1312" s="32"/>
      <c r="H1312" s="28" t="str">
        <f aca="false">IF(COUNTA(C1312:G1312)=0,"",IF(AND(C1312="Yes",D1312="Yes",E1312="Yes",F1312="Yes",G1312="No"),"Yes","No"))</f>
        <v/>
      </c>
      <c r="I1312" s="32"/>
      <c r="J1312" s="32"/>
    </row>
    <row r="1313" customFormat="false" ht="15" hidden="false" customHeight="false" outlineLevel="0" collapsed="false">
      <c r="A1313" s="32"/>
      <c r="B1313" s="32"/>
      <c r="C1313" s="32"/>
      <c r="D1313" s="32"/>
      <c r="E1313" s="32"/>
      <c r="F1313" s="32"/>
      <c r="G1313" s="32"/>
      <c r="H1313" s="28" t="str">
        <f aca="false">IF(COUNTA(C1313:G1313)=0,"",IF(AND(C1313="Yes",D1313="Yes",E1313="Yes",F1313="Yes",G1313="No"),"Yes","No"))</f>
        <v/>
      </c>
      <c r="I1313" s="32"/>
      <c r="J1313" s="32"/>
    </row>
    <row r="1314" customFormat="false" ht="15" hidden="false" customHeight="false" outlineLevel="0" collapsed="false">
      <c r="A1314" s="32"/>
      <c r="B1314" s="32"/>
      <c r="C1314" s="32"/>
      <c r="D1314" s="32"/>
      <c r="E1314" s="32"/>
      <c r="F1314" s="32"/>
      <c r="G1314" s="32"/>
      <c r="H1314" s="28" t="str">
        <f aca="false">IF(COUNTA(C1314:G1314)=0,"",IF(AND(C1314="Yes",D1314="Yes",E1314="Yes",F1314="Yes",G1314="No"),"Yes","No"))</f>
        <v/>
      </c>
      <c r="I1314" s="32"/>
      <c r="J1314" s="32"/>
    </row>
    <row r="1315" customFormat="false" ht="15" hidden="false" customHeight="false" outlineLevel="0" collapsed="false">
      <c r="A1315" s="32"/>
      <c r="B1315" s="32"/>
      <c r="C1315" s="32"/>
      <c r="D1315" s="32"/>
      <c r="E1315" s="32"/>
      <c r="F1315" s="32"/>
      <c r="G1315" s="32"/>
      <c r="H1315" s="28" t="str">
        <f aca="false">IF(COUNTA(C1315:G1315)=0,"",IF(AND(C1315="Yes",D1315="Yes",E1315="Yes",F1315="Yes",G1315="No"),"Yes","No"))</f>
        <v/>
      </c>
      <c r="I1315" s="32"/>
      <c r="J1315" s="32"/>
    </row>
    <row r="1316" customFormat="false" ht="15" hidden="false" customHeight="false" outlineLevel="0" collapsed="false">
      <c r="A1316" s="32"/>
      <c r="B1316" s="32"/>
      <c r="C1316" s="32"/>
      <c r="D1316" s="32"/>
      <c r="E1316" s="32"/>
      <c r="F1316" s="32"/>
      <c r="G1316" s="32"/>
      <c r="H1316" s="28" t="str">
        <f aca="false">IF(COUNTA(C1316:G1316)=0,"",IF(AND(C1316="Yes",D1316="Yes",E1316="Yes",F1316="Yes",G1316="No"),"Yes","No"))</f>
        <v/>
      </c>
      <c r="I1316" s="32"/>
      <c r="J1316" s="32"/>
    </row>
    <row r="1317" customFormat="false" ht="15" hidden="false" customHeight="false" outlineLevel="0" collapsed="false">
      <c r="A1317" s="32"/>
      <c r="B1317" s="32"/>
      <c r="C1317" s="32"/>
      <c r="D1317" s="32"/>
      <c r="E1317" s="32"/>
      <c r="F1317" s="32"/>
      <c r="G1317" s="32"/>
      <c r="H1317" s="28" t="str">
        <f aca="false">IF(COUNTA(C1317:G1317)=0,"",IF(AND(C1317="Yes",D1317="Yes",E1317="Yes",F1317="Yes",G1317="No"),"Yes","No"))</f>
        <v/>
      </c>
      <c r="I1317" s="32"/>
      <c r="J1317" s="32"/>
    </row>
    <row r="1318" customFormat="false" ht="15" hidden="false" customHeight="false" outlineLevel="0" collapsed="false">
      <c r="A1318" s="32"/>
      <c r="B1318" s="32"/>
      <c r="C1318" s="32"/>
      <c r="D1318" s="32"/>
      <c r="E1318" s="32"/>
      <c r="F1318" s="32"/>
      <c r="G1318" s="32"/>
      <c r="H1318" s="28" t="str">
        <f aca="false">IF(COUNTA(C1318:G1318)=0,"",IF(AND(C1318="Yes",D1318="Yes",E1318="Yes",F1318="Yes",G1318="No"),"Yes","No"))</f>
        <v/>
      </c>
      <c r="I1318" s="32"/>
      <c r="J1318" s="32"/>
    </row>
    <row r="1319" customFormat="false" ht="15" hidden="false" customHeight="false" outlineLevel="0" collapsed="false">
      <c r="A1319" s="32"/>
      <c r="B1319" s="32"/>
      <c r="C1319" s="32"/>
      <c r="D1319" s="32"/>
      <c r="E1319" s="32"/>
      <c r="F1319" s="32"/>
      <c r="G1319" s="32"/>
      <c r="H1319" s="28" t="str">
        <f aca="false">IF(COUNTA(C1319:G1319)=0,"",IF(AND(C1319="Yes",D1319="Yes",E1319="Yes",F1319="Yes",G1319="No"),"Yes","No"))</f>
        <v/>
      </c>
      <c r="I1319" s="32"/>
      <c r="J1319" s="32"/>
    </row>
    <row r="1320" customFormat="false" ht="15" hidden="false" customHeight="false" outlineLevel="0" collapsed="false">
      <c r="A1320" s="32"/>
      <c r="B1320" s="32"/>
      <c r="C1320" s="32"/>
      <c r="D1320" s="32"/>
      <c r="E1320" s="32"/>
      <c r="F1320" s="32"/>
      <c r="G1320" s="32"/>
      <c r="H1320" s="28" t="str">
        <f aca="false">IF(COUNTA(C1320:G1320)=0,"",IF(AND(C1320="Yes",D1320="Yes",E1320="Yes",F1320="Yes",G1320="No"),"Yes","No"))</f>
        <v/>
      </c>
      <c r="I1320" s="32"/>
      <c r="J1320" s="32"/>
    </row>
    <row r="1321" customFormat="false" ht="15" hidden="false" customHeight="false" outlineLevel="0" collapsed="false">
      <c r="A1321" s="32"/>
      <c r="B1321" s="32"/>
      <c r="C1321" s="32"/>
      <c r="D1321" s="32"/>
      <c r="E1321" s="32"/>
      <c r="F1321" s="32"/>
      <c r="G1321" s="32"/>
      <c r="H1321" s="28" t="str">
        <f aca="false">IF(COUNTA(C1321:G1321)=0,"",IF(AND(C1321="Yes",D1321="Yes",E1321="Yes",F1321="Yes",G1321="No"),"Yes","No"))</f>
        <v/>
      </c>
      <c r="I1321" s="32"/>
      <c r="J1321" s="32"/>
    </row>
    <row r="1322" customFormat="false" ht="15" hidden="false" customHeight="false" outlineLevel="0" collapsed="false">
      <c r="A1322" s="32"/>
      <c r="B1322" s="32"/>
      <c r="C1322" s="32"/>
      <c r="D1322" s="32"/>
      <c r="E1322" s="32"/>
      <c r="F1322" s="32"/>
      <c r="G1322" s="32"/>
      <c r="H1322" s="28" t="str">
        <f aca="false">IF(COUNTA(C1322:G1322)=0,"",IF(AND(C1322="Yes",D1322="Yes",E1322="Yes",F1322="Yes",G1322="No"),"Yes","No"))</f>
        <v/>
      </c>
      <c r="I1322" s="32"/>
      <c r="J1322" s="32"/>
    </row>
    <row r="1323" customFormat="false" ht="15" hidden="false" customHeight="false" outlineLevel="0" collapsed="false">
      <c r="A1323" s="32"/>
      <c r="B1323" s="32"/>
      <c r="C1323" s="32"/>
      <c r="D1323" s="32"/>
      <c r="E1323" s="32"/>
      <c r="F1323" s="32"/>
      <c r="G1323" s="32"/>
      <c r="H1323" s="28" t="str">
        <f aca="false">IF(COUNTA(C1323:G1323)=0,"",IF(AND(C1323="Yes",D1323="Yes",E1323="Yes",F1323="Yes",G1323="No"),"Yes","No"))</f>
        <v/>
      </c>
      <c r="I1323" s="32"/>
      <c r="J1323" s="32"/>
    </row>
    <row r="1324" customFormat="false" ht="15" hidden="false" customHeight="false" outlineLevel="0" collapsed="false">
      <c r="A1324" s="32"/>
      <c r="B1324" s="32"/>
      <c r="C1324" s="32"/>
      <c r="D1324" s="32"/>
      <c r="E1324" s="32"/>
      <c r="F1324" s="32"/>
      <c r="G1324" s="32"/>
      <c r="H1324" s="28" t="str">
        <f aca="false">IF(COUNTA(C1324:G1324)=0,"",IF(AND(C1324="Yes",D1324="Yes",E1324="Yes",F1324="Yes",G1324="No"),"Yes","No"))</f>
        <v/>
      </c>
      <c r="I1324" s="32"/>
      <c r="J1324" s="32"/>
    </row>
    <row r="1325" customFormat="false" ht="15" hidden="false" customHeight="false" outlineLevel="0" collapsed="false">
      <c r="A1325" s="32"/>
      <c r="B1325" s="32"/>
      <c r="C1325" s="32"/>
      <c r="D1325" s="32"/>
      <c r="E1325" s="32"/>
      <c r="F1325" s="32"/>
      <c r="G1325" s="32"/>
      <c r="H1325" s="28" t="str">
        <f aca="false">IF(COUNTA(C1325:G1325)=0,"",IF(AND(C1325="Yes",D1325="Yes",E1325="Yes",F1325="Yes",G1325="No"),"Yes","No"))</f>
        <v/>
      </c>
      <c r="I1325" s="32"/>
      <c r="J1325" s="32"/>
    </row>
    <row r="1326" customFormat="false" ht="15" hidden="false" customHeight="false" outlineLevel="0" collapsed="false">
      <c r="A1326" s="32"/>
      <c r="B1326" s="32"/>
      <c r="C1326" s="32"/>
      <c r="D1326" s="32"/>
      <c r="E1326" s="32"/>
      <c r="F1326" s="32"/>
      <c r="G1326" s="32"/>
      <c r="H1326" s="28" t="str">
        <f aca="false">IF(COUNTA(C1326:G1326)=0,"",IF(AND(C1326="Yes",D1326="Yes",E1326="Yes",F1326="Yes",G1326="No"),"Yes","No"))</f>
        <v/>
      </c>
      <c r="I1326" s="32"/>
      <c r="J1326" s="32"/>
    </row>
    <row r="1327" customFormat="false" ht="15" hidden="false" customHeight="false" outlineLevel="0" collapsed="false">
      <c r="A1327" s="32"/>
      <c r="B1327" s="32"/>
      <c r="C1327" s="32"/>
      <c r="D1327" s="32"/>
      <c r="E1327" s="32"/>
      <c r="F1327" s="32"/>
      <c r="G1327" s="32"/>
      <c r="H1327" s="28" t="str">
        <f aca="false">IF(COUNTA(C1327:G1327)=0,"",IF(AND(C1327="Yes",D1327="Yes",E1327="Yes",F1327="Yes",G1327="No"),"Yes","No"))</f>
        <v/>
      </c>
      <c r="I1327" s="32"/>
      <c r="J1327" s="32"/>
    </row>
    <row r="1328" customFormat="false" ht="15" hidden="false" customHeight="false" outlineLevel="0" collapsed="false">
      <c r="A1328" s="32"/>
      <c r="B1328" s="32"/>
      <c r="C1328" s="32"/>
      <c r="D1328" s="32"/>
      <c r="E1328" s="32"/>
      <c r="F1328" s="32"/>
      <c r="G1328" s="32"/>
      <c r="H1328" s="28" t="str">
        <f aca="false">IF(COUNTA(C1328:G1328)=0,"",IF(AND(C1328="Yes",D1328="Yes",E1328="Yes",F1328="Yes",G1328="No"),"Yes","No"))</f>
        <v/>
      </c>
      <c r="I1328" s="32"/>
      <c r="J1328" s="32"/>
    </row>
    <row r="1329" customFormat="false" ht="15" hidden="false" customHeight="false" outlineLevel="0" collapsed="false">
      <c r="A1329" s="32"/>
      <c r="B1329" s="32"/>
      <c r="C1329" s="32"/>
      <c r="D1329" s="32"/>
      <c r="E1329" s="32"/>
      <c r="F1329" s="32"/>
      <c r="G1329" s="32"/>
      <c r="H1329" s="28" t="str">
        <f aca="false">IF(COUNTA(C1329:G1329)=0,"",IF(AND(C1329="Yes",D1329="Yes",E1329="Yes",F1329="Yes",G1329="No"),"Yes","No"))</f>
        <v/>
      </c>
      <c r="I1329" s="32"/>
      <c r="J1329" s="32"/>
    </row>
    <row r="1330" customFormat="false" ht="15" hidden="false" customHeight="false" outlineLevel="0" collapsed="false">
      <c r="A1330" s="32"/>
      <c r="B1330" s="32"/>
      <c r="C1330" s="32"/>
      <c r="D1330" s="32"/>
      <c r="E1330" s="32"/>
      <c r="F1330" s="32"/>
      <c r="G1330" s="32"/>
      <c r="H1330" s="28" t="str">
        <f aca="false">IF(COUNTA(C1330:G1330)=0,"",IF(AND(C1330="Yes",D1330="Yes",E1330="Yes",F1330="Yes",G1330="No"),"Yes","No"))</f>
        <v/>
      </c>
      <c r="I1330" s="32"/>
      <c r="J1330" s="32"/>
    </row>
    <row r="1331" customFormat="false" ht="15" hidden="false" customHeight="false" outlineLevel="0" collapsed="false">
      <c r="A1331" s="32"/>
      <c r="B1331" s="32"/>
      <c r="C1331" s="32"/>
      <c r="D1331" s="32"/>
      <c r="E1331" s="32"/>
      <c r="F1331" s="32"/>
      <c r="G1331" s="32"/>
      <c r="H1331" s="28" t="str">
        <f aca="false">IF(COUNTA(C1331:G1331)=0,"",IF(AND(C1331="Yes",D1331="Yes",E1331="Yes",F1331="Yes",G1331="No"),"Yes","No"))</f>
        <v/>
      </c>
      <c r="I1331" s="32"/>
      <c r="J1331" s="32"/>
    </row>
    <row r="1332" customFormat="false" ht="15" hidden="false" customHeight="false" outlineLevel="0" collapsed="false">
      <c r="A1332" s="32"/>
      <c r="B1332" s="32"/>
      <c r="C1332" s="32"/>
      <c r="D1332" s="32"/>
      <c r="E1332" s="32"/>
      <c r="F1332" s="32"/>
      <c r="G1332" s="32"/>
      <c r="H1332" s="28" t="str">
        <f aca="false">IF(COUNTA(C1332:G1332)=0,"",IF(AND(C1332="Yes",D1332="Yes",E1332="Yes",F1332="Yes",G1332="No"),"Yes","No"))</f>
        <v/>
      </c>
      <c r="I1332" s="32"/>
      <c r="J1332" s="32"/>
    </row>
    <row r="1333" customFormat="false" ht="15" hidden="false" customHeight="false" outlineLevel="0" collapsed="false">
      <c r="A1333" s="32"/>
      <c r="B1333" s="32"/>
      <c r="C1333" s="32"/>
      <c r="D1333" s="32"/>
      <c r="E1333" s="32"/>
      <c r="F1333" s="32"/>
      <c r="G1333" s="32"/>
      <c r="H1333" s="28" t="str">
        <f aca="false">IF(COUNTA(C1333:G1333)=0,"",IF(AND(C1333="Yes",D1333="Yes",E1333="Yes",F1333="Yes",G1333="No"),"Yes","No"))</f>
        <v/>
      </c>
      <c r="I1333" s="32"/>
      <c r="J1333" s="32"/>
    </row>
    <row r="1334" customFormat="false" ht="15" hidden="false" customHeight="false" outlineLevel="0" collapsed="false">
      <c r="A1334" s="32"/>
      <c r="B1334" s="32"/>
      <c r="C1334" s="32"/>
      <c r="D1334" s="32"/>
      <c r="E1334" s="32"/>
      <c r="F1334" s="32"/>
      <c r="G1334" s="32"/>
      <c r="H1334" s="28" t="str">
        <f aca="false">IF(COUNTA(C1334:G1334)=0,"",IF(AND(C1334="Yes",D1334="Yes",E1334="Yes",F1334="Yes",G1334="No"),"Yes","No"))</f>
        <v/>
      </c>
      <c r="I1334" s="32"/>
      <c r="J1334" s="32"/>
    </row>
    <row r="1335" customFormat="false" ht="15" hidden="false" customHeight="false" outlineLevel="0" collapsed="false">
      <c r="A1335" s="32"/>
      <c r="B1335" s="32"/>
      <c r="C1335" s="32"/>
      <c r="D1335" s="32"/>
      <c r="E1335" s="32"/>
      <c r="F1335" s="32"/>
      <c r="G1335" s="32"/>
      <c r="H1335" s="28" t="str">
        <f aca="false">IF(COUNTA(C1335:G1335)=0,"",IF(AND(C1335="Yes",D1335="Yes",E1335="Yes",F1335="Yes",G1335="No"),"Yes","No"))</f>
        <v/>
      </c>
      <c r="I1335" s="32"/>
      <c r="J1335" s="32"/>
    </row>
    <row r="1336" customFormat="false" ht="15" hidden="false" customHeight="false" outlineLevel="0" collapsed="false">
      <c r="A1336" s="32"/>
      <c r="B1336" s="32"/>
      <c r="C1336" s="32"/>
      <c r="D1336" s="32"/>
      <c r="E1336" s="32"/>
      <c r="F1336" s="32"/>
      <c r="G1336" s="32"/>
      <c r="H1336" s="28" t="str">
        <f aca="false">IF(COUNTA(C1336:G1336)=0,"",IF(AND(C1336="Yes",D1336="Yes",E1336="Yes",F1336="Yes",G1336="No"),"Yes","No"))</f>
        <v/>
      </c>
      <c r="I1336" s="32"/>
      <c r="J1336" s="32"/>
    </row>
    <row r="1337" customFormat="false" ht="15" hidden="false" customHeight="false" outlineLevel="0" collapsed="false">
      <c r="A1337" s="32"/>
      <c r="B1337" s="32"/>
      <c r="C1337" s="32"/>
      <c r="D1337" s="32"/>
      <c r="E1337" s="32"/>
      <c r="F1337" s="32"/>
      <c r="G1337" s="32"/>
      <c r="H1337" s="28" t="str">
        <f aca="false">IF(COUNTA(C1337:G1337)=0,"",IF(AND(C1337="Yes",D1337="Yes",E1337="Yes",F1337="Yes",G1337="No"),"Yes","No"))</f>
        <v/>
      </c>
      <c r="I1337" s="32"/>
      <c r="J1337" s="32"/>
    </row>
    <row r="1338" customFormat="false" ht="15" hidden="false" customHeight="false" outlineLevel="0" collapsed="false">
      <c r="A1338" s="32"/>
      <c r="B1338" s="32"/>
      <c r="C1338" s="32"/>
      <c r="D1338" s="32"/>
      <c r="E1338" s="32"/>
      <c r="F1338" s="32"/>
      <c r="G1338" s="32"/>
      <c r="H1338" s="28" t="str">
        <f aca="false">IF(COUNTA(C1338:G1338)=0,"",IF(AND(C1338="Yes",D1338="Yes",E1338="Yes",F1338="Yes",G1338="No"),"Yes","No"))</f>
        <v/>
      </c>
      <c r="I1338" s="32"/>
      <c r="J1338" s="32"/>
    </row>
    <row r="1339" customFormat="false" ht="15" hidden="false" customHeight="false" outlineLevel="0" collapsed="false">
      <c r="A1339" s="32"/>
      <c r="B1339" s="32"/>
      <c r="C1339" s="32"/>
      <c r="D1339" s="32"/>
      <c r="E1339" s="32"/>
      <c r="F1339" s="32"/>
      <c r="G1339" s="32"/>
      <c r="H1339" s="28" t="str">
        <f aca="false">IF(COUNTA(C1339:G1339)=0,"",IF(AND(C1339="Yes",D1339="Yes",E1339="Yes",F1339="Yes",G1339="No"),"Yes","No"))</f>
        <v/>
      </c>
      <c r="I1339" s="32"/>
      <c r="J1339" s="32"/>
    </row>
    <row r="1340" customFormat="false" ht="15" hidden="false" customHeight="false" outlineLevel="0" collapsed="false">
      <c r="A1340" s="32"/>
      <c r="B1340" s="32"/>
      <c r="C1340" s="32"/>
      <c r="D1340" s="32"/>
      <c r="E1340" s="32"/>
      <c r="F1340" s="32"/>
      <c r="G1340" s="32"/>
      <c r="H1340" s="28" t="str">
        <f aca="false">IF(COUNTA(C1340:G1340)=0,"",IF(AND(C1340="Yes",D1340="Yes",E1340="Yes",F1340="Yes",G1340="No"),"Yes","No"))</f>
        <v/>
      </c>
      <c r="I1340" s="32"/>
      <c r="J1340" s="32"/>
    </row>
    <row r="1341" customFormat="false" ht="15" hidden="false" customHeight="false" outlineLevel="0" collapsed="false">
      <c r="A1341" s="32"/>
      <c r="B1341" s="32"/>
      <c r="C1341" s="32"/>
      <c r="D1341" s="32"/>
      <c r="E1341" s="32"/>
      <c r="F1341" s="32"/>
      <c r="G1341" s="32"/>
      <c r="H1341" s="28" t="str">
        <f aca="false">IF(COUNTA(C1341:G1341)=0,"",IF(AND(C1341="Yes",D1341="Yes",E1341="Yes",F1341="Yes",G1341="No"),"Yes","No"))</f>
        <v/>
      </c>
      <c r="I1341" s="32"/>
      <c r="J1341" s="32"/>
    </row>
    <row r="1342" customFormat="false" ht="15" hidden="false" customHeight="false" outlineLevel="0" collapsed="false">
      <c r="A1342" s="32"/>
      <c r="B1342" s="32"/>
      <c r="C1342" s="32"/>
      <c r="D1342" s="32"/>
      <c r="E1342" s="32"/>
      <c r="F1342" s="32"/>
      <c r="G1342" s="32"/>
      <c r="H1342" s="28" t="str">
        <f aca="false">IF(COUNTA(C1342:G1342)=0,"",IF(AND(C1342="Yes",D1342="Yes",E1342="Yes",F1342="Yes",G1342="No"),"Yes","No"))</f>
        <v/>
      </c>
      <c r="I1342" s="32"/>
      <c r="J1342" s="32"/>
    </row>
    <row r="1343" customFormat="false" ht="15" hidden="false" customHeight="false" outlineLevel="0" collapsed="false">
      <c r="A1343" s="32"/>
      <c r="B1343" s="32"/>
      <c r="C1343" s="32"/>
      <c r="D1343" s="32"/>
      <c r="E1343" s="32"/>
      <c r="F1343" s="32"/>
      <c r="G1343" s="32"/>
      <c r="H1343" s="28" t="str">
        <f aca="false">IF(COUNTA(C1343:G1343)=0,"",IF(AND(C1343="Yes",D1343="Yes",E1343="Yes",F1343="Yes",G1343="No"),"Yes","No"))</f>
        <v/>
      </c>
      <c r="I1343" s="32"/>
      <c r="J1343" s="32"/>
    </row>
    <row r="1344" customFormat="false" ht="15" hidden="false" customHeight="false" outlineLevel="0" collapsed="false">
      <c r="A1344" s="32"/>
      <c r="B1344" s="32"/>
      <c r="C1344" s="32"/>
      <c r="D1344" s="32"/>
      <c r="E1344" s="32"/>
      <c r="F1344" s="32"/>
      <c r="G1344" s="32"/>
      <c r="H1344" s="28" t="str">
        <f aca="false">IF(COUNTA(C1344:G1344)=0,"",IF(AND(C1344="Yes",D1344="Yes",E1344="Yes",F1344="Yes",G1344="No"),"Yes","No"))</f>
        <v/>
      </c>
      <c r="I1344" s="32"/>
      <c r="J1344" s="32"/>
    </row>
    <row r="1345" customFormat="false" ht="15" hidden="false" customHeight="false" outlineLevel="0" collapsed="false">
      <c r="A1345" s="32"/>
      <c r="B1345" s="32"/>
      <c r="C1345" s="32"/>
      <c r="D1345" s="32"/>
      <c r="E1345" s="32"/>
      <c r="F1345" s="32"/>
      <c r="G1345" s="32"/>
      <c r="H1345" s="28" t="str">
        <f aca="false">IF(COUNTA(C1345:G1345)=0,"",IF(AND(C1345="Yes",D1345="Yes",E1345="Yes",F1345="Yes",G1345="No"),"Yes","No"))</f>
        <v/>
      </c>
      <c r="I1345" s="32"/>
      <c r="J1345" s="32"/>
    </row>
    <row r="1346" customFormat="false" ht="15" hidden="false" customHeight="false" outlineLevel="0" collapsed="false">
      <c r="A1346" s="32"/>
      <c r="B1346" s="32"/>
      <c r="C1346" s="32"/>
      <c r="D1346" s="32"/>
      <c r="E1346" s="32"/>
      <c r="F1346" s="32"/>
      <c r="G1346" s="32"/>
      <c r="H1346" s="28" t="str">
        <f aca="false">IF(COUNTA(C1346:G1346)=0,"",IF(AND(C1346="Yes",D1346="Yes",E1346="Yes",F1346="Yes",G1346="No"),"Yes","No"))</f>
        <v/>
      </c>
      <c r="I1346" s="32"/>
      <c r="J1346" s="32"/>
    </row>
    <row r="1347" customFormat="false" ht="15" hidden="false" customHeight="false" outlineLevel="0" collapsed="false">
      <c r="A1347" s="32"/>
      <c r="B1347" s="32"/>
      <c r="C1347" s="32"/>
      <c r="D1347" s="32"/>
      <c r="E1347" s="32"/>
      <c r="F1347" s="32"/>
      <c r="G1347" s="32"/>
      <c r="H1347" s="28" t="str">
        <f aca="false">IF(COUNTA(C1347:G1347)=0,"",IF(AND(C1347="Yes",D1347="Yes",E1347="Yes",F1347="Yes",G1347="No"),"Yes","No"))</f>
        <v/>
      </c>
      <c r="I1347" s="32"/>
      <c r="J1347" s="32"/>
    </row>
    <row r="1348" customFormat="false" ht="15" hidden="false" customHeight="false" outlineLevel="0" collapsed="false">
      <c r="A1348" s="32"/>
      <c r="B1348" s="32"/>
      <c r="C1348" s="32"/>
      <c r="D1348" s="32"/>
      <c r="E1348" s="32"/>
      <c r="F1348" s="32"/>
      <c r="G1348" s="32"/>
      <c r="H1348" s="28" t="str">
        <f aca="false">IF(COUNTA(C1348:G1348)=0,"",IF(AND(C1348="Yes",D1348="Yes",E1348="Yes",F1348="Yes",G1348="No"),"Yes","No"))</f>
        <v/>
      </c>
      <c r="I1348" s="32"/>
      <c r="J1348" s="32"/>
    </row>
    <row r="1349" customFormat="false" ht="15" hidden="false" customHeight="false" outlineLevel="0" collapsed="false">
      <c r="A1349" s="32"/>
      <c r="B1349" s="32"/>
      <c r="C1349" s="32"/>
      <c r="D1349" s="32"/>
      <c r="E1349" s="32"/>
      <c r="F1349" s="32"/>
      <c r="G1349" s="32"/>
      <c r="H1349" s="28" t="str">
        <f aca="false">IF(COUNTA(C1349:G1349)=0,"",IF(AND(C1349="Yes",D1349="Yes",E1349="Yes",F1349="Yes",G1349="No"),"Yes","No"))</f>
        <v/>
      </c>
      <c r="I1349" s="32"/>
      <c r="J1349" s="32"/>
    </row>
    <row r="1350" customFormat="false" ht="15" hidden="false" customHeight="false" outlineLevel="0" collapsed="false">
      <c r="A1350" s="32"/>
      <c r="B1350" s="32"/>
      <c r="C1350" s="32"/>
      <c r="D1350" s="32"/>
      <c r="E1350" s="32"/>
      <c r="F1350" s="32"/>
      <c r="G1350" s="32"/>
      <c r="H1350" s="28" t="str">
        <f aca="false">IF(COUNTA(C1350:G1350)=0,"",IF(AND(C1350="Yes",D1350="Yes",E1350="Yes",F1350="Yes",G1350="No"),"Yes","No"))</f>
        <v/>
      </c>
      <c r="I1350" s="32"/>
      <c r="J1350" s="32"/>
    </row>
    <row r="1351" customFormat="false" ht="15" hidden="false" customHeight="false" outlineLevel="0" collapsed="false">
      <c r="A1351" s="32"/>
      <c r="B1351" s="32"/>
      <c r="C1351" s="32"/>
      <c r="D1351" s="32"/>
      <c r="E1351" s="32"/>
      <c r="F1351" s="32"/>
      <c r="G1351" s="32"/>
      <c r="H1351" s="28" t="str">
        <f aca="false">IF(COUNTA(C1351:G1351)=0,"",IF(AND(C1351="Yes",D1351="Yes",E1351="Yes",F1351="Yes",G1351="No"),"Yes","No"))</f>
        <v/>
      </c>
      <c r="I1351" s="32"/>
      <c r="J1351" s="32"/>
    </row>
    <row r="1352" customFormat="false" ht="15" hidden="false" customHeight="false" outlineLevel="0" collapsed="false">
      <c r="A1352" s="32"/>
      <c r="B1352" s="32"/>
      <c r="C1352" s="32"/>
      <c r="D1352" s="32"/>
      <c r="E1352" s="32"/>
      <c r="F1352" s="32"/>
      <c r="G1352" s="32"/>
      <c r="H1352" s="28" t="str">
        <f aca="false">IF(COUNTA(C1352:G1352)=0,"",IF(AND(C1352="Yes",D1352="Yes",E1352="Yes",F1352="Yes",G1352="No"),"Yes","No"))</f>
        <v/>
      </c>
      <c r="I1352" s="32"/>
      <c r="J1352" s="32"/>
    </row>
    <row r="1353" customFormat="false" ht="15" hidden="false" customHeight="false" outlineLevel="0" collapsed="false">
      <c r="A1353" s="32"/>
      <c r="B1353" s="32"/>
      <c r="C1353" s="32"/>
      <c r="D1353" s="32"/>
      <c r="E1353" s="32"/>
      <c r="F1353" s="32"/>
      <c r="G1353" s="32"/>
      <c r="H1353" s="28" t="str">
        <f aca="false">IF(COUNTA(C1353:G1353)=0,"",IF(AND(C1353="Yes",D1353="Yes",E1353="Yes",F1353="Yes",G1353="No"),"Yes","No"))</f>
        <v/>
      </c>
      <c r="I1353" s="32"/>
      <c r="J1353" s="32"/>
    </row>
    <row r="1354" customFormat="false" ht="15" hidden="false" customHeight="false" outlineLevel="0" collapsed="false">
      <c r="A1354" s="32"/>
      <c r="B1354" s="32"/>
      <c r="C1354" s="32"/>
      <c r="D1354" s="32"/>
      <c r="E1354" s="32"/>
      <c r="F1354" s="32"/>
      <c r="G1354" s="32"/>
      <c r="H1354" s="28" t="str">
        <f aca="false">IF(COUNTA(C1354:G1354)=0,"",IF(AND(C1354="Yes",D1354="Yes",E1354="Yes",F1354="Yes",G1354="No"),"Yes","No"))</f>
        <v/>
      </c>
      <c r="I1354" s="32"/>
      <c r="J1354" s="32"/>
    </row>
    <row r="1355" customFormat="false" ht="15" hidden="false" customHeight="false" outlineLevel="0" collapsed="false">
      <c r="A1355" s="32"/>
      <c r="B1355" s="32"/>
      <c r="C1355" s="32"/>
      <c r="D1355" s="32"/>
      <c r="E1355" s="32"/>
      <c r="F1355" s="32"/>
      <c r="G1355" s="32"/>
      <c r="H1355" s="28" t="str">
        <f aca="false">IF(COUNTA(C1355:G1355)=0,"",IF(AND(C1355="Yes",D1355="Yes",E1355="Yes",F1355="Yes",G1355="No"),"Yes","No"))</f>
        <v/>
      </c>
      <c r="I1355" s="32"/>
      <c r="J1355" s="32"/>
    </row>
    <row r="1356" customFormat="false" ht="15" hidden="false" customHeight="false" outlineLevel="0" collapsed="false">
      <c r="A1356" s="32"/>
      <c r="B1356" s="32"/>
      <c r="C1356" s="32"/>
      <c r="D1356" s="32"/>
      <c r="E1356" s="32"/>
      <c r="F1356" s="32"/>
      <c r="G1356" s="32"/>
      <c r="H1356" s="28" t="str">
        <f aca="false">IF(COUNTA(C1356:G1356)=0,"",IF(AND(C1356="Yes",D1356="Yes",E1356="Yes",F1356="Yes",G1356="No"),"Yes","No"))</f>
        <v/>
      </c>
      <c r="I1356" s="32"/>
      <c r="J1356" s="32"/>
    </row>
    <row r="1357" customFormat="false" ht="15" hidden="false" customHeight="false" outlineLevel="0" collapsed="false">
      <c r="A1357" s="32"/>
      <c r="B1357" s="32"/>
      <c r="C1357" s="32"/>
      <c r="D1357" s="32"/>
      <c r="E1357" s="32"/>
      <c r="F1357" s="32"/>
      <c r="G1357" s="32"/>
      <c r="H1357" s="28" t="str">
        <f aca="false">IF(COUNTA(C1357:G1357)=0,"",IF(AND(C1357="Yes",D1357="Yes",E1357="Yes",F1357="Yes",G1357="No"),"Yes","No"))</f>
        <v/>
      </c>
      <c r="I1357" s="32"/>
      <c r="J1357" s="32"/>
    </row>
    <row r="1358" customFormat="false" ht="15" hidden="false" customHeight="false" outlineLevel="0" collapsed="false">
      <c r="A1358" s="32"/>
      <c r="B1358" s="32"/>
      <c r="C1358" s="32"/>
      <c r="D1358" s="32"/>
      <c r="E1358" s="32"/>
      <c r="F1358" s="32"/>
      <c r="G1358" s="32"/>
      <c r="H1358" s="28" t="str">
        <f aca="false">IF(COUNTA(C1358:G1358)=0,"",IF(AND(C1358="Yes",D1358="Yes",E1358="Yes",F1358="Yes",G1358="No"),"Yes","No"))</f>
        <v/>
      </c>
      <c r="I1358" s="32"/>
      <c r="J1358" s="32"/>
    </row>
    <row r="1359" customFormat="false" ht="15" hidden="false" customHeight="false" outlineLevel="0" collapsed="false">
      <c r="A1359" s="32"/>
      <c r="B1359" s="32"/>
      <c r="C1359" s="32"/>
      <c r="D1359" s="32"/>
      <c r="E1359" s="32"/>
      <c r="F1359" s="32"/>
      <c r="G1359" s="32"/>
      <c r="H1359" s="28" t="str">
        <f aca="false">IF(COUNTA(C1359:G1359)=0,"",IF(AND(C1359="Yes",D1359="Yes",E1359="Yes",F1359="Yes",G1359="No"),"Yes","No"))</f>
        <v/>
      </c>
      <c r="I1359" s="32"/>
      <c r="J1359" s="32"/>
    </row>
    <row r="1360" customFormat="false" ht="15" hidden="false" customHeight="false" outlineLevel="0" collapsed="false">
      <c r="A1360" s="32"/>
      <c r="B1360" s="32"/>
      <c r="C1360" s="32"/>
      <c r="D1360" s="32"/>
      <c r="E1360" s="32"/>
      <c r="F1360" s="32"/>
      <c r="G1360" s="32"/>
      <c r="H1360" s="28" t="str">
        <f aca="false">IF(COUNTA(C1360:G1360)=0,"",IF(AND(C1360="Yes",D1360="Yes",E1360="Yes",F1360="Yes",G1360="No"),"Yes","No"))</f>
        <v/>
      </c>
      <c r="I1360" s="32"/>
      <c r="J1360" s="32"/>
    </row>
    <row r="1361" customFormat="false" ht="15" hidden="false" customHeight="false" outlineLevel="0" collapsed="false">
      <c r="A1361" s="32"/>
      <c r="B1361" s="32"/>
      <c r="C1361" s="32"/>
      <c r="D1361" s="32"/>
      <c r="E1361" s="32"/>
      <c r="F1361" s="32"/>
      <c r="G1361" s="32"/>
      <c r="H1361" s="28" t="str">
        <f aca="false">IF(COUNTA(C1361:G1361)=0,"",IF(AND(C1361="Yes",D1361="Yes",E1361="Yes",F1361="Yes",G1361="No"),"Yes","No"))</f>
        <v/>
      </c>
      <c r="I1361" s="32"/>
      <c r="J1361" s="32"/>
    </row>
    <row r="1362" customFormat="false" ht="15" hidden="false" customHeight="false" outlineLevel="0" collapsed="false">
      <c r="A1362" s="32"/>
      <c r="B1362" s="32"/>
      <c r="C1362" s="32"/>
      <c r="D1362" s="32"/>
      <c r="E1362" s="32"/>
      <c r="F1362" s="32"/>
      <c r="G1362" s="32"/>
      <c r="H1362" s="28" t="str">
        <f aca="false">IF(COUNTA(C1362:G1362)=0,"",IF(AND(C1362="Yes",D1362="Yes",E1362="Yes",F1362="Yes",G1362="No"),"Yes","No"))</f>
        <v/>
      </c>
      <c r="I1362" s="32"/>
      <c r="J1362" s="32"/>
    </row>
    <row r="1363" customFormat="false" ht="15" hidden="false" customHeight="false" outlineLevel="0" collapsed="false">
      <c r="A1363" s="32"/>
      <c r="B1363" s="32"/>
      <c r="C1363" s="32"/>
      <c r="D1363" s="32"/>
      <c r="E1363" s="32"/>
      <c r="F1363" s="32"/>
      <c r="G1363" s="32"/>
      <c r="H1363" s="28" t="str">
        <f aca="false">IF(COUNTA(C1363:G1363)=0,"",IF(AND(C1363="Yes",D1363="Yes",E1363="Yes",F1363="Yes",G1363="No"),"Yes","No"))</f>
        <v/>
      </c>
      <c r="I1363" s="32"/>
      <c r="J1363" s="32"/>
    </row>
    <row r="1364" customFormat="false" ht="15" hidden="false" customHeight="false" outlineLevel="0" collapsed="false">
      <c r="A1364" s="32"/>
      <c r="B1364" s="32"/>
      <c r="C1364" s="32"/>
      <c r="D1364" s="32"/>
      <c r="E1364" s="32"/>
      <c r="F1364" s="32"/>
      <c r="G1364" s="32"/>
      <c r="H1364" s="28" t="str">
        <f aca="false">IF(COUNTA(C1364:G1364)=0,"",IF(AND(C1364="Yes",D1364="Yes",E1364="Yes",F1364="Yes",G1364="No"),"Yes","No"))</f>
        <v/>
      </c>
      <c r="I1364" s="32"/>
      <c r="J1364" s="32"/>
    </row>
    <row r="1365" customFormat="false" ht="15" hidden="false" customHeight="false" outlineLevel="0" collapsed="false">
      <c r="A1365" s="32"/>
      <c r="B1365" s="32"/>
      <c r="C1365" s="32"/>
      <c r="D1365" s="32"/>
      <c r="E1365" s="32"/>
      <c r="F1365" s="32"/>
      <c r="G1365" s="32"/>
      <c r="H1365" s="28" t="str">
        <f aca="false">IF(COUNTA(C1365:G1365)=0,"",IF(AND(C1365="Yes",D1365="Yes",E1365="Yes",F1365="Yes",G1365="No"),"Yes","No"))</f>
        <v/>
      </c>
      <c r="I1365" s="32"/>
      <c r="J1365" s="32"/>
    </row>
    <row r="1366" customFormat="false" ht="15" hidden="false" customHeight="false" outlineLevel="0" collapsed="false">
      <c r="A1366" s="32"/>
      <c r="B1366" s="32"/>
      <c r="C1366" s="32"/>
      <c r="D1366" s="32"/>
      <c r="E1366" s="32"/>
      <c r="F1366" s="32"/>
      <c r="G1366" s="32"/>
      <c r="H1366" s="28" t="str">
        <f aca="false">IF(COUNTA(C1366:G1366)=0,"",IF(AND(C1366="Yes",D1366="Yes",E1366="Yes",F1366="Yes",G1366="No"),"Yes","No"))</f>
        <v/>
      </c>
      <c r="I1366" s="32"/>
      <c r="J1366" s="32"/>
    </row>
    <row r="1367" customFormat="false" ht="15" hidden="false" customHeight="false" outlineLevel="0" collapsed="false">
      <c r="A1367" s="32"/>
      <c r="B1367" s="32"/>
      <c r="C1367" s="32"/>
      <c r="D1367" s="32"/>
      <c r="E1367" s="32"/>
      <c r="F1367" s="32"/>
      <c r="G1367" s="32"/>
      <c r="H1367" s="28" t="str">
        <f aca="false">IF(COUNTA(C1367:G1367)=0,"",IF(AND(C1367="Yes",D1367="Yes",E1367="Yes",F1367="Yes",G1367="No"),"Yes","No"))</f>
        <v/>
      </c>
      <c r="I1367" s="32"/>
      <c r="J1367" s="32"/>
    </row>
    <row r="1368" customFormat="false" ht="15" hidden="false" customHeight="false" outlineLevel="0" collapsed="false">
      <c r="A1368" s="32"/>
      <c r="B1368" s="32"/>
      <c r="C1368" s="32"/>
      <c r="D1368" s="32"/>
      <c r="E1368" s="32"/>
      <c r="F1368" s="32"/>
      <c r="G1368" s="32"/>
      <c r="H1368" s="28" t="str">
        <f aca="false">IF(COUNTA(C1368:G1368)=0,"",IF(AND(C1368="Yes",D1368="Yes",E1368="Yes",F1368="Yes",G1368="No"),"Yes","No"))</f>
        <v/>
      </c>
      <c r="I1368" s="32"/>
      <c r="J1368" s="32"/>
    </row>
    <row r="1369" customFormat="false" ht="15" hidden="false" customHeight="false" outlineLevel="0" collapsed="false">
      <c r="A1369" s="32"/>
      <c r="B1369" s="32"/>
      <c r="C1369" s="32"/>
      <c r="D1369" s="32"/>
      <c r="E1369" s="32"/>
      <c r="F1369" s="32"/>
      <c r="G1369" s="32"/>
      <c r="H1369" s="28" t="str">
        <f aca="false">IF(COUNTA(C1369:G1369)=0,"",IF(AND(C1369="Yes",D1369="Yes",E1369="Yes",F1369="Yes",G1369="No"),"Yes","No"))</f>
        <v/>
      </c>
      <c r="I1369" s="32"/>
      <c r="J1369" s="32"/>
    </row>
    <row r="1370" customFormat="false" ht="15" hidden="false" customHeight="false" outlineLevel="0" collapsed="false">
      <c r="A1370" s="32"/>
      <c r="B1370" s="32"/>
      <c r="C1370" s="32"/>
      <c r="D1370" s="32"/>
      <c r="E1370" s="32"/>
      <c r="F1370" s="32"/>
      <c r="G1370" s="32"/>
      <c r="H1370" s="28" t="str">
        <f aca="false">IF(COUNTA(C1370:G1370)=0,"",IF(AND(C1370="Yes",D1370="Yes",E1370="Yes",F1370="Yes",G1370="No"),"Yes","No"))</f>
        <v/>
      </c>
      <c r="I1370" s="32"/>
      <c r="J1370" s="32"/>
    </row>
    <row r="1371" customFormat="false" ht="15" hidden="false" customHeight="false" outlineLevel="0" collapsed="false">
      <c r="A1371" s="32"/>
      <c r="B1371" s="32"/>
      <c r="C1371" s="32"/>
      <c r="D1371" s="32"/>
      <c r="E1371" s="32"/>
      <c r="F1371" s="32"/>
      <c r="G1371" s="32"/>
      <c r="H1371" s="28" t="str">
        <f aca="false">IF(COUNTA(C1371:G1371)=0,"",IF(AND(C1371="Yes",D1371="Yes",E1371="Yes",F1371="Yes",G1371="No"),"Yes","No"))</f>
        <v/>
      </c>
      <c r="I1371" s="32"/>
      <c r="J1371" s="32"/>
    </row>
    <row r="1372" customFormat="false" ht="15" hidden="false" customHeight="false" outlineLevel="0" collapsed="false">
      <c r="A1372" s="32"/>
      <c r="B1372" s="32"/>
      <c r="C1372" s="32"/>
      <c r="D1372" s="32"/>
      <c r="E1372" s="32"/>
      <c r="F1372" s="32"/>
      <c r="G1372" s="32"/>
      <c r="H1372" s="28" t="str">
        <f aca="false">IF(COUNTA(C1372:G1372)=0,"",IF(AND(C1372="Yes",D1372="Yes",E1372="Yes",F1372="Yes",G1372="No"),"Yes","No"))</f>
        <v/>
      </c>
      <c r="I1372" s="32"/>
      <c r="J1372" s="32"/>
    </row>
    <row r="1373" customFormat="false" ht="15" hidden="false" customHeight="false" outlineLevel="0" collapsed="false">
      <c r="A1373" s="32"/>
      <c r="B1373" s="32"/>
      <c r="C1373" s="32"/>
      <c r="D1373" s="32"/>
      <c r="E1373" s="32"/>
      <c r="F1373" s="32"/>
      <c r="G1373" s="32"/>
      <c r="H1373" s="28" t="str">
        <f aca="false">IF(COUNTA(C1373:G1373)=0,"",IF(AND(C1373="Yes",D1373="Yes",E1373="Yes",F1373="Yes",G1373="No"),"Yes","No"))</f>
        <v/>
      </c>
      <c r="I1373" s="32"/>
      <c r="J1373" s="32"/>
    </row>
    <row r="1374" customFormat="false" ht="15" hidden="false" customHeight="false" outlineLevel="0" collapsed="false">
      <c r="A1374" s="32"/>
      <c r="B1374" s="32"/>
      <c r="C1374" s="32"/>
      <c r="D1374" s="32"/>
      <c r="E1374" s="32"/>
      <c r="F1374" s="32"/>
      <c r="G1374" s="32"/>
      <c r="H1374" s="28" t="str">
        <f aca="false">IF(COUNTA(C1374:G1374)=0,"",IF(AND(C1374="Yes",D1374="Yes",E1374="Yes",F1374="Yes",G1374="No"),"Yes","No"))</f>
        <v/>
      </c>
      <c r="I1374" s="32"/>
      <c r="J1374" s="32"/>
    </row>
    <row r="1375" customFormat="false" ht="15" hidden="false" customHeight="false" outlineLevel="0" collapsed="false">
      <c r="A1375" s="32"/>
      <c r="B1375" s="32"/>
      <c r="C1375" s="32"/>
      <c r="D1375" s="32"/>
      <c r="E1375" s="32"/>
      <c r="F1375" s="32"/>
      <c r="G1375" s="32"/>
      <c r="H1375" s="28" t="str">
        <f aca="false">IF(COUNTA(C1375:G1375)=0,"",IF(AND(C1375="Yes",D1375="Yes",E1375="Yes",F1375="Yes",G1375="No"),"Yes","No"))</f>
        <v/>
      </c>
      <c r="I1375" s="32"/>
      <c r="J1375" s="32"/>
    </row>
    <row r="1376" customFormat="false" ht="15" hidden="false" customHeight="false" outlineLevel="0" collapsed="false">
      <c r="A1376" s="32"/>
      <c r="B1376" s="32"/>
      <c r="C1376" s="32"/>
      <c r="D1376" s="32"/>
      <c r="E1376" s="32"/>
      <c r="F1376" s="32"/>
      <c r="G1376" s="32"/>
      <c r="H1376" s="28" t="str">
        <f aca="false">IF(COUNTA(C1376:G1376)=0,"",IF(AND(C1376="Yes",D1376="Yes",E1376="Yes",F1376="Yes",G1376="No"),"Yes","No"))</f>
        <v/>
      </c>
      <c r="I1376" s="32"/>
      <c r="J1376" s="32"/>
    </row>
    <row r="1377" customFormat="false" ht="15" hidden="false" customHeight="false" outlineLevel="0" collapsed="false">
      <c r="A1377" s="32"/>
      <c r="B1377" s="32"/>
      <c r="C1377" s="32"/>
      <c r="D1377" s="32"/>
      <c r="E1377" s="32"/>
      <c r="F1377" s="32"/>
      <c r="G1377" s="32"/>
      <c r="H1377" s="28" t="str">
        <f aca="false">IF(COUNTA(C1377:G1377)=0,"",IF(AND(C1377="Yes",D1377="Yes",E1377="Yes",F1377="Yes",G1377="No"),"Yes","No"))</f>
        <v/>
      </c>
      <c r="I1377" s="32"/>
      <c r="J1377" s="32"/>
    </row>
    <row r="1378" customFormat="false" ht="15" hidden="false" customHeight="false" outlineLevel="0" collapsed="false">
      <c r="A1378" s="32"/>
      <c r="B1378" s="32"/>
      <c r="C1378" s="32"/>
      <c r="D1378" s="32"/>
      <c r="E1378" s="32"/>
      <c r="F1378" s="32"/>
      <c r="G1378" s="32"/>
      <c r="H1378" s="28" t="str">
        <f aca="false">IF(COUNTA(C1378:G1378)=0,"",IF(AND(C1378="Yes",D1378="Yes",E1378="Yes",F1378="Yes",G1378="No"),"Yes","No"))</f>
        <v/>
      </c>
      <c r="I1378" s="32"/>
      <c r="J1378" s="32"/>
    </row>
    <row r="1379" customFormat="false" ht="15" hidden="false" customHeight="false" outlineLevel="0" collapsed="false">
      <c r="A1379" s="32"/>
      <c r="B1379" s="32"/>
      <c r="C1379" s="32"/>
      <c r="D1379" s="32"/>
      <c r="E1379" s="32"/>
      <c r="F1379" s="32"/>
      <c r="G1379" s="32"/>
      <c r="H1379" s="28" t="str">
        <f aca="false">IF(COUNTA(C1379:G1379)=0,"",IF(AND(C1379="Yes",D1379="Yes",E1379="Yes",F1379="Yes",G1379="No"),"Yes","No"))</f>
        <v/>
      </c>
      <c r="I1379" s="32"/>
      <c r="J1379" s="32"/>
    </row>
    <row r="1380" customFormat="false" ht="15" hidden="false" customHeight="false" outlineLevel="0" collapsed="false">
      <c r="A1380" s="32"/>
      <c r="B1380" s="32"/>
      <c r="C1380" s="32"/>
      <c r="D1380" s="32"/>
      <c r="E1380" s="32"/>
      <c r="F1380" s="32"/>
      <c r="G1380" s="32"/>
      <c r="H1380" s="28" t="str">
        <f aca="false">IF(COUNTA(C1380:G1380)=0,"",IF(AND(C1380="Yes",D1380="Yes",E1380="Yes",F1380="Yes",G1380="No"),"Yes","No"))</f>
        <v/>
      </c>
      <c r="I1380" s="32"/>
      <c r="J1380" s="32"/>
    </row>
    <row r="1381" customFormat="false" ht="15" hidden="false" customHeight="false" outlineLevel="0" collapsed="false">
      <c r="A1381" s="32"/>
      <c r="B1381" s="32"/>
      <c r="C1381" s="32"/>
      <c r="D1381" s="32"/>
      <c r="E1381" s="32"/>
      <c r="F1381" s="32"/>
      <c r="G1381" s="32"/>
      <c r="H1381" s="28" t="str">
        <f aca="false">IF(COUNTA(C1381:G1381)=0,"",IF(AND(C1381="Yes",D1381="Yes",E1381="Yes",F1381="Yes",G1381="No"),"Yes","No"))</f>
        <v/>
      </c>
      <c r="I1381" s="32"/>
      <c r="J1381" s="32"/>
    </row>
    <row r="1382" customFormat="false" ht="15" hidden="false" customHeight="false" outlineLevel="0" collapsed="false">
      <c r="A1382" s="32"/>
      <c r="B1382" s="32"/>
      <c r="C1382" s="32"/>
      <c r="D1382" s="32"/>
      <c r="E1382" s="32"/>
      <c r="F1382" s="32"/>
      <c r="G1382" s="32"/>
      <c r="H1382" s="28" t="str">
        <f aca="false">IF(COUNTA(C1382:G1382)=0,"",IF(AND(C1382="Yes",D1382="Yes",E1382="Yes",F1382="Yes",G1382="No"),"Yes","No"))</f>
        <v/>
      </c>
      <c r="I1382" s="32"/>
      <c r="J1382" s="32"/>
    </row>
    <row r="1383" customFormat="false" ht="15" hidden="false" customHeight="false" outlineLevel="0" collapsed="false">
      <c r="A1383" s="32"/>
      <c r="B1383" s="32"/>
      <c r="C1383" s="32"/>
      <c r="D1383" s="32"/>
      <c r="E1383" s="32"/>
      <c r="F1383" s="32"/>
      <c r="G1383" s="32"/>
      <c r="H1383" s="28" t="str">
        <f aca="false">IF(COUNTA(C1383:G1383)=0,"",IF(AND(C1383="Yes",D1383="Yes",E1383="Yes",F1383="Yes",G1383="No"),"Yes","No"))</f>
        <v/>
      </c>
      <c r="I1383" s="32"/>
      <c r="J1383" s="32"/>
    </row>
    <row r="1384" customFormat="false" ht="15" hidden="false" customHeight="false" outlineLevel="0" collapsed="false">
      <c r="A1384" s="32"/>
      <c r="B1384" s="32"/>
      <c r="C1384" s="32"/>
      <c r="D1384" s="32"/>
      <c r="E1384" s="32"/>
      <c r="F1384" s="32"/>
      <c r="G1384" s="32"/>
      <c r="H1384" s="28" t="str">
        <f aca="false">IF(COUNTA(C1384:G1384)=0,"",IF(AND(C1384="Yes",D1384="Yes",E1384="Yes",F1384="Yes",G1384="No"),"Yes","No"))</f>
        <v/>
      </c>
      <c r="I1384" s="32"/>
      <c r="J1384" s="32"/>
    </row>
    <row r="1385" customFormat="false" ht="15" hidden="false" customHeight="false" outlineLevel="0" collapsed="false">
      <c r="A1385" s="32"/>
      <c r="B1385" s="32"/>
      <c r="C1385" s="32"/>
      <c r="D1385" s="32"/>
      <c r="E1385" s="32"/>
      <c r="F1385" s="32"/>
      <c r="G1385" s="32"/>
      <c r="H1385" s="28" t="str">
        <f aca="false">IF(COUNTA(C1385:G1385)=0,"",IF(AND(C1385="Yes",D1385="Yes",E1385="Yes",F1385="Yes",G1385="No"),"Yes","No"))</f>
        <v/>
      </c>
      <c r="I1385" s="32"/>
      <c r="J1385" s="32"/>
    </row>
    <row r="1386" customFormat="false" ht="15" hidden="false" customHeight="false" outlineLevel="0" collapsed="false">
      <c r="A1386" s="32"/>
      <c r="B1386" s="32"/>
      <c r="C1386" s="32"/>
      <c r="D1386" s="32"/>
      <c r="E1386" s="32"/>
      <c r="F1386" s="32"/>
      <c r="G1386" s="32"/>
      <c r="H1386" s="28" t="str">
        <f aca="false">IF(COUNTA(C1386:G1386)=0,"",IF(AND(C1386="Yes",D1386="Yes",E1386="Yes",F1386="Yes",G1386="No"),"Yes","No"))</f>
        <v/>
      </c>
      <c r="I1386" s="32"/>
      <c r="J1386" s="32"/>
    </row>
    <row r="1387" customFormat="false" ht="15" hidden="false" customHeight="false" outlineLevel="0" collapsed="false">
      <c r="A1387" s="32"/>
      <c r="B1387" s="32"/>
      <c r="C1387" s="32"/>
      <c r="D1387" s="32"/>
      <c r="E1387" s="32"/>
      <c r="F1387" s="32"/>
      <c r="G1387" s="32"/>
      <c r="H1387" s="28" t="str">
        <f aca="false">IF(COUNTA(C1387:G1387)=0,"",IF(AND(C1387="Yes",D1387="Yes",E1387="Yes",F1387="Yes",G1387="No"),"Yes","No"))</f>
        <v/>
      </c>
      <c r="I1387" s="32"/>
      <c r="J1387" s="32"/>
    </row>
    <row r="1388" customFormat="false" ht="15" hidden="false" customHeight="false" outlineLevel="0" collapsed="false">
      <c r="A1388" s="32"/>
      <c r="B1388" s="32"/>
      <c r="C1388" s="32"/>
      <c r="D1388" s="32"/>
      <c r="E1388" s="32"/>
      <c r="F1388" s="32"/>
      <c r="G1388" s="32"/>
      <c r="H1388" s="28" t="str">
        <f aca="false">IF(COUNTA(C1388:G1388)=0,"",IF(AND(C1388="Yes",D1388="Yes",E1388="Yes",F1388="Yes",G1388="No"),"Yes","No"))</f>
        <v/>
      </c>
      <c r="I1388" s="32"/>
      <c r="J1388" s="32"/>
    </row>
    <row r="1389" customFormat="false" ht="15" hidden="false" customHeight="false" outlineLevel="0" collapsed="false">
      <c r="A1389" s="32"/>
      <c r="B1389" s="32"/>
      <c r="C1389" s="32"/>
      <c r="D1389" s="32"/>
      <c r="E1389" s="32"/>
      <c r="F1389" s="32"/>
      <c r="G1389" s="32"/>
      <c r="H1389" s="28" t="str">
        <f aca="false">IF(COUNTA(C1389:G1389)=0,"",IF(AND(C1389="Yes",D1389="Yes",E1389="Yes",F1389="Yes",G1389="No"),"Yes","No"))</f>
        <v/>
      </c>
      <c r="I1389" s="32"/>
      <c r="J1389" s="32"/>
    </row>
    <row r="1390" customFormat="false" ht="15" hidden="false" customHeight="false" outlineLevel="0" collapsed="false">
      <c r="A1390" s="32"/>
      <c r="B1390" s="32"/>
      <c r="C1390" s="32"/>
      <c r="D1390" s="32"/>
      <c r="E1390" s="32"/>
      <c r="F1390" s="32"/>
      <c r="G1390" s="32"/>
      <c r="H1390" s="28" t="str">
        <f aca="false">IF(COUNTA(C1390:G1390)=0,"",IF(AND(C1390="Yes",D1390="Yes",E1390="Yes",F1390="Yes",G1390="No"),"Yes","No"))</f>
        <v/>
      </c>
      <c r="I1390" s="32"/>
      <c r="J1390" s="32"/>
    </row>
    <row r="1391" customFormat="false" ht="15" hidden="false" customHeight="false" outlineLevel="0" collapsed="false">
      <c r="A1391" s="32"/>
      <c r="B1391" s="32"/>
      <c r="C1391" s="32"/>
      <c r="D1391" s="32"/>
      <c r="E1391" s="32"/>
      <c r="F1391" s="32"/>
      <c r="G1391" s="32"/>
      <c r="H1391" s="28" t="str">
        <f aca="false">IF(COUNTA(C1391:G1391)=0,"",IF(AND(C1391="Yes",D1391="Yes",E1391="Yes",F1391="Yes",G1391="No"),"Yes","No"))</f>
        <v/>
      </c>
      <c r="I1391" s="32"/>
      <c r="J1391" s="32"/>
    </row>
    <row r="1392" customFormat="false" ht="15" hidden="false" customHeight="false" outlineLevel="0" collapsed="false">
      <c r="A1392" s="32"/>
      <c r="B1392" s="32"/>
      <c r="C1392" s="32"/>
      <c r="D1392" s="32"/>
      <c r="E1392" s="32"/>
      <c r="F1392" s="32"/>
      <c r="G1392" s="32"/>
      <c r="H1392" s="28" t="str">
        <f aca="false">IF(COUNTA(C1392:G1392)=0,"",IF(AND(C1392="Yes",D1392="Yes",E1392="Yes",F1392="Yes",G1392="No"),"Yes","No"))</f>
        <v/>
      </c>
      <c r="I1392" s="32"/>
      <c r="J1392" s="32"/>
    </row>
    <row r="1393" customFormat="false" ht="15" hidden="false" customHeight="false" outlineLevel="0" collapsed="false">
      <c r="A1393" s="32"/>
      <c r="B1393" s="32"/>
      <c r="C1393" s="32"/>
      <c r="D1393" s="32"/>
      <c r="E1393" s="32"/>
      <c r="F1393" s="32"/>
      <c r="G1393" s="32"/>
      <c r="H1393" s="28" t="str">
        <f aca="false">IF(COUNTA(C1393:G1393)=0,"",IF(AND(C1393="Yes",D1393="Yes",E1393="Yes",F1393="Yes",G1393="No"),"Yes","No"))</f>
        <v/>
      </c>
      <c r="I1393" s="32"/>
      <c r="J1393" s="32"/>
    </row>
    <row r="1394" customFormat="false" ht="15" hidden="false" customHeight="false" outlineLevel="0" collapsed="false">
      <c r="A1394" s="32"/>
      <c r="B1394" s="32"/>
      <c r="C1394" s="32"/>
      <c r="D1394" s="32"/>
      <c r="E1394" s="32"/>
      <c r="F1394" s="32"/>
      <c r="G1394" s="32"/>
      <c r="H1394" s="28" t="str">
        <f aca="false">IF(COUNTA(C1394:G1394)=0,"",IF(AND(C1394="Yes",D1394="Yes",E1394="Yes",F1394="Yes",G1394="No"),"Yes","No"))</f>
        <v/>
      </c>
      <c r="I1394" s="32"/>
      <c r="J1394" s="32"/>
    </row>
    <row r="1395" customFormat="false" ht="15" hidden="false" customHeight="false" outlineLevel="0" collapsed="false">
      <c r="A1395" s="32"/>
      <c r="B1395" s="32"/>
      <c r="C1395" s="32"/>
      <c r="D1395" s="32"/>
      <c r="E1395" s="32"/>
      <c r="F1395" s="32"/>
      <c r="G1395" s="32"/>
      <c r="H1395" s="28" t="str">
        <f aca="false">IF(COUNTA(C1395:G1395)=0,"",IF(AND(C1395="Yes",D1395="Yes",E1395="Yes",F1395="Yes",G1395="No"),"Yes","No"))</f>
        <v/>
      </c>
      <c r="I1395" s="32"/>
      <c r="J1395" s="32"/>
    </row>
    <row r="1396" customFormat="false" ht="15" hidden="false" customHeight="false" outlineLevel="0" collapsed="false">
      <c r="A1396" s="32"/>
      <c r="B1396" s="32"/>
      <c r="C1396" s="32"/>
      <c r="D1396" s="32"/>
      <c r="E1396" s="32"/>
      <c r="F1396" s="32"/>
      <c r="G1396" s="32"/>
      <c r="H1396" s="28" t="str">
        <f aca="false">IF(COUNTA(C1396:G1396)=0,"",IF(AND(C1396="Yes",D1396="Yes",E1396="Yes",F1396="Yes",G1396="No"),"Yes","No"))</f>
        <v/>
      </c>
      <c r="I1396" s="32"/>
      <c r="J1396" s="32"/>
    </row>
    <row r="1397" customFormat="false" ht="15" hidden="false" customHeight="false" outlineLevel="0" collapsed="false">
      <c r="A1397" s="32"/>
      <c r="B1397" s="32"/>
      <c r="C1397" s="32"/>
      <c r="D1397" s="32"/>
      <c r="E1397" s="32"/>
      <c r="F1397" s="32"/>
      <c r="G1397" s="32"/>
      <c r="H1397" s="28" t="str">
        <f aca="false">IF(COUNTA(C1397:G1397)=0,"",IF(AND(C1397="Yes",D1397="Yes",E1397="Yes",F1397="Yes",G1397="No"),"Yes","No"))</f>
        <v/>
      </c>
      <c r="I1397" s="32"/>
      <c r="J1397" s="32"/>
    </row>
    <row r="1398" customFormat="false" ht="15" hidden="false" customHeight="false" outlineLevel="0" collapsed="false">
      <c r="A1398" s="32"/>
      <c r="B1398" s="32"/>
      <c r="C1398" s="32"/>
      <c r="D1398" s="32"/>
      <c r="E1398" s="32"/>
      <c r="F1398" s="32"/>
      <c r="G1398" s="32"/>
      <c r="H1398" s="28" t="str">
        <f aca="false">IF(COUNTA(C1398:G1398)=0,"",IF(AND(C1398="Yes",D1398="Yes",E1398="Yes",F1398="Yes",G1398="No"),"Yes","No"))</f>
        <v/>
      </c>
      <c r="I1398" s="32"/>
      <c r="J1398" s="32"/>
    </row>
    <row r="1399" customFormat="false" ht="15" hidden="false" customHeight="false" outlineLevel="0" collapsed="false">
      <c r="A1399" s="32"/>
      <c r="B1399" s="32"/>
      <c r="C1399" s="32"/>
      <c r="D1399" s="32"/>
      <c r="E1399" s="32"/>
      <c r="F1399" s="32"/>
      <c r="G1399" s="32"/>
      <c r="H1399" s="28" t="str">
        <f aca="false">IF(COUNTA(C1399:G1399)=0,"",IF(AND(C1399="Yes",D1399="Yes",E1399="Yes",F1399="Yes",G1399="No"),"Yes","No"))</f>
        <v/>
      </c>
      <c r="I1399" s="32"/>
      <c r="J1399" s="32"/>
    </row>
    <row r="1400" customFormat="false" ht="15" hidden="false" customHeight="false" outlineLevel="0" collapsed="false">
      <c r="A1400" s="32"/>
      <c r="B1400" s="32"/>
      <c r="C1400" s="32"/>
      <c r="D1400" s="32"/>
      <c r="E1400" s="32"/>
      <c r="F1400" s="32"/>
      <c r="G1400" s="32"/>
      <c r="H1400" s="28" t="str">
        <f aca="false">IF(COUNTA(C1400:G1400)=0,"",IF(AND(C1400="Yes",D1400="Yes",E1400="Yes",F1400="Yes",G1400="No"),"Yes","No"))</f>
        <v/>
      </c>
      <c r="I1400" s="32"/>
      <c r="J1400" s="32"/>
    </row>
    <row r="1401" customFormat="false" ht="15" hidden="false" customHeight="false" outlineLevel="0" collapsed="false">
      <c r="A1401" s="32"/>
      <c r="B1401" s="32"/>
      <c r="C1401" s="32"/>
      <c r="D1401" s="32"/>
      <c r="E1401" s="32"/>
      <c r="F1401" s="32"/>
      <c r="G1401" s="32"/>
      <c r="H1401" s="28" t="str">
        <f aca="false">IF(COUNTA(C1401:G1401)=0,"",IF(AND(C1401="Yes",D1401="Yes",E1401="Yes",F1401="Yes",G1401="No"),"Yes","No"))</f>
        <v/>
      </c>
      <c r="I1401" s="32"/>
      <c r="J1401" s="32"/>
    </row>
    <row r="1402" customFormat="false" ht="15" hidden="false" customHeight="false" outlineLevel="0" collapsed="false">
      <c r="A1402" s="32"/>
      <c r="B1402" s="32"/>
      <c r="C1402" s="32"/>
      <c r="D1402" s="32"/>
      <c r="E1402" s="32"/>
      <c r="F1402" s="32"/>
      <c r="G1402" s="32"/>
      <c r="H1402" s="28" t="str">
        <f aca="false">IF(COUNTA(C1402:G1402)=0,"",IF(AND(C1402="Yes",D1402="Yes",E1402="Yes",F1402="Yes",G1402="No"),"Yes","No"))</f>
        <v/>
      </c>
      <c r="I1402" s="32"/>
      <c r="J1402" s="32"/>
    </row>
    <row r="1403" customFormat="false" ht="15" hidden="false" customHeight="false" outlineLevel="0" collapsed="false">
      <c r="A1403" s="32"/>
      <c r="B1403" s="32"/>
      <c r="C1403" s="32"/>
      <c r="D1403" s="32"/>
      <c r="E1403" s="32"/>
      <c r="F1403" s="32"/>
      <c r="G1403" s="32"/>
      <c r="H1403" s="28" t="str">
        <f aca="false">IF(COUNTA(C1403:G1403)=0,"",IF(AND(C1403="Yes",D1403="Yes",E1403="Yes",F1403="Yes",G1403="No"),"Yes","No"))</f>
        <v/>
      </c>
      <c r="I1403" s="32"/>
      <c r="J1403" s="32"/>
    </row>
    <row r="1404" customFormat="false" ht="15" hidden="false" customHeight="false" outlineLevel="0" collapsed="false">
      <c r="A1404" s="32"/>
      <c r="B1404" s="32"/>
      <c r="C1404" s="32"/>
      <c r="D1404" s="32"/>
      <c r="E1404" s="32"/>
      <c r="F1404" s="32"/>
      <c r="G1404" s="32"/>
      <c r="H1404" s="28" t="str">
        <f aca="false">IF(COUNTA(C1404:G1404)=0,"",IF(AND(C1404="Yes",D1404="Yes",E1404="Yes",F1404="Yes",G1404="No"),"Yes","No"))</f>
        <v/>
      </c>
      <c r="I1404" s="32"/>
      <c r="J1404" s="32"/>
    </row>
    <row r="1405" customFormat="false" ht="15" hidden="false" customHeight="false" outlineLevel="0" collapsed="false">
      <c r="A1405" s="32"/>
      <c r="B1405" s="32"/>
      <c r="C1405" s="32"/>
      <c r="D1405" s="32"/>
      <c r="E1405" s="32"/>
      <c r="F1405" s="32"/>
      <c r="G1405" s="32"/>
      <c r="H1405" s="28" t="str">
        <f aca="false">IF(COUNTA(C1405:G1405)=0,"",IF(AND(C1405="Yes",D1405="Yes",E1405="Yes",F1405="Yes",G1405="No"),"Yes","No"))</f>
        <v/>
      </c>
      <c r="I1405" s="32"/>
      <c r="J1405" s="32"/>
    </row>
    <row r="1406" customFormat="false" ht="15" hidden="false" customHeight="false" outlineLevel="0" collapsed="false">
      <c r="A1406" s="32"/>
      <c r="B1406" s="32"/>
      <c r="C1406" s="32"/>
      <c r="D1406" s="32"/>
      <c r="E1406" s="32"/>
      <c r="F1406" s="32"/>
      <c r="G1406" s="32"/>
      <c r="H1406" s="28" t="str">
        <f aca="false">IF(COUNTA(C1406:G1406)=0,"",IF(AND(C1406="Yes",D1406="Yes",E1406="Yes",F1406="Yes",G1406="No"),"Yes","No"))</f>
        <v/>
      </c>
      <c r="I1406" s="32"/>
      <c r="J1406" s="32"/>
    </row>
    <row r="1407" customFormat="false" ht="15" hidden="false" customHeight="false" outlineLevel="0" collapsed="false">
      <c r="A1407" s="32"/>
      <c r="B1407" s="32"/>
      <c r="C1407" s="32"/>
      <c r="D1407" s="32"/>
      <c r="E1407" s="32"/>
      <c r="F1407" s="32"/>
      <c r="G1407" s="32"/>
      <c r="H1407" s="28" t="str">
        <f aca="false">IF(COUNTA(C1407:G1407)=0,"",IF(AND(C1407="Yes",D1407="Yes",E1407="Yes",F1407="Yes",G1407="No"),"Yes","No"))</f>
        <v/>
      </c>
      <c r="I1407" s="32"/>
      <c r="J1407" s="32"/>
    </row>
    <row r="1408" customFormat="false" ht="15" hidden="false" customHeight="false" outlineLevel="0" collapsed="false">
      <c r="A1408" s="32"/>
      <c r="B1408" s="32"/>
      <c r="C1408" s="32"/>
      <c r="D1408" s="32"/>
      <c r="E1408" s="32"/>
      <c r="F1408" s="32"/>
      <c r="G1408" s="32"/>
      <c r="H1408" s="28" t="str">
        <f aca="false">IF(COUNTA(C1408:G1408)=0,"",IF(AND(C1408="Yes",D1408="Yes",E1408="Yes",F1408="Yes",G1408="No"),"Yes","No"))</f>
        <v/>
      </c>
      <c r="I1408" s="32"/>
      <c r="J1408" s="32"/>
    </row>
    <row r="1409" customFormat="false" ht="15" hidden="false" customHeight="false" outlineLevel="0" collapsed="false">
      <c r="A1409" s="32"/>
      <c r="B1409" s="32"/>
      <c r="C1409" s="32"/>
      <c r="D1409" s="32"/>
      <c r="E1409" s="32"/>
      <c r="F1409" s="32"/>
      <c r="G1409" s="32"/>
      <c r="H1409" s="28" t="str">
        <f aca="false">IF(COUNTA(C1409:G1409)=0,"",IF(AND(C1409="Yes",D1409="Yes",E1409="Yes",F1409="Yes",G1409="No"),"Yes","No"))</f>
        <v/>
      </c>
      <c r="I1409" s="32"/>
      <c r="J1409" s="32"/>
    </row>
    <row r="1410" customFormat="false" ht="15" hidden="false" customHeight="false" outlineLevel="0" collapsed="false">
      <c r="A1410" s="32"/>
      <c r="B1410" s="32"/>
      <c r="C1410" s="32"/>
      <c r="D1410" s="32"/>
      <c r="E1410" s="32"/>
      <c r="F1410" s="32"/>
      <c r="G1410" s="32"/>
      <c r="H1410" s="28" t="str">
        <f aca="false">IF(COUNTA(C1410:G1410)=0,"",IF(AND(C1410="Yes",D1410="Yes",E1410="Yes",F1410="Yes",G1410="No"),"Yes","No"))</f>
        <v/>
      </c>
      <c r="I1410" s="32"/>
      <c r="J1410" s="32"/>
    </row>
    <row r="1411" customFormat="false" ht="15" hidden="false" customHeight="false" outlineLevel="0" collapsed="false">
      <c r="A1411" s="32"/>
      <c r="B1411" s="32"/>
      <c r="C1411" s="32"/>
      <c r="D1411" s="32"/>
      <c r="E1411" s="32"/>
      <c r="F1411" s="32"/>
      <c r="G1411" s="32"/>
      <c r="H1411" s="28" t="str">
        <f aca="false">IF(COUNTA(C1411:G1411)=0,"",IF(AND(C1411="Yes",D1411="Yes",E1411="Yes",F1411="Yes",G1411="No"),"Yes","No"))</f>
        <v/>
      </c>
      <c r="I1411" s="32"/>
      <c r="J1411" s="32"/>
    </row>
    <row r="1412" customFormat="false" ht="15" hidden="false" customHeight="false" outlineLevel="0" collapsed="false">
      <c r="A1412" s="32"/>
      <c r="B1412" s="32"/>
      <c r="C1412" s="32"/>
      <c r="D1412" s="32"/>
      <c r="E1412" s="32"/>
      <c r="F1412" s="32"/>
      <c r="G1412" s="32"/>
      <c r="H1412" s="28" t="str">
        <f aca="false">IF(COUNTA(C1412:G1412)=0,"",IF(AND(C1412="Yes",D1412="Yes",E1412="Yes",F1412="Yes",G1412="No"),"Yes","No"))</f>
        <v/>
      </c>
      <c r="I1412" s="32"/>
      <c r="J1412" s="32"/>
    </row>
    <row r="1413" customFormat="false" ht="15" hidden="false" customHeight="false" outlineLevel="0" collapsed="false">
      <c r="A1413" s="32"/>
      <c r="B1413" s="32"/>
      <c r="C1413" s="32"/>
      <c r="D1413" s="32"/>
      <c r="E1413" s="32"/>
      <c r="F1413" s="32"/>
      <c r="G1413" s="32"/>
      <c r="H1413" s="28" t="str">
        <f aca="false">IF(COUNTA(C1413:G1413)=0,"",IF(AND(C1413="Yes",D1413="Yes",E1413="Yes",F1413="Yes",G1413="No"),"Yes","No"))</f>
        <v/>
      </c>
      <c r="I1413" s="32"/>
      <c r="J1413" s="32"/>
    </row>
    <row r="1414" customFormat="false" ht="15" hidden="false" customHeight="false" outlineLevel="0" collapsed="false">
      <c r="A1414" s="32"/>
      <c r="B1414" s="32"/>
      <c r="C1414" s="32"/>
      <c r="D1414" s="32"/>
      <c r="E1414" s="32"/>
      <c r="F1414" s="32"/>
      <c r="G1414" s="32"/>
      <c r="H1414" s="28" t="str">
        <f aca="false">IF(COUNTA(C1414:G1414)=0,"",IF(AND(C1414="Yes",D1414="Yes",E1414="Yes",F1414="Yes",G1414="No"),"Yes","No"))</f>
        <v/>
      </c>
      <c r="I1414" s="32"/>
      <c r="J1414" s="32"/>
    </row>
    <row r="1415" customFormat="false" ht="15" hidden="false" customHeight="false" outlineLevel="0" collapsed="false">
      <c r="A1415" s="32"/>
      <c r="B1415" s="32"/>
      <c r="C1415" s="32"/>
      <c r="D1415" s="32"/>
      <c r="E1415" s="32"/>
      <c r="F1415" s="32"/>
      <c r="G1415" s="32"/>
      <c r="H1415" s="28" t="str">
        <f aca="false">IF(COUNTA(C1415:G1415)=0,"",IF(AND(C1415="Yes",D1415="Yes",E1415="Yes",F1415="Yes",G1415="No"),"Yes","No"))</f>
        <v/>
      </c>
      <c r="I1415" s="32"/>
      <c r="J1415" s="32"/>
    </row>
    <row r="1416" customFormat="false" ht="15" hidden="false" customHeight="false" outlineLevel="0" collapsed="false">
      <c r="A1416" s="32"/>
      <c r="B1416" s="32"/>
      <c r="C1416" s="32"/>
      <c r="D1416" s="32"/>
      <c r="E1416" s="32"/>
      <c r="F1416" s="32"/>
      <c r="G1416" s="32"/>
      <c r="H1416" s="28" t="str">
        <f aca="false">IF(COUNTA(C1416:G1416)=0,"",IF(AND(C1416="Yes",D1416="Yes",E1416="Yes",F1416="Yes",G1416="No"),"Yes","No"))</f>
        <v/>
      </c>
      <c r="I1416" s="32"/>
      <c r="J1416" s="32"/>
    </row>
    <row r="1417" customFormat="false" ht="15" hidden="false" customHeight="false" outlineLevel="0" collapsed="false">
      <c r="A1417" s="32"/>
      <c r="B1417" s="32"/>
      <c r="C1417" s="32"/>
      <c r="D1417" s="32"/>
      <c r="E1417" s="32"/>
      <c r="F1417" s="32"/>
      <c r="G1417" s="32"/>
      <c r="H1417" s="28" t="str">
        <f aca="false">IF(COUNTA(C1417:G1417)=0,"",IF(AND(C1417="Yes",D1417="Yes",E1417="Yes",F1417="Yes",G1417="No"),"Yes","No"))</f>
        <v/>
      </c>
      <c r="I1417" s="32"/>
      <c r="J1417" s="32"/>
    </row>
    <row r="1418" customFormat="false" ht="15" hidden="false" customHeight="false" outlineLevel="0" collapsed="false">
      <c r="A1418" s="32"/>
      <c r="B1418" s="32"/>
      <c r="C1418" s="32"/>
      <c r="D1418" s="32"/>
      <c r="E1418" s="32"/>
      <c r="F1418" s="32"/>
      <c r="G1418" s="32"/>
      <c r="H1418" s="28" t="str">
        <f aca="false">IF(COUNTA(C1418:G1418)=0,"",IF(AND(C1418="Yes",D1418="Yes",E1418="Yes",F1418="Yes",G1418="No"),"Yes","No"))</f>
        <v/>
      </c>
      <c r="I1418" s="32"/>
      <c r="J1418" s="32"/>
    </row>
    <row r="1419" customFormat="false" ht="15" hidden="false" customHeight="false" outlineLevel="0" collapsed="false">
      <c r="A1419" s="32"/>
      <c r="B1419" s="32"/>
      <c r="C1419" s="32"/>
      <c r="D1419" s="32"/>
      <c r="E1419" s="32"/>
      <c r="F1419" s="32"/>
      <c r="G1419" s="32"/>
      <c r="H1419" s="28" t="str">
        <f aca="false">IF(COUNTA(C1419:G1419)=0,"",IF(AND(C1419="Yes",D1419="Yes",E1419="Yes",F1419="Yes",G1419="No"),"Yes","No"))</f>
        <v/>
      </c>
      <c r="I1419" s="32"/>
      <c r="J1419" s="32"/>
    </row>
    <row r="1420" customFormat="false" ht="15" hidden="false" customHeight="false" outlineLevel="0" collapsed="false">
      <c r="A1420" s="32"/>
      <c r="B1420" s="32"/>
      <c r="C1420" s="32"/>
      <c r="D1420" s="32"/>
      <c r="E1420" s="32"/>
      <c r="F1420" s="32"/>
      <c r="G1420" s="32"/>
      <c r="H1420" s="28" t="str">
        <f aca="false">IF(COUNTA(C1420:G1420)=0,"",IF(AND(C1420="Yes",D1420="Yes",E1420="Yes",F1420="Yes",G1420="No"),"Yes","No"))</f>
        <v/>
      </c>
      <c r="I1420" s="32"/>
      <c r="J1420" s="32"/>
    </row>
    <row r="1421" customFormat="false" ht="15" hidden="false" customHeight="false" outlineLevel="0" collapsed="false">
      <c r="A1421" s="32"/>
      <c r="B1421" s="32"/>
      <c r="C1421" s="32"/>
      <c r="D1421" s="32"/>
      <c r="E1421" s="32"/>
      <c r="F1421" s="32"/>
      <c r="G1421" s="32"/>
      <c r="H1421" s="28" t="str">
        <f aca="false">IF(COUNTA(C1421:G1421)=0,"",IF(AND(C1421="Yes",D1421="Yes",E1421="Yes",F1421="Yes",G1421="No"),"Yes","No"))</f>
        <v/>
      </c>
      <c r="I1421" s="32"/>
      <c r="J1421" s="32"/>
    </row>
    <row r="1422" customFormat="false" ht="15" hidden="false" customHeight="false" outlineLevel="0" collapsed="false">
      <c r="A1422" s="32"/>
      <c r="B1422" s="32"/>
      <c r="C1422" s="32"/>
      <c r="D1422" s="32"/>
      <c r="E1422" s="32"/>
      <c r="F1422" s="32"/>
      <c r="G1422" s="32"/>
      <c r="H1422" s="28" t="str">
        <f aca="false">IF(COUNTA(C1422:G1422)=0,"",IF(AND(C1422="Yes",D1422="Yes",E1422="Yes",F1422="Yes",G1422="No"),"Yes","No"))</f>
        <v/>
      </c>
      <c r="I1422" s="32"/>
      <c r="J1422" s="32"/>
    </row>
    <row r="1423" customFormat="false" ht="15" hidden="false" customHeight="false" outlineLevel="0" collapsed="false">
      <c r="A1423" s="32"/>
      <c r="B1423" s="32"/>
      <c r="C1423" s="32"/>
      <c r="D1423" s="32"/>
      <c r="E1423" s="32"/>
      <c r="F1423" s="32"/>
      <c r="G1423" s="32"/>
      <c r="H1423" s="28" t="str">
        <f aca="false">IF(COUNTA(C1423:G1423)=0,"",IF(AND(C1423="Yes",D1423="Yes",E1423="Yes",F1423="Yes",G1423="No"),"Yes","No"))</f>
        <v/>
      </c>
      <c r="I1423" s="32"/>
      <c r="J1423" s="32"/>
    </row>
    <row r="1424" customFormat="false" ht="15" hidden="false" customHeight="false" outlineLevel="0" collapsed="false">
      <c r="A1424" s="32"/>
      <c r="B1424" s="32"/>
      <c r="C1424" s="32"/>
      <c r="D1424" s="32"/>
      <c r="E1424" s="32"/>
      <c r="F1424" s="32"/>
      <c r="G1424" s="32"/>
      <c r="H1424" s="28" t="str">
        <f aca="false">IF(COUNTA(C1424:G1424)=0,"",IF(AND(C1424="Yes",D1424="Yes",E1424="Yes",F1424="Yes",G1424="No"),"Yes","No"))</f>
        <v/>
      </c>
      <c r="I1424" s="32"/>
      <c r="J1424" s="32"/>
    </row>
    <row r="1425" customFormat="false" ht="15" hidden="false" customHeight="false" outlineLevel="0" collapsed="false">
      <c r="A1425" s="32"/>
      <c r="B1425" s="32"/>
      <c r="C1425" s="32"/>
      <c r="D1425" s="32"/>
      <c r="E1425" s="32"/>
      <c r="F1425" s="32"/>
      <c r="G1425" s="32"/>
      <c r="H1425" s="28" t="str">
        <f aca="false">IF(COUNTA(C1425:G1425)=0,"",IF(AND(C1425="Yes",D1425="Yes",E1425="Yes",F1425="Yes",G1425="No"),"Yes","No"))</f>
        <v/>
      </c>
      <c r="I1425" s="32"/>
      <c r="J1425" s="32"/>
    </row>
    <row r="1426" customFormat="false" ht="15" hidden="false" customHeight="false" outlineLevel="0" collapsed="false">
      <c r="A1426" s="32"/>
      <c r="B1426" s="32"/>
      <c r="C1426" s="32"/>
      <c r="D1426" s="32"/>
      <c r="E1426" s="32"/>
      <c r="F1426" s="32"/>
      <c r="G1426" s="32"/>
      <c r="H1426" s="28" t="str">
        <f aca="false">IF(COUNTA(C1426:G1426)=0,"",IF(AND(C1426="Yes",D1426="Yes",E1426="Yes",F1426="Yes",G1426="No"),"Yes","No"))</f>
        <v/>
      </c>
      <c r="I1426" s="32"/>
      <c r="J1426" s="32"/>
    </row>
    <row r="1427" customFormat="false" ht="15" hidden="false" customHeight="false" outlineLevel="0" collapsed="false">
      <c r="A1427" s="32"/>
      <c r="B1427" s="32"/>
      <c r="C1427" s="32"/>
      <c r="D1427" s="32"/>
      <c r="E1427" s="32"/>
      <c r="F1427" s="32"/>
      <c r="G1427" s="32"/>
      <c r="H1427" s="28" t="str">
        <f aca="false">IF(COUNTA(C1427:G1427)=0,"",IF(AND(C1427="Yes",D1427="Yes",E1427="Yes",F1427="Yes",G1427="No"),"Yes","No"))</f>
        <v/>
      </c>
      <c r="I1427" s="32"/>
      <c r="J1427" s="32"/>
    </row>
    <row r="1428" customFormat="false" ht="15" hidden="false" customHeight="false" outlineLevel="0" collapsed="false">
      <c r="A1428" s="32"/>
      <c r="B1428" s="32"/>
      <c r="C1428" s="32"/>
      <c r="D1428" s="32"/>
      <c r="E1428" s="32"/>
      <c r="F1428" s="32"/>
      <c r="G1428" s="32"/>
      <c r="H1428" s="28" t="str">
        <f aca="false">IF(COUNTA(C1428:G1428)=0,"",IF(AND(C1428="Yes",D1428="Yes",E1428="Yes",F1428="Yes",G1428="No"),"Yes","No"))</f>
        <v/>
      </c>
      <c r="I1428" s="32"/>
      <c r="J1428" s="32"/>
    </row>
    <row r="1429" customFormat="false" ht="15" hidden="false" customHeight="false" outlineLevel="0" collapsed="false">
      <c r="A1429" s="32"/>
      <c r="B1429" s="32"/>
      <c r="C1429" s="32"/>
      <c r="D1429" s="32"/>
      <c r="E1429" s="32"/>
      <c r="F1429" s="32"/>
      <c r="G1429" s="32"/>
      <c r="H1429" s="28" t="str">
        <f aca="false">IF(COUNTA(C1429:G1429)=0,"",IF(AND(C1429="Yes",D1429="Yes",E1429="Yes",F1429="Yes",G1429="No"),"Yes","No"))</f>
        <v/>
      </c>
      <c r="I1429" s="32"/>
      <c r="J1429" s="32"/>
    </row>
    <row r="1430" customFormat="false" ht="15" hidden="false" customHeight="false" outlineLevel="0" collapsed="false">
      <c r="A1430" s="32"/>
      <c r="B1430" s="32"/>
      <c r="C1430" s="32"/>
      <c r="D1430" s="32"/>
      <c r="E1430" s="32"/>
      <c r="F1430" s="32"/>
      <c r="G1430" s="32"/>
      <c r="H1430" s="28" t="str">
        <f aca="false">IF(COUNTA(C1430:G1430)=0,"",IF(AND(C1430="Yes",D1430="Yes",E1430="Yes",F1430="Yes",G1430="No"),"Yes","No"))</f>
        <v/>
      </c>
      <c r="I1430" s="32"/>
      <c r="J1430" s="32"/>
    </row>
    <row r="1431" customFormat="false" ht="15" hidden="false" customHeight="false" outlineLevel="0" collapsed="false">
      <c r="A1431" s="32"/>
      <c r="B1431" s="32"/>
      <c r="C1431" s="32"/>
      <c r="D1431" s="32"/>
      <c r="E1431" s="32"/>
      <c r="F1431" s="32"/>
      <c r="G1431" s="32"/>
      <c r="H1431" s="28" t="str">
        <f aca="false">IF(COUNTA(C1431:G1431)=0,"",IF(AND(C1431="Yes",D1431="Yes",E1431="Yes",F1431="Yes",G1431="No"),"Yes","No"))</f>
        <v/>
      </c>
      <c r="I1431" s="32"/>
      <c r="J1431" s="32"/>
    </row>
    <row r="1432" customFormat="false" ht="15" hidden="false" customHeight="false" outlineLevel="0" collapsed="false">
      <c r="A1432" s="32"/>
      <c r="B1432" s="32"/>
      <c r="C1432" s="32"/>
      <c r="D1432" s="32"/>
      <c r="E1432" s="32"/>
      <c r="F1432" s="32"/>
      <c r="G1432" s="32"/>
      <c r="H1432" s="28" t="str">
        <f aca="false">IF(COUNTA(C1432:G1432)=0,"",IF(AND(C1432="Yes",D1432="Yes",E1432="Yes",F1432="Yes",G1432="No"),"Yes","No"))</f>
        <v/>
      </c>
      <c r="I1432" s="32"/>
      <c r="J1432" s="32"/>
    </row>
    <row r="1433" customFormat="false" ht="15" hidden="false" customHeight="false" outlineLevel="0" collapsed="false">
      <c r="A1433" s="32"/>
      <c r="B1433" s="32"/>
      <c r="C1433" s="32"/>
      <c r="D1433" s="32"/>
      <c r="E1433" s="32"/>
      <c r="F1433" s="32"/>
      <c r="G1433" s="32"/>
      <c r="H1433" s="28" t="str">
        <f aca="false">IF(COUNTA(C1433:G1433)=0,"",IF(AND(C1433="Yes",D1433="Yes",E1433="Yes",F1433="Yes",G1433="No"),"Yes","No"))</f>
        <v/>
      </c>
      <c r="I1433" s="32"/>
      <c r="J1433" s="32"/>
    </row>
    <row r="1434" customFormat="false" ht="15" hidden="false" customHeight="false" outlineLevel="0" collapsed="false">
      <c r="A1434" s="32"/>
      <c r="B1434" s="32"/>
      <c r="C1434" s="32"/>
      <c r="D1434" s="32"/>
      <c r="E1434" s="32"/>
      <c r="F1434" s="32"/>
      <c r="G1434" s="32"/>
      <c r="H1434" s="28" t="str">
        <f aca="false">IF(COUNTA(C1434:G1434)=0,"",IF(AND(C1434="Yes",D1434="Yes",E1434="Yes",F1434="Yes",G1434="No"),"Yes","No"))</f>
        <v/>
      </c>
      <c r="I1434" s="32"/>
      <c r="J1434" s="32"/>
    </row>
    <row r="1435" customFormat="false" ht="15" hidden="false" customHeight="false" outlineLevel="0" collapsed="false">
      <c r="A1435" s="32"/>
      <c r="B1435" s="32"/>
      <c r="C1435" s="32"/>
      <c r="D1435" s="32"/>
      <c r="E1435" s="32"/>
      <c r="F1435" s="32"/>
      <c r="G1435" s="32"/>
      <c r="H1435" s="28" t="str">
        <f aca="false">IF(COUNTA(C1435:G1435)=0,"",IF(AND(C1435="Yes",D1435="Yes",E1435="Yes",F1435="Yes",G1435="No"),"Yes","No"))</f>
        <v/>
      </c>
      <c r="I1435" s="32"/>
      <c r="J1435" s="32"/>
    </row>
    <row r="1436" customFormat="false" ht="15" hidden="false" customHeight="false" outlineLevel="0" collapsed="false">
      <c r="A1436" s="32"/>
      <c r="B1436" s="32"/>
      <c r="C1436" s="32"/>
      <c r="D1436" s="32"/>
      <c r="E1436" s="32"/>
      <c r="F1436" s="32"/>
      <c r="G1436" s="32"/>
      <c r="H1436" s="28" t="str">
        <f aca="false">IF(COUNTA(C1436:G1436)=0,"",IF(AND(C1436="Yes",D1436="Yes",E1436="Yes",F1436="Yes",G1436="No"),"Yes","No"))</f>
        <v/>
      </c>
      <c r="I1436" s="32"/>
      <c r="J1436" s="32"/>
    </row>
    <row r="1437" customFormat="false" ht="15" hidden="false" customHeight="false" outlineLevel="0" collapsed="false">
      <c r="A1437" s="32"/>
      <c r="B1437" s="32"/>
      <c r="C1437" s="32"/>
      <c r="D1437" s="32"/>
      <c r="E1437" s="32"/>
      <c r="F1437" s="32"/>
      <c r="G1437" s="32"/>
      <c r="H1437" s="28" t="str">
        <f aca="false">IF(COUNTA(C1437:G1437)=0,"",IF(AND(C1437="Yes",D1437="Yes",E1437="Yes",F1437="Yes",G1437="No"),"Yes","No"))</f>
        <v/>
      </c>
      <c r="I1437" s="32"/>
      <c r="J1437" s="32"/>
    </row>
    <row r="1438" customFormat="false" ht="15" hidden="false" customHeight="false" outlineLevel="0" collapsed="false">
      <c r="A1438" s="32"/>
      <c r="B1438" s="32"/>
      <c r="C1438" s="32"/>
      <c r="D1438" s="32"/>
      <c r="E1438" s="32"/>
      <c r="F1438" s="32"/>
      <c r="G1438" s="32"/>
      <c r="H1438" s="28" t="str">
        <f aca="false">IF(COUNTA(C1438:G1438)=0,"",IF(AND(C1438="Yes",D1438="Yes",E1438="Yes",F1438="Yes",G1438="No"),"Yes","No"))</f>
        <v/>
      </c>
      <c r="I1438" s="32"/>
      <c r="J1438" s="32"/>
    </row>
    <row r="1439" customFormat="false" ht="15" hidden="false" customHeight="false" outlineLevel="0" collapsed="false">
      <c r="A1439" s="32"/>
      <c r="B1439" s="32"/>
      <c r="C1439" s="32"/>
      <c r="D1439" s="32"/>
      <c r="E1439" s="32"/>
      <c r="F1439" s="32"/>
      <c r="G1439" s="32"/>
      <c r="H1439" s="28" t="str">
        <f aca="false">IF(COUNTA(C1439:G1439)=0,"",IF(AND(C1439="Yes",D1439="Yes",E1439="Yes",F1439="Yes",G1439="No"),"Yes","No"))</f>
        <v/>
      </c>
      <c r="I1439" s="32"/>
      <c r="J1439" s="32"/>
    </row>
    <row r="1440" customFormat="false" ht="15" hidden="false" customHeight="false" outlineLevel="0" collapsed="false">
      <c r="A1440" s="32"/>
      <c r="B1440" s="32"/>
      <c r="C1440" s="32"/>
      <c r="D1440" s="32"/>
      <c r="E1440" s="32"/>
      <c r="F1440" s="32"/>
      <c r="G1440" s="32"/>
      <c r="H1440" s="28" t="str">
        <f aca="false">IF(COUNTA(C1440:G1440)=0,"",IF(AND(C1440="Yes",D1440="Yes",E1440="Yes",F1440="Yes",G1440="No"),"Yes","No"))</f>
        <v/>
      </c>
      <c r="I1440" s="32"/>
      <c r="J1440" s="32"/>
    </row>
    <row r="1441" customFormat="false" ht="15" hidden="false" customHeight="false" outlineLevel="0" collapsed="false">
      <c r="A1441" s="32"/>
      <c r="B1441" s="32"/>
      <c r="C1441" s="32"/>
      <c r="D1441" s="32"/>
      <c r="E1441" s="32"/>
      <c r="F1441" s="32"/>
      <c r="G1441" s="32"/>
      <c r="H1441" s="28" t="str">
        <f aca="false">IF(COUNTA(C1441:G1441)=0,"",IF(AND(C1441="Yes",D1441="Yes",E1441="Yes",F1441="Yes",G1441="No"),"Yes","No"))</f>
        <v/>
      </c>
      <c r="I1441" s="32"/>
      <c r="J1441" s="32"/>
    </row>
    <row r="1442" customFormat="false" ht="15" hidden="false" customHeight="false" outlineLevel="0" collapsed="false">
      <c r="A1442" s="32"/>
      <c r="B1442" s="32"/>
      <c r="C1442" s="32"/>
      <c r="D1442" s="32"/>
      <c r="E1442" s="32"/>
      <c r="F1442" s="32"/>
      <c r="G1442" s="32"/>
      <c r="H1442" s="28" t="str">
        <f aca="false">IF(COUNTA(C1442:G1442)=0,"",IF(AND(C1442="Yes",D1442="Yes",E1442="Yes",F1442="Yes",G1442="No"),"Yes","No"))</f>
        <v/>
      </c>
      <c r="I1442" s="32"/>
      <c r="J1442" s="32"/>
    </row>
    <row r="1443" customFormat="false" ht="15" hidden="false" customHeight="false" outlineLevel="0" collapsed="false">
      <c r="A1443" s="32"/>
      <c r="B1443" s="32"/>
      <c r="C1443" s="32"/>
      <c r="D1443" s="32"/>
      <c r="E1443" s="32"/>
      <c r="F1443" s="32"/>
      <c r="G1443" s="32"/>
      <c r="H1443" s="28" t="str">
        <f aca="false">IF(COUNTA(C1443:G1443)=0,"",IF(AND(C1443="Yes",D1443="Yes",E1443="Yes",F1443="Yes",G1443="No"),"Yes","No"))</f>
        <v/>
      </c>
      <c r="I1443" s="32"/>
      <c r="J1443" s="32"/>
    </row>
    <row r="1444" customFormat="false" ht="15" hidden="false" customHeight="false" outlineLevel="0" collapsed="false">
      <c r="A1444" s="32"/>
      <c r="B1444" s="32"/>
      <c r="C1444" s="32"/>
      <c r="D1444" s="32"/>
      <c r="E1444" s="32"/>
      <c r="F1444" s="32"/>
      <c r="G1444" s="32"/>
      <c r="H1444" s="28" t="str">
        <f aca="false">IF(COUNTA(C1444:G1444)=0,"",IF(AND(C1444="Yes",D1444="Yes",E1444="Yes",F1444="Yes",G1444="No"),"Yes","No"))</f>
        <v/>
      </c>
      <c r="I1444" s="32"/>
      <c r="J1444" s="32"/>
    </row>
    <row r="1445" customFormat="false" ht="15" hidden="false" customHeight="false" outlineLevel="0" collapsed="false">
      <c r="A1445" s="32"/>
      <c r="B1445" s="32"/>
      <c r="C1445" s="32"/>
      <c r="D1445" s="32"/>
      <c r="E1445" s="32"/>
      <c r="F1445" s="32"/>
      <c r="G1445" s="32"/>
      <c r="H1445" s="28" t="str">
        <f aca="false">IF(COUNTA(C1445:G1445)=0,"",IF(AND(C1445="Yes",D1445="Yes",E1445="Yes",F1445="Yes",G1445="No"),"Yes","No"))</f>
        <v/>
      </c>
      <c r="I1445" s="32"/>
      <c r="J1445" s="32"/>
    </row>
    <row r="1446" customFormat="false" ht="15" hidden="false" customHeight="false" outlineLevel="0" collapsed="false">
      <c r="A1446" s="32"/>
      <c r="B1446" s="32"/>
      <c r="C1446" s="32"/>
      <c r="D1446" s="32"/>
      <c r="E1446" s="32"/>
      <c r="F1446" s="32"/>
      <c r="G1446" s="32"/>
      <c r="H1446" s="28" t="str">
        <f aca="false">IF(COUNTA(C1446:G1446)=0,"",IF(AND(C1446="Yes",D1446="Yes",E1446="Yes",F1446="Yes",G1446="No"),"Yes","No"))</f>
        <v/>
      </c>
      <c r="I1446" s="32"/>
      <c r="J1446" s="32"/>
    </row>
    <row r="1447" customFormat="false" ht="15" hidden="false" customHeight="false" outlineLevel="0" collapsed="false">
      <c r="A1447" s="32"/>
      <c r="B1447" s="32"/>
      <c r="C1447" s="32"/>
      <c r="D1447" s="32"/>
      <c r="E1447" s="32"/>
      <c r="F1447" s="32"/>
      <c r="G1447" s="32"/>
      <c r="H1447" s="28" t="str">
        <f aca="false">IF(COUNTA(C1447:G1447)=0,"",IF(AND(C1447="Yes",D1447="Yes",E1447="Yes",F1447="Yes",G1447="No"),"Yes","No"))</f>
        <v/>
      </c>
      <c r="I1447" s="32"/>
      <c r="J1447" s="32"/>
    </row>
    <row r="1448" customFormat="false" ht="15" hidden="false" customHeight="false" outlineLevel="0" collapsed="false">
      <c r="A1448" s="32"/>
      <c r="B1448" s="32"/>
      <c r="C1448" s="32"/>
      <c r="D1448" s="32"/>
      <c r="E1448" s="32"/>
      <c r="F1448" s="32"/>
      <c r="G1448" s="32"/>
      <c r="H1448" s="28" t="str">
        <f aca="false">IF(COUNTA(C1448:G1448)=0,"",IF(AND(C1448="Yes",D1448="Yes",E1448="Yes",F1448="Yes",G1448="No"),"Yes","No"))</f>
        <v/>
      </c>
      <c r="I1448" s="32"/>
      <c r="J1448" s="32"/>
    </row>
    <row r="1449" customFormat="false" ht="15" hidden="false" customHeight="false" outlineLevel="0" collapsed="false">
      <c r="A1449" s="32"/>
      <c r="B1449" s="32"/>
      <c r="C1449" s="32"/>
      <c r="D1449" s="32"/>
      <c r="E1449" s="32"/>
      <c r="F1449" s="32"/>
      <c r="G1449" s="32"/>
      <c r="H1449" s="28" t="str">
        <f aca="false">IF(COUNTA(C1449:G1449)=0,"",IF(AND(C1449="Yes",D1449="Yes",E1449="Yes",F1449="Yes",G1449="No"),"Yes","No"))</f>
        <v/>
      </c>
      <c r="I1449" s="32"/>
      <c r="J1449" s="32"/>
    </row>
    <row r="1450" customFormat="false" ht="15" hidden="false" customHeight="false" outlineLevel="0" collapsed="false">
      <c r="A1450" s="32"/>
      <c r="B1450" s="32"/>
      <c r="C1450" s="32"/>
      <c r="D1450" s="32"/>
      <c r="E1450" s="32"/>
      <c r="F1450" s="32"/>
      <c r="G1450" s="32"/>
      <c r="H1450" s="28" t="str">
        <f aca="false">IF(COUNTA(C1450:G1450)=0,"",IF(AND(C1450="Yes",D1450="Yes",E1450="Yes",F1450="Yes",G1450="No"),"Yes","No"))</f>
        <v/>
      </c>
      <c r="I1450" s="32"/>
      <c r="J1450" s="32"/>
    </row>
    <row r="1451" customFormat="false" ht="15" hidden="false" customHeight="false" outlineLevel="0" collapsed="false">
      <c r="A1451" s="32"/>
      <c r="B1451" s="32"/>
      <c r="C1451" s="32"/>
      <c r="D1451" s="32"/>
      <c r="E1451" s="32"/>
      <c r="F1451" s="32"/>
      <c r="G1451" s="32"/>
      <c r="H1451" s="28" t="str">
        <f aca="false">IF(COUNTA(C1451:G1451)=0,"",IF(AND(C1451="Yes",D1451="Yes",E1451="Yes",F1451="Yes",G1451="No"),"Yes","No"))</f>
        <v/>
      </c>
      <c r="I1451" s="32"/>
      <c r="J1451" s="32"/>
    </row>
    <row r="1452" customFormat="false" ht="15" hidden="false" customHeight="false" outlineLevel="0" collapsed="false">
      <c r="A1452" s="32"/>
      <c r="B1452" s="32"/>
      <c r="C1452" s="32"/>
      <c r="D1452" s="32"/>
      <c r="E1452" s="32"/>
      <c r="F1452" s="32"/>
      <c r="G1452" s="32"/>
      <c r="H1452" s="28" t="str">
        <f aca="false">IF(COUNTA(C1452:G1452)=0,"",IF(AND(C1452="Yes",D1452="Yes",E1452="Yes",F1452="Yes",G1452="No"),"Yes","No"))</f>
        <v/>
      </c>
      <c r="I1452" s="32"/>
      <c r="J1452" s="32"/>
    </row>
    <row r="1453" customFormat="false" ht="15" hidden="false" customHeight="false" outlineLevel="0" collapsed="false">
      <c r="A1453" s="32"/>
      <c r="B1453" s="32"/>
      <c r="C1453" s="32"/>
      <c r="D1453" s="32"/>
      <c r="E1453" s="32"/>
      <c r="F1453" s="32"/>
      <c r="G1453" s="32"/>
      <c r="H1453" s="28" t="str">
        <f aca="false">IF(COUNTA(C1453:G1453)=0,"",IF(AND(C1453="Yes",D1453="Yes",E1453="Yes",F1453="Yes",G1453="No"),"Yes","No"))</f>
        <v/>
      </c>
      <c r="I1453" s="32"/>
      <c r="J1453" s="32"/>
    </row>
    <row r="1454" customFormat="false" ht="15" hidden="false" customHeight="false" outlineLevel="0" collapsed="false">
      <c r="A1454" s="32"/>
      <c r="B1454" s="32"/>
      <c r="C1454" s="32"/>
      <c r="D1454" s="32"/>
      <c r="E1454" s="32"/>
      <c r="F1454" s="32"/>
      <c r="G1454" s="32"/>
      <c r="H1454" s="28" t="str">
        <f aca="false">IF(COUNTA(C1454:G1454)=0,"",IF(AND(C1454="Yes",D1454="Yes",E1454="Yes",F1454="Yes",G1454="No"),"Yes","No"))</f>
        <v/>
      </c>
      <c r="I1454" s="32"/>
      <c r="J1454" s="32"/>
    </row>
    <row r="1455" customFormat="false" ht="15" hidden="false" customHeight="false" outlineLevel="0" collapsed="false">
      <c r="A1455" s="32"/>
      <c r="B1455" s="32"/>
      <c r="C1455" s="32"/>
      <c r="D1455" s="32"/>
      <c r="E1455" s="32"/>
      <c r="F1455" s="32"/>
      <c r="G1455" s="32"/>
      <c r="H1455" s="28" t="str">
        <f aca="false">IF(COUNTA(C1455:G1455)=0,"",IF(AND(C1455="Yes",D1455="Yes",E1455="Yes",F1455="Yes",G1455="No"),"Yes","No"))</f>
        <v/>
      </c>
      <c r="I1455" s="32"/>
      <c r="J1455" s="32"/>
    </row>
    <row r="1456" customFormat="false" ht="15" hidden="false" customHeight="false" outlineLevel="0" collapsed="false">
      <c r="A1456" s="32"/>
      <c r="B1456" s="32"/>
      <c r="C1456" s="32"/>
      <c r="D1456" s="32"/>
      <c r="E1456" s="32"/>
      <c r="F1456" s="32"/>
      <c r="G1456" s="32"/>
      <c r="H1456" s="28" t="str">
        <f aca="false">IF(COUNTA(C1456:G1456)=0,"",IF(AND(C1456="Yes",D1456="Yes",E1456="Yes",F1456="Yes",G1456="No"),"Yes","No"))</f>
        <v/>
      </c>
      <c r="I1456" s="32"/>
      <c r="J1456" s="32"/>
    </row>
    <row r="1457" customFormat="false" ht="15" hidden="false" customHeight="false" outlineLevel="0" collapsed="false">
      <c r="A1457" s="32"/>
      <c r="B1457" s="32"/>
      <c r="C1457" s="32"/>
      <c r="D1457" s="32"/>
      <c r="E1457" s="32"/>
      <c r="F1457" s="32"/>
      <c r="G1457" s="32"/>
      <c r="H1457" s="28" t="str">
        <f aca="false">IF(COUNTA(C1457:G1457)=0,"",IF(AND(C1457="Yes",D1457="Yes",E1457="Yes",F1457="Yes",G1457="No"),"Yes","No"))</f>
        <v/>
      </c>
      <c r="I1457" s="32"/>
      <c r="J1457" s="32"/>
    </row>
    <row r="1458" customFormat="false" ht="15" hidden="false" customHeight="false" outlineLevel="0" collapsed="false">
      <c r="A1458" s="32"/>
      <c r="B1458" s="32"/>
      <c r="C1458" s="32"/>
      <c r="D1458" s="32"/>
      <c r="E1458" s="32"/>
      <c r="F1458" s="32"/>
      <c r="G1458" s="32"/>
      <c r="H1458" s="28" t="str">
        <f aca="false">IF(COUNTA(C1458:G1458)=0,"",IF(AND(C1458="Yes",D1458="Yes",E1458="Yes",F1458="Yes",G1458="No"),"Yes","No"))</f>
        <v/>
      </c>
      <c r="I1458" s="32"/>
      <c r="J1458" s="32"/>
    </row>
    <row r="1459" customFormat="false" ht="15" hidden="false" customHeight="false" outlineLevel="0" collapsed="false">
      <c r="A1459" s="32"/>
      <c r="B1459" s="32"/>
      <c r="C1459" s="32"/>
      <c r="D1459" s="32"/>
      <c r="E1459" s="32"/>
      <c r="F1459" s="32"/>
      <c r="G1459" s="32"/>
      <c r="H1459" s="28" t="str">
        <f aca="false">IF(COUNTA(C1459:G1459)=0,"",IF(AND(C1459="Yes",D1459="Yes",E1459="Yes",F1459="Yes",G1459="No"),"Yes","No"))</f>
        <v/>
      </c>
      <c r="I1459" s="32"/>
      <c r="J1459" s="32"/>
    </row>
    <row r="1460" customFormat="false" ht="15" hidden="false" customHeight="false" outlineLevel="0" collapsed="false">
      <c r="A1460" s="32"/>
      <c r="B1460" s="32"/>
      <c r="C1460" s="32"/>
      <c r="D1460" s="32"/>
      <c r="E1460" s="32"/>
      <c r="F1460" s="32"/>
      <c r="G1460" s="32"/>
      <c r="H1460" s="28" t="str">
        <f aca="false">IF(COUNTA(C1460:G1460)=0,"",IF(AND(C1460="Yes",D1460="Yes",E1460="Yes",F1460="Yes",G1460="No"),"Yes","No"))</f>
        <v/>
      </c>
      <c r="I1460" s="32"/>
      <c r="J1460" s="32"/>
    </row>
    <row r="1461" customFormat="false" ht="15" hidden="false" customHeight="false" outlineLevel="0" collapsed="false">
      <c r="A1461" s="32"/>
      <c r="B1461" s="32"/>
      <c r="C1461" s="32"/>
      <c r="D1461" s="32"/>
      <c r="E1461" s="32"/>
      <c r="F1461" s="32"/>
      <c r="G1461" s="32"/>
      <c r="H1461" s="28" t="str">
        <f aca="false">IF(COUNTA(C1461:G1461)=0,"",IF(AND(C1461="Yes",D1461="Yes",E1461="Yes",F1461="Yes",G1461="No"),"Yes","No"))</f>
        <v/>
      </c>
      <c r="I1461" s="32"/>
      <c r="J1461" s="32"/>
    </row>
    <row r="1462" customFormat="false" ht="15" hidden="false" customHeight="false" outlineLevel="0" collapsed="false">
      <c r="A1462" s="32"/>
      <c r="B1462" s="32"/>
      <c r="C1462" s="32"/>
      <c r="D1462" s="32"/>
      <c r="E1462" s="32"/>
      <c r="F1462" s="32"/>
      <c r="G1462" s="32"/>
      <c r="H1462" s="28" t="str">
        <f aca="false">IF(COUNTA(C1462:G1462)=0,"",IF(AND(C1462="Yes",D1462="Yes",E1462="Yes",F1462="Yes",G1462="No"),"Yes","No"))</f>
        <v/>
      </c>
      <c r="I1462" s="32"/>
      <c r="J1462" s="32"/>
    </row>
    <row r="1463" customFormat="false" ht="15" hidden="false" customHeight="false" outlineLevel="0" collapsed="false">
      <c r="A1463" s="32"/>
      <c r="B1463" s="32"/>
      <c r="C1463" s="32"/>
      <c r="D1463" s="32"/>
      <c r="E1463" s="32"/>
      <c r="F1463" s="32"/>
      <c r="G1463" s="32"/>
      <c r="H1463" s="28" t="str">
        <f aca="false">IF(COUNTA(C1463:G1463)=0,"",IF(AND(C1463="Yes",D1463="Yes",E1463="Yes",F1463="Yes",G1463="No"),"Yes","No"))</f>
        <v/>
      </c>
      <c r="I1463" s="32"/>
      <c r="J1463" s="32"/>
    </row>
    <row r="1464" customFormat="false" ht="15" hidden="false" customHeight="false" outlineLevel="0" collapsed="false">
      <c r="A1464" s="32"/>
      <c r="B1464" s="32"/>
      <c r="C1464" s="32"/>
      <c r="D1464" s="32"/>
      <c r="E1464" s="32"/>
      <c r="F1464" s="32"/>
      <c r="G1464" s="32"/>
      <c r="H1464" s="28" t="str">
        <f aca="false">IF(COUNTA(C1464:G1464)=0,"",IF(AND(C1464="Yes",D1464="Yes",E1464="Yes",F1464="Yes",G1464="No"),"Yes","No"))</f>
        <v/>
      </c>
      <c r="I1464" s="32"/>
      <c r="J1464" s="32"/>
    </row>
    <row r="1465" customFormat="false" ht="15" hidden="false" customHeight="false" outlineLevel="0" collapsed="false">
      <c r="A1465" s="32"/>
      <c r="B1465" s="32"/>
      <c r="C1465" s="32"/>
      <c r="D1465" s="32"/>
      <c r="E1465" s="32"/>
      <c r="F1465" s="32"/>
      <c r="G1465" s="32"/>
      <c r="H1465" s="28" t="str">
        <f aca="false">IF(COUNTA(C1465:G1465)=0,"",IF(AND(C1465="Yes",D1465="Yes",E1465="Yes",F1465="Yes",G1465="No"),"Yes","No"))</f>
        <v/>
      </c>
      <c r="I1465" s="32"/>
      <c r="J1465" s="32"/>
    </row>
    <row r="1466" customFormat="false" ht="15" hidden="false" customHeight="false" outlineLevel="0" collapsed="false">
      <c r="A1466" s="32"/>
      <c r="B1466" s="32"/>
      <c r="C1466" s="32"/>
      <c r="D1466" s="32"/>
      <c r="E1466" s="32"/>
      <c r="F1466" s="32"/>
      <c r="G1466" s="32"/>
      <c r="H1466" s="28" t="str">
        <f aca="false">IF(COUNTA(C1466:G1466)=0,"",IF(AND(C1466="Yes",D1466="Yes",E1466="Yes",F1466="Yes",G1466="No"),"Yes","No"))</f>
        <v/>
      </c>
      <c r="I1466" s="32"/>
      <c r="J1466" s="32"/>
    </row>
    <row r="1467" customFormat="false" ht="15" hidden="false" customHeight="false" outlineLevel="0" collapsed="false">
      <c r="A1467" s="32"/>
      <c r="B1467" s="32"/>
      <c r="C1467" s="32"/>
      <c r="D1467" s="32"/>
      <c r="E1467" s="32"/>
      <c r="F1467" s="32"/>
      <c r="G1467" s="32"/>
      <c r="H1467" s="28" t="str">
        <f aca="false">IF(COUNTA(C1467:G1467)=0,"",IF(AND(C1467="Yes",D1467="Yes",E1467="Yes",F1467="Yes",G1467="No"),"Yes","No"))</f>
        <v/>
      </c>
      <c r="I1467" s="32"/>
      <c r="J1467" s="32"/>
    </row>
    <row r="1468" customFormat="false" ht="15" hidden="false" customHeight="false" outlineLevel="0" collapsed="false">
      <c r="A1468" s="32"/>
      <c r="B1468" s="32"/>
      <c r="C1468" s="32"/>
      <c r="D1468" s="32"/>
      <c r="E1468" s="32"/>
      <c r="F1468" s="32"/>
      <c r="G1468" s="32"/>
      <c r="H1468" s="28" t="str">
        <f aca="false">IF(COUNTA(C1468:G1468)=0,"",IF(AND(C1468="Yes",D1468="Yes",E1468="Yes",F1468="Yes",G1468="No"),"Yes","No"))</f>
        <v/>
      </c>
      <c r="I1468" s="32"/>
      <c r="J1468" s="32"/>
    </row>
    <row r="1469" customFormat="false" ht="15" hidden="false" customHeight="false" outlineLevel="0" collapsed="false">
      <c r="A1469" s="32"/>
      <c r="B1469" s="32"/>
      <c r="C1469" s="32"/>
      <c r="D1469" s="32"/>
      <c r="E1469" s="32"/>
      <c r="F1469" s="32"/>
      <c r="G1469" s="32"/>
      <c r="H1469" s="28" t="str">
        <f aca="false">IF(COUNTA(C1469:G1469)=0,"",IF(AND(C1469="Yes",D1469="Yes",E1469="Yes",F1469="Yes",G1469="No"),"Yes","No"))</f>
        <v/>
      </c>
      <c r="I1469" s="32"/>
      <c r="J1469" s="32"/>
    </row>
    <row r="1470" customFormat="false" ht="15" hidden="false" customHeight="false" outlineLevel="0" collapsed="false">
      <c r="A1470" s="32"/>
      <c r="B1470" s="32"/>
      <c r="C1470" s="32"/>
      <c r="D1470" s="32"/>
      <c r="E1470" s="32"/>
      <c r="F1470" s="32"/>
      <c r="G1470" s="32"/>
      <c r="H1470" s="28" t="str">
        <f aca="false">IF(COUNTA(C1470:G1470)=0,"",IF(AND(C1470="Yes",D1470="Yes",E1470="Yes",F1470="Yes",G1470="No"),"Yes","No"))</f>
        <v/>
      </c>
      <c r="I1470" s="32"/>
      <c r="J1470" s="32"/>
    </row>
    <row r="1471" customFormat="false" ht="15" hidden="false" customHeight="false" outlineLevel="0" collapsed="false">
      <c r="A1471" s="32"/>
      <c r="B1471" s="32"/>
      <c r="C1471" s="32"/>
      <c r="D1471" s="32"/>
      <c r="E1471" s="32"/>
      <c r="F1471" s="32"/>
      <c r="G1471" s="32"/>
      <c r="H1471" s="28" t="str">
        <f aca="false">IF(COUNTA(C1471:G1471)=0,"",IF(AND(C1471="Yes",D1471="Yes",E1471="Yes",F1471="Yes",G1471="No"),"Yes","No"))</f>
        <v/>
      </c>
      <c r="I1471" s="32"/>
      <c r="J1471" s="32"/>
    </row>
    <row r="1472" customFormat="false" ht="15" hidden="false" customHeight="false" outlineLevel="0" collapsed="false">
      <c r="A1472" s="32"/>
      <c r="B1472" s="32"/>
      <c r="C1472" s="32"/>
      <c r="D1472" s="32"/>
      <c r="E1472" s="32"/>
      <c r="F1472" s="32"/>
      <c r="G1472" s="32"/>
      <c r="H1472" s="28" t="str">
        <f aca="false">IF(COUNTA(C1472:G1472)=0,"",IF(AND(C1472="Yes",D1472="Yes",E1472="Yes",F1472="Yes",G1472="No"),"Yes","No"))</f>
        <v/>
      </c>
      <c r="I1472" s="32"/>
      <c r="J1472" s="32"/>
    </row>
    <row r="1473" customFormat="false" ht="15" hidden="false" customHeight="false" outlineLevel="0" collapsed="false">
      <c r="A1473" s="32"/>
      <c r="B1473" s="32"/>
      <c r="C1473" s="32"/>
      <c r="D1473" s="32"/>
      <c r="E1473" s="32"/>
      <c r="F1473" s="32"/>
      <c r="G1473" s="32"/>
      <c r="H1473" s="28" t="str">
        <f aca="false">IF(COUNTA(C1473:G1473)=0,"",IF(AND(C1473="Yes",D1473="Yes",E1473="Yes",F1473="Yes",G1473="No"),"Yes","No"))</f>
        <v/>
      </c>
      <c r="I1473" s="32"/>
      <c r="J1473" s="32"/>
    </row>
    <row r="1474" customFormat="false" ht="15" hidden="false" customHeight="false" outlineLevel="0" collapsed="false">
      <c r="A1474" s="32"/>
      <c r="B1474" s="32"/>
      <c r="C1474" s="32"/>
      <c r="D1474" s="32"/>
      <c r="E1474" s="32"/>
      <c r="F1474" s="32"/>
      <c r="G1474" s="32"/>
      <c r="H1474" s="28" t="str">
        <f aca="false">IF(COUNTA(C1474:G1474)=0,"",IF(AND(C1474="Yes",D1474="Yes",E1474="Yes",F1474="Yes",G1474="No"),"Yes","No"))</f>
        <v/>
      </c>
      <c r="I1474" s="32"/>
      <c r="J1474" s="32"/>
    </row>
    <row r="1475" customFormat="false" ht="15" hidden="false" customHeight="false" outlineLevel="0" collapsed="false">
      <c r="A1475" s="32"/>
      <c r="B1475" s="32"/>
      <c r="C1475" s="32"/>
      <c r="D1475" s="32"/>
      <c r="E1475" s="32"/>
      <c r="F1475" s="32"/>
      <c r="G1475" s="32"/>
      <c r="H1475" s="28" t="str">
        <f aca="false">IF(COUNTA(C1475:G1475)=0,"",IF(AND(C1475="Yes",D1475="Yes",E1475="Yes",F1475="Yes",G1475="No"),"Yes","No"))</f>
        <v/>
      </c>
      <c r="I1475" s="32"/>
      <c r="J1475" s="32"/>
    </row>
    <row r="1476" customFormat="false" ht="15" hidden="false" customHeight="false" outlineLevel="0" collapsed="false">
      <c r="A1476" s="32"/>
      <c r="B1476" s="32"/>
      <c r="C1476" s="32"/>
      <c r="D1476" s="32"/>
      <c r="E1476" s="32"/>
      <c r="F1476" s="32"/>
      <c r="G1476" s="32"/>
      <c r="H1476" s="28" t="str">
        <f aca="false">IF(COUNTA(C1476:G1476)=0,"",IF(AND(C1476="Yes",D1476="Yes",E1476="Yes",F1476="Yes",G1476="No"),"Yes","No"))</f>
        <v/>
      </c>
      <c r="I1476" s="32"/>
      <c r="J1476" s="32"/>
    </row>
    <row r="1477" customFormat="false" ht="15" hidden="false" customHeight="false" outlineLevel="0" collapsed="false">
      <c r="A1477" s="32"/>
      <c r="B1477" s="32"/>
      <c r="C1477" s="32"/>
      <c r="D1477" s="32"/>
      <c r="E1477" s="32"/>
      <c r="F1477" s="32"/>
      <c r="G1477" s="32"/>
      <c r="H1477" s="28" t="str">
        <f aca="false">IF(COUNTA(C1477:G1477)=0,"",IF(AND(C1477="Yes",D1477="Yes",E1477="Yes",F1477="Yes",G1477="No"),"Yes","No"))</f>
        <v/>
      </c>
      <c r="I1477" s="32"/>
      <c r="J1477" s="32"/>
    </row>
    <row r="1478" customFormat="false" ht="15" hidden="false" customHeight="false" outlineLevel="0" collapsed="false">
      <c r="A1478" s="32"/>
      <c r="B1478" s="32"/>
      <c r="C1478" s="32"/>
      <c r="D1478" s="32"/>
      <c r="E1478" s="32"/>
      <c r="F1478" s="32"/>
      <c r="G1478" s="32"/>
      <c r="H1478" s="28" t="str">
        <f aca="false">IF(COUNTA(C1478:G1478)=0,"",IF(AND(C1478="Yes",D1478="Yes",E1478="Yes",F1478="Yes",G1478="No"),"Yes","No"))</f>
        <v/>
      </c>
      <c r="I1478" s="32"/>
      <c r="J1478" s="32"/>
    </row>
    <row r="1479" customFormat="false" ht="15" hidden="false" customHeight="false" outlineLevel="0" collapsed="false">
      <c r="A1479" s="32"/>
      <c r="B1479" s="32"/>
      <c r="C1479" s="32"/>
      <c r="D1479" s="32"/>
      <c r="E1479" s="32"/>
      <c r="F1479" s="32"/>
      <c r="G1479" s="32"/>
      <c r="H1479" s="28" t="str">
        <f aca="false">IF(COUNTA(C1479:G1479)=0,"",IF(AND(C1479="Yes",D1479="Yes",E1479="Yes",F1479="Yes",G1479="No"),"Yes","No"))</f>
        <v/>
      </c>
      <c r="I1479" s="32"/>
      <c r="J1479" s="32"/>
    </row>
    <row r="1480" customFormat="false" ht="15" hidden="false" customHeight="false" outlineLevel="0" collapsed="false">
      <c r="A1480" s="32"/>
      <c r="B1480" s="32"/>
      <c r="C1480" s="32"/>
      <c r="D1480" s="32"/>
      <c r="E1480" s="32"/>
      <c r="F1480" s="32"/>
      <c r="G1480" s="32"/>
      <c r="H1480" s="28" t="str">
        <f aca="false">IF(COUNTA(C1480:G1480)=0,"",IF(AND(C1480="Yes",D1480="Yes",E1480="Yes",F1480="Yes",G1480="No"),"Yes","No"))</f>
        <v/>
      </c>
      <c r="I1480" s="32"/>
      <c r="J1480" s="32"/>
    </row>
    <row r="1481" customFormat="false" ht="15" hidden="false" customHeight="false" outlineLevel="0" collapsed="false">
      <c r="A1481" s="32"/>
      <c r="B1481" s="32"/>
      <c r="C1481" s="32"/>
      <c r="D1481" s="32"/>
      <c r="E1481" s="32"/>
      <c r="F1481" s="32"/>
      <c r="G1481" s="32"/>
      <c r="H1481" s="28" t="str">
        <f aca="false">IF(COUNTA(C1481:G1481)=0,"",IF(AND(C1481="Yes",D1481="Yes",E1481="Yes",F1481="Yes",G1481="No"),"Yes","No"))</f>
        <v/>
      </c>
      <c r="I1481" s="32"/>
      <c r="J1481" s="32"/>
    </row>
    <row r="1482" customFormat="false" ht="15" hidden="false" customHeight="false" outlineLevel="0" collapsed="false">
      <c r="A1482" s="32"/>
      <c r="B1482" s="32"/>
      <c r="C1482" s="32"/>
      <c r="D1482" s="32"/>
      <c r="E1482" s="32"/>
      <c r="F1482" s="32"/>
      <c r="G1482" s="32"/>
      <c r="H1482" s="28" t="str">
        <f aca="false">IF(COUNTA(C1482:G1482)=0,"",IF(AND(C1482="Yes",D1482="Yes",E1482="Yes",F1482="Yes",G1482="No"),"Yes","No"))</f>
        <v/>
      </c>
      <c r="I1482" s="32"/>
      <c r="J1482" s="32"/>
    </row>
    <row r="1483" customFormat="false" ht="15" hidden="false" customHeight="false" outlineLevel="0" collapsed="false">
      <c r="A1483" s="32"/>
      <c r="B1483" s="32"/>
      <c r="C1483" s="32"/>
      <c r="D1483" s="32"/>
      <c r="E1483" s="32"/>
      <c r="F1483" s="32"/>
      <c r="G1483" s="32"/>
      <c r="H1483" s="28" t="str">
        <f aca="false">IF(COUNTA(C1483:G1483)=0,"",IF(AND(C1483="Yes",D1483="Yes",E1483="Yes",F1483="Yes",G1483="No"),"Yes","No"))</f>
        <v/>
      </c>
      <c r="I1483" s="32"/>
      <c r="J1483" s="32"/>
    </row>
    <row r="1484" customFormat="false" ht="15" hidden="false" customHeight="false" outlineLevel="0" collapsed="false">
      <c r="A1484" s="32"/>
      <c r="B1484" s="32"/>
      <c r="C1484" s="32"/>
      <c r="D1484" s="32"/>
      <c r="E1484" s="32"/>
      <c r="F1484" s="32"/>
      <c r="G1484" s="32"/>
      <c r="H1484" s="28" t="str">
        <f aca="false">IF(COUNTA(C1484:G1484)=0,"",IF(AND(C1484="Yes",D1484="Yes",E1484="Yes",F1484="Yes",G1484="No"),"Yes","No"))</f>
        <v/>
      </c>
      <c r="I1484" s="32"/>
      <c r="J1484" s="32"/>
    </row>
    <row r="1485" customFormat="false" ht="15" hidden="false" customHeight="false" outlineLevel="0" collapsed="false">
      <c r="A1485" s="32"/>
      <c r="B1485" s="32"/>
      <c r="C1485" s="32"/>
      <c r="D1485" s="32"/>
      <c r="E1485" s="32"/>
      <c r="F1485" s="32"/>
      <c r="G1485" s="32"/>
      <c r="H1485" s="28" t="str">
        <f aca="false">IF(COUNTA(C1485:G1485)=0,"",IF(AND(C1485="Yes",D1485="Yes",E1485="Yes",F1485="Yes",G1485="No"),"Yes","No"))</f>
        <v/>
      </c>
      <c r="I1485" s="32"/>
      <c r="J1485" s="32"/>
    </row>
    <row r="1486" customFormat="false" ht="15" hidden="false" customHeight="false" outlineLevel="0" collapsed="false">
      <c r="A1486" s="32"/>
      <c r="B1486" s="32"/>
      <c r="C1486" s="32"/>
      <c r="D1486" s="32"/>
      <c r="E1486" s="32"/>
      <c r="F1486" s="32"/>
      <c r="G1486" s="32"/>
      <c r="H1486" s="28" t="str">
        <f aca="false">IF(COUNTA(C1486:G1486)=0,"",IF(AND(C1486="Yes",D1486="Yes",E1486="Yes",F1486="Yes",G1486="No"),"Yes","No"))</f>
        <v/>
      </c>
      <c r="I1486" s="32"/>
      <c r="J1486" s="32"/>
    </row>
    <row r="1487" customFormat="false" ht="15" hidden="false" customHeight="false" outlineLevel="0" collapsed="false">
      <c r="A1487" s="32"/>
      <c r="B1487" s="32"/>
      <c r="C1487" s="32"/>
      <c r="D1487" s="32"/>
      <c r="E1487" s="32"/>
      <c r="F1487" s="32"/>
      <c r="G1487" s="32"/>
      <c r="H1487" s="28" t="str">
        <f aca="false">IF(COUNTA(C1487:G1487)=0,"",IF(AND(C1487="Yes",D1487="Yes",E1487="Yes",F1487="Yes",G1487="No"),"Yes","No"))</f>
        <v/>
      </c>
      <c r="I1487" s="32"/>
      <c r="J1487" s="32"/>
    </row>
    <row r="1488" customFormat="false" ht="15" hidden="false" customHeight="false" outlineLevel="0" collapsed="false">
      <c r="A1488" s="32"/>
      <c r="B1488" s="32"/>
      <c r="C1488" s="32"/>
      <c r="D1488" s="32"/>
      <c r="E1488" s="32"/>
      <c r="F1488" s="32"/>
      <c r="G1488" s="32"/>
      <c r="H1488" s="28" t="str">
        <f aca="false">IF(COUNTA(C1488:G1488)=0,"",IF(AND(C1488="Yes",D1488="Yes",E1488="Yes",F1488="Yes",G1488="No"),"Yes","No"))</f>
        <v/>
      </c>
      <c r="I1488" s="32"/>
      <c r="J1488" s="32"/>
    </row>
    <row r="1489" customFormat="false" ht="15" hidden="false" customHeight="false" outlineLevel="0" collapsed="false">
      <c r="A1489" s="32"/>
      <c r="B1489" s="32"/>
      <c r="C1489" s="32"/>
      <c r="D1489" s="32"/>
      <c r="E1489" s="32"/>
      <c r="F1489" s="32"/>
      <c r="G1489" s="32"/>
      <c r="H1489" s="28" t="str">
        <f aca="false">IF(COUNTA(C1489:G1489)=0,"",IF(AND(C1489="Yes",D1489="Yes",E1489="Yes",F1489="Yes",G1489="No"),"Yes","No"))</f>
        <v/>
      </c>
      <c r="I1489" s="32"/>
      <c r="J1489" s="32"/>
    </row>
    <row r="1490" customFormat="false" ht="15" hidden="false" customHeight="false" outlineLevel="0" collapsed="false">
      <c r="A1490" s="32"/>
      <c r="B1490" s="32"/>
      <c r="C1490" s="32"/>
      <c r="D1490" s="32"/>
      <c r="E1490" s="32"/>
      <c r="F1490" s="32"/>
      <c r="G1490" s="32"/>
      <c r="H1490" s="28" t="str">
        <f aca="false">IF(COUNTA(C1490:G1490)=0,"",IF(AND(C1490="Yes",D1490="Yes",E1490="Yes",F1490="Yes",G1490="No"),"Yes","No"))</f>
        <v/>
      </c>
      <c r="I1490" s="32"/>
      <c r="J1490" s="32"/>
    </row>
    <row r="1491" customFormat="false" ht="15" hidden="false" customHeight="false" outlineLevel="0" collapsed="false">
      <c r="A1491" s="32"/>
      <c r="B1491" s="32"/>
      <c r="C1491" s="32"/>
      <c r="D1491" s="32"/>
      <c r="E1491" s="32"/>
      <c r="F1491" s="32"/>
      <c r="G1491" s="32"/>
      <c r="H1491" s="28" t="str">
        <f aca="false">IF(COUNTA(C1491:G1491)=0,"",IF(AND(C1491="Yes",D1491="Yes",E1491="Yes",F1491="Yes",G1491="No"),"Yes","No"))</f>
        <v/>
      </c>
      <c r="I1491" s="32"/>
      <c r="J1491" s="32"/>
    </row>
    <row r="1492" customFormat="false" ht="15" hidden="false" customHeight="false" outlineLevel="0" collapsed="false">
      <c r="A1492" s="32"/>
      <c r="B1492" s="32"/>
      <c r="C1492" s="32"/>
      <c r="D1492" s="32"/>
      <c r="E1492" s="32"/>
      <c r="F1492" s="32"/>
      <c r="G1492" s="32"/>
      <c r="H1492" s="28" t="str">
        <f aca="false">IF(COUNTA(C1492:G1492)=0,"",IF(AND(C1492="Yes",D1492="Yes",E1492="Yes",F1492="Yes",G1492="No"),"Yes","No"))</f>
        <v/>
      </c>
      <c r="I1492" s="32"/>
      <c r="J1492" s="32"/>
    </row>
    <row r="1493" customFormat="false" ht="15" hidden="false" customHeight="false" outlineLevel="0" collapsed="false">
      <c r="A1493" s="32"/>
      <c r="B1493" s="32"/>
      <c r="C1493" s="32"/>
      <c r="D1493" s="32"/>
      <c r="E1493" s="32"/>
      <c r="F1493" s="32"/>
      <c r="G1493" s="32"/>
      <c r="H1493" s="28" t="str">
        <f aca="false">IF(COUNTA(C1493:G1493)=0,"",IF(AND(C1493="Yes",D1493="Yes",E1493="Yes",F1493="Yes",G1493="No"),"Yes","No"))</f>
        <v/>
      </c>
      <c r="I1493" s="32"/>
      <c r="J1493" s="32"/>
    </row>
    <row r="1494" customFormat="false" ht="15" hidden="false" customHeight="false" outlineLevel="0" collapsed="false">
      <c r="A1494" s="32"/>
      <c r="B1494" s="32"/>
      <c r="C1494" s="32"/>
      <c r="D1494" s="32"/>
      <c r="E1494" s="32"/>
      <c r="F1494" s="32"/>
      <c r="G1494" s="32"/>
      <c r="H1494" s="28" t="str">
        <f aca="false">IF(COUNTA(C1494:G1494)=0,"",IF(AND(C1494="Yes",D1494="Yes",E1494="Yes",F1494="Yes",G1494="No"),"Yes","No"))</f>
        <v/>
      </c>
      <c r="I1494" s="32"/>
      <c r="J1494" s="32"/>
    </row>
    <row r="1495" customFormat="false" ht="15" hidden="false" customHeight="false" outlineLevel="0" collapsed="false">
      <c r="A1495" s="32"/>
      <c r="B1495" s="32"/>
      <c r="C1495" s="32"/>
      <c r="D1495" s="32"/>
      <c r="E1495" s="32"/>
      <c r="F1495" s="32"/>
      <c r="G1495" s="32"/>
      <c r="H1495" s="28" t="str">
        <f aca="false">IF(COUNTA(C1495:G1495)=0,"",IF(AND(C1495="Yes",D1495="Yes",E1495="Yes",F1495="Yes",G1495="No"),"Yes","No"))</f>
        <v/>
      </c>
      <c r="I1495" s="32"/>
      <c r="J1495" s="32"/>
    </row>
    <row r="1496" customFormat="false" ht="15" hidden="false" customHeight="false" outlineLevel="0" collapsed="false">
      <c r="A1496" s="32"/>
      <c r="B1496" s="32"/>
      <c r="C1496" s="32"/>
      <c r="D1496" s="32"/>
      <c r="E1496" s="32"/>
      <c r="F1496" s="32"/>
      <c r="G1496" s="32"/>
      <c r="H1496" s="28" t="str">
        <f aca="false">IF(COUNTA(C1496:G1496)=0,"",IF(AND(C1496="Yes",D1496="Yes",E1496="Yes",F1496="Yes",G1496="No"),"Yes","No"))</f>
        <v/>
      </c>
      <c r="I1496" s="32"/>
      <c r="J1496" s="32"/>
    </row>
    <row r="1497" customFormat="false" ht="15" hidden="false" customHeight="false" outlineLevel="0" collapsed="false">
      <c r="A1497" s="32"/>
      <c r="B1497" s="32"/>
      <c r="C1497" s="32"/>
      <c r="D1497" s="32"/>
      <c r="E1497" s="32"/>
      <c r="F1497" s="32"/>
      <c r="G1497" s="32"/>
      <c r="H1497" s="28" t="str">
        <f aca="false">IF(COUNTA(C1497:G1497)=0,"",IF(AND(C1497="Yes",D1497="Yes",E1497="Yes",F1497="Yes",G1497="No"),"Yes","No"))</f>
        <v/>
      </c>
      <c r="I1497" s="32"/>
      <c r="J1497" s="32"/>
    </row>
    <row r="1498" customFormat="false" ht="15" hidden="false" customHeight="false" outlineLevel="0" collapsed="false">
      <c r="A1498" s="32"/>
      <c r="B1498" s="32"/>
      <c r="C1498" s="32"/>
      <c r="D1498" s="32"/>
      <c r="E1498" s="32"/>
      <c r="F1498" s="32"/>
      <c r="G1498" s="32"/>
      <c r="H1498" s="28" t="str">
        <f aca="false">IF(COUNTA(C1498:G1498)=0,"",IF(AND(C1498="Yes",D1498="Yes",E1498="Yes",F1498="Yes",G1498="No"),"Yes","No"))</f>
        <v/>
      </c>
      <c r="I1498" s="32"/>
      <c r="J1498" s="32"/>
    </row>
    <row r="1499" customFormat="false" ht="15" hidden="false" customHeight="false" outlineLevel="0" collapsed="false">
      <c r="A1499" s="32"/>
      <c r="B1499" s="32"/>
      <c r="C1499" s="32"/>
      <c r="D1499" s="32"/>
      <c r="E1499" s="32"/>
      <c r="F1499" s="32"/>
      <c r="G1499" s="32"/>
      <c r="H1499" s="28" t="str">
        <f aca="false">IF(COUNTA(C1499:G1499)=0,"",IF(AND(C1499="Yes",D1499="Yes",E1499="Yes",F1499="Yes",G1499="No"),"Yes","No"))</f>
        <v/>
      </c>
      <c r="I1499" s="32"/>
      <c r="J1499" s="32"/>
    </row>
    <row r="1500" customFormat="false" ht="15" hidden="false" customHeight="false" outlineLevel="0" collapsed="false">
      <c r="A1500" s="32"/>
      <c r="B1500" s="32"/>
      <c r="C1500" s="32"/>
      <c r="D1500" s="32"/>
      <c r="E1500" s="32"/>
      <c r="F1500" s="32"/>
      <c r="G1500" s="32"/>
      <c r="H1500" s="28" t="str">
        <f aca="false">IF(COUNTA(C1500:G1500)=0,"",IF(AND(C1500="Yes",D1500="Yes",E1500="Yes",F1500="Yes",G1500="No"),"Yes","No"))</f>
        <v/>
      </c>
      <c r="I1500" s="32"/>
      <c r="J1500" s="32"/>
    </row>
    <row r="1501" customFormat="false" ht="15" hidden="false" customHeight="false" outlineLevel="0" collapsed="false">
      <c r="A1501" s="32"/>
      <c r="B1501" s="32"/>
      <c r="C1501" s="32"/>
      <c r="D1501" s="32"/>
      <c r="E1501" s="32"/>
      <c r="F1501" s="32"/>
      <c r="G1501" s="32"/>
      <c r="H1501" s="28" t="str">
        <f aca="false">IF(COUNTA(C1501:G1501)=0,"",IF(AND(C1501="Yes",D1501="Yes",E1501="Yes",F1501="Yes",G1501="No"),"Yes","No"))</f>
        <v/>
      </c>
      <c r="I1501" s="32"/>
      <c r="J1501" s="32"/>
    </row>
    <row r="1502" customFormat="false" ht="15" hidden="false" customHeight="false" outlineLevel="0" collapsed="false">
      <c r="A1502" s="32"/>
      <c r="B1502" s="32"/>
      <c r="C1502" s="32"/>
      <c r="D1502" s="32"/>
      <c r="E1502" s="32"/>
      <c r="F1502" s="32"/>
      <c r="G1502" s="32"/>
      <c r="H1502" s="28" t="str">
        <f aca="false">IF(COUNTA(C1502:G1502)=0,"",IF(AND(C1502="Yes",D1502="Yes",E1502="Yes",F1502="Yes",G1502="No"),"Yes","No"))</f>
        <v/>
      </c>
      <c r="I1502" s="32"/>
      <c r="J1502" s="32"/>
    </row>
    <row r="1503" customFormat="false" ht="15" hidden="false" customHeight="false" outlineLevel="0" collapsed="false">
      <c r="A1503" s="32"/>
      <c r="B1503" s="32"/>
      <c r="C1503" s="32"/>
      <c r="D1503" s="32"/>
      <c r="E1503" s="32"/>
      <c r="F1503" s="32"/>
      <c r="G1503" s="32"/>
      <c r="H1503" s="28" t="str">
        <f aca="false">IF(COUNTA(C1503:G1503)=0,"",IF(AND(C1503="Yes",D1503="Yes",E1503="Yes",F1503="Yes",G1503="No"),"Yes","No"))</f>
        <v/>
      </c>
      <c r="I1503" s="32"/>
      <c r="J1503" s="32"/>
    </row>
    <row r="1504" customFormat="false" ht="15" hidden="false" customHeight="false" outlineLevel="0" collapsed="false">
      <c r="A1504" s="32"/>
      <c r="B1504" s="32"/>
      <c r="C1504" s="32"/>
      <c r="D1504" s="32"/>
      <c r="E1504" s="32"/>
      <c r="F1504" s="32"/>
      <c r="G1504" s="32"/>
      <c r="H1504" s="28" t="str">
        <f aca="false">IF(COUNTA(C1504:G1504)=0,"",IF(AND(C1504="Yes",D1504="Yes",E1504="Yes",F1504="Yes",G1504="No"),"Yes","No"))</f>
        <v/>
      </c>
      <c r="I1504" s="32"/>
      <c r="J1504" s="32"/>
    </row>
    <row r="1505" customFormat="false" ht="15" hidden="false" customHeight="false" outlineLevel="0" collapsed="false">
      <c r="A1505" s="32"/>
      <c r="B1505" s="32"/>
      <c r="C1505" s="32"/>
      <c r="D1505" s="32"/>
      <c r="E1505" s="32"/>
      <c r="F1505" s="32"/>
      <c r="G1505" s="32"/>
      <c r="H1505" s="28" t="str">
        <f aca="false">IF(COUNTA(C1505:G1505)=0,"",IF(AND(C1505="Yes",D1505="Yes",E1505="Yes",F1505="Yes",G1505="No"),"Yes","No"))</f>
        <v/>
      </c>
      <c r="I1505" s="32"/>
      <c r="J1505" s="32"/>
    </row>
    <row r="1506" customFormat="false" ht="15" hidden="false" customHeight="false" outlineLevel="0" collapsed="false">
      <c r="A1506" s="32"/>
      <c r="B1506" s="32"/>
      <c r="C1506" s="32"/>
      <c r="D1506" s="32"/>
      <c r="E1506" s="32"/>
      <c r="F1506" s="32"/>
      <c r="G1506" s="32"/>
      <c r="H1506" s="28" t="str">
        <f aca="false">IF(COUNTA(C1506:G1506)=0,"",IF(AND(C1506="Yes",D1506="Yes",E1506="Yes",F1506="Yes",G1506="No"),"Yes","No"))</f>
        <v/>
      </c>
      <c r="I1506" s="32"/>
      <c r="J1506" s="32"/>
    </row>
    <row r="1507" customFormat="false" ht="15" hidden="false" customHeight="false" outlineLevel="0" collapsed="false">
      <c r="A1507" s="32"/>
      <c r="B1507" s="32"/>
      <c r="C1507" s="32"/>
      <c r="D1507" s="32"/>
      <c r="E1507" s="32"/>
      <c r="F1507" s="32"/>
      <c r="G1507" s="32"/>
      <c r="H1507" s="28" t="str">
        <f aca="false">IF(COUNTA(C1507:G1507)=0,"",IF(AND(C1507="Yes",D1507="Yes",E1507="Yes",F1507="Yes",G1507="No"),"Yes","No"))</f>
        <v/>
      </c>
      <c r="I1507" s="32"/>
      <c r="J1507" s="32"/>
    </row>
    <row r="1508" customFormat="false" ht="15" hidden="false" customHeight="false" outlineLevel="0" collapsed="false">
      <c r="A1508" s="32"/>
      <c r="B1508" s="32"/>
      <c r="C1508" s="32"/>
      <c r="D1508" s="32"/>
      <c r="E1508" s="32"/>
      <c r="F1508" s="32"/>
      <c r="G1508" s="32"/>
      <c r="H1508" s="28" t="str">
        <f aca="false">IF(COUNTA(C1508:G1508)=0,"",IF(AND(C1508="Yes",D1508="Yes",E1508="Yes",F1508="Yes",G1508="No"),"Yes","No"))</f>
        <v/>
      </c>
      <c r="I1508" s="32"/>
      <c r="J1508" s="32"/>
    </row>
    <row r="1509" customFormat="false" ht="15" hidden="false" customHeight="false" outlineLevel="0" collapsed="false">
      <c r="A1509" s="32"/>
      <c r="B1509" s="32"/>
      <c r="C1509" s="32"/>
      <c r="D1509" s="32"/>
      <c r="E1509" s="32"/>
      <c r="F1509" s="32"/>
      <c r="G1509" s="32"/>
      <c r="H1509" s="28" t="str">
        <f aca="false">IF(COUNTA(C1509:G1509)=0,"",IF(AND(C1509="Yes",D1509="Yes",E1509="Yes",F1509="Yes",G1509="No"),"Yes","No"))</f>
        <v/>
      </c>
      <c r="I1509" s="32"/>
      <c r="J1509" s="32"/>
    </row>
    <row r="1510" customFormat="false" ht="15" hidden="false" customHeight="false" outlineLevel="0" collapsed="false">
      <c r="A1510" s="32"/>
      <c r="B1510" s="32"/>
      <c r="C1510" s="32"/>
      <c r="D1510" s="32"/>
      <c r="E1510" s="32"/>
      <c r="F1510" s="32"/>
      <c r="G1510" s="32"/>
      <c r="H1510" s="28" t="str">
        <f aca="false">IF(COUNTA(C1510:G1510)=0,"",IF(AND(C1510="Yes",D1510="Yes",E1510="Yes",F1510="Yes",G1510="No"),"Yes","No"))</f>
        <v/>
      </c>
      <c r="I1510" s="32"/>
      <c r="J1510" s="32"/>
    </row>
    <row r="1511" customFormat="false" ht="15" hidden="false" customHeight="false" outlineLevel="0" collapsed="false">
      <c r="A1511" s="32"/>
      <c r="B1511" s="32"/>
      <c r="C1511" s="32"/>
      <c r="D1511" s="32"/>
      <c r="E1511" s="32"/>
      <c r="F1511" s="32"/>
      <c r="G1511" s="32"/>
      <c r="H1511" s="28" t="str">
        <f aca="false">IF(COUNTA(C1511:G1511)=0,"",IF(AND(C1511="Yes",D1511="Yes",E1511="Yes",F1511="Yes",G1511="No"),"Yes","No"))</f>
        <v/>
      </c>
      <c r="I1511" s="32"/>
      <c r="J1511" s="32"/>
    </row>
    <row r="1512" customFormat="false" ht="15" hidden="false" customHeight="false" outlineLevel="0" collapsed="false">
      <c r="A1512" s="32"/>
      <c r="B1512" s="32"/>
      <c r="C1512" s="32"/>
      <c r="D1512" s="32"/>
      <c r="E1512" s="32"/>
      <c r="F1512" s="32"/>
      <c r="G1512" s="32"/>
      <c r="H1512" s="28" t="str">
        <f aca="false">IF(COUNTA(C1512:G1512)=0,"",IF(AND(C1512="Yes",D1512="Yes",E1512="Yes",F1512="Yes",G1512="No"),"Yes","No"))</f>
        <v/>
      </c>
      <c r="I1512" s="32"/>
      <c r="J1512" s="32"/>
    </row>
    <row r="1513" customFormat="false" ht="15" hidden="false" customHeight="false" outlineLevel="0" collapsed="false">
      <c r="A1513" s="32"/>
      <c r="B1513" s="32"/>
      <c r="C1513" s="32"/>
      <c r="D1513" s="32"/>
      <c r="E1513" s="32"/>
      <c r="F1513" s="32"/>
      <c r="G1513" s="32"/>
      <c r="H1513" s="28" t="str">
        <f aca="false">IF(COUNTA(C1513:G1513)=0,"",IF(AND(C1513="Yes",D1513="Yes",E1513="Yes",F1513="Yes",G1513="No"),"Yes","No"))</f>
        <v/>
      </c>
      <c r="I1513" s="32"/>
      <c r="J1513" s="32"/>
    </row>
    <row r="1514" customFormat="false" ht="15" hidden="false" customHeight="false" outlineLevel="0" collapsed="false">
      <c r="A1514" s="32"/>
      <c r="B1514" s="32"/>
      <c r="C1514" s="32"/>
      <c r="D1514" s="32"/>
      <c r="E1514" s="32"/>
      <c r="F1514" s="32"/>
      <c r="G1514" s="32"/>
      <c r="H1514" s="28" t="str">
        <f aca="false">IF(COUNTA(C1514:G1514)=0,"",IF(AND(C1514="Yes",D1514="Yes",E1514="Yes",F1514="Yes",G1514="No"),"Yes","No"))</f>
        <v/>
      </c>
      <c r="I1514" s="32"/>
      <c r="J1514" s="32"/>
    </row>
    <row r="1515" customFormat="false" ht="15" hidden="false" customHeight="false" outlineLevel="0" collapsed="false">
      <c r="A1515" s="32"/>
      <c r="B1515" s="32"/>
      <c r="C1515" s="32"/>
      <c r="D1515" s="32"/>
      <c r="E1515" s="32"/>
      <c r="F1515" s="32"/>
      <c r="G1515" s="32"/>
      <c r="H1515" s="28" t="str">
        <f aca="false">IF(COUNTA(C1515:G1515)=0,"",IF(AND(C1515="Yes",D1515="Yes",E1515="Yes",F1515="Yes",G1515="No"),"Yes","No"))</f>
        <v/>
      </c>
      <c r="I1515" s="32"/>
      <c r="J1515" s="32"/>
    </row>
    <row r="1516" customFormat="false" ht="15" hidden="false" customHeight="false" outlineLevel="0" collapsed="false">
      <c r="A1516" s="32"/>
      <c r="B1516" s="32"/>
      <c r="C1516" s="32"/>
      <c r="D1516" s="32"/>
      <c r="E1516" s="32"/>
      <c r="F1516" s="32"/>
      <c r="G1516" s="32"/>
      <c r="H1516" s="28" t="str">
        <f aca="false">IF(COUNTA(C1516:G1516)=0,"",IF(AND(C1516="Yes",D1516="Yes",E1516="Yes",F1516="Yes",G1516="No"),"Yes","No"))</f>
        <v/>
      </c>
      <c r="I1516" s="32"/>
      <c r="J1516" s="32"/>
    </row>
    <row r="1517" customFormat="false" ht="15" hidden="false" customHeight="false" outlineLevel="0" collapsed="false">
      <c r="A1517" s="32"/>
      <c r="B1517" s="32"/>
      <c r="C1517" s="32"/>
      <c r="D1517" s="32"/>
      <c r="E1517" s="32"/>
      <c r="F1517" s="32"/>
      <c r="G1517" s="32"/>
      <c r="H1517" s="28" t="str">
        <f aca="false">IF(COUNTA(C1517:G1517)=0,"",IF(AND(C1517="Yes",D1517="Yes",E1517="Yes",F1517="Yes",G1517="No"),"Yes","No"))</f>
        <v/>
      </c>
      <c r="I1517" s="32"/>
      <c r="J1517" s="32"/>
    </row>
    <row r="1518" customFormat="false" ht="15" hidden="false" customHeight="false" outlineLevel="0" collapsed="false">
      <c r="A1518" s="32"/>
      <c r="B1518" s="32"/>
      <c r="C1518" s="32"/>
      <c r="D1518" s="32"/>
      <c r="E1518" s="32"/>
      <c r="F1518" s="32"/>
      <c r="G1518" s="32"/>
      <c r="H1518" s="28" t="str">
        <f aca="false">IF(COUNTA(C1518:G1518)=0,"",IF(AND(C1518="Yes",D1518="Yes",E1518="Yes",F1518="Yes",G1518="No"),"Yes","No"))</f>
        <v/>
      </c>
      <c r="I1518" s="32"/>
      <c r="J1518" s="32"/>
    </row>
    <row r="1519" customFormat="false" ht="15" hidden="false" customHeight="false" outlineLevel="0" collapsed="false">
      <c r="A1519" s="32"/>
      <c r="B1519" s="32"/>
      <c r="C1519" s="32"/>
      <c r="D1519" s="32"/>
      <c r="E1519" s="32"/>
      <c r="F1519" s="32"/>
      <c r="G1519" s="32"/>
      <c r="H1519" s="28" t="str">
        <f aca="false">IF(COUNTA(C1519:G1519)=0,"",IF(AND(C1519="Yes",D1519="Yes",E1519="Yes",F1519="Yes",G1519="No"),"Yes","No"))</f>
        <v/>
      </c>
      <c r="I1519" s="32"/>
      <c r="J1519" s="32"/>
    </row>
    <row r="1520" customFormat="false" ht="15" hidden="false" customHeight="false" outlineLevel="0" collapsed="false">
      <c r="A1520" s="32"/>
      <c r="B1520" s="32"/>
      <c r="C1520" s="32"/>
      <c r="D1520" s="32"/>
      <c r="E1520" s="32"/>
      <c r="F1520" s="32"/>
      <c r="G1520" s="32"/>
      <c r="H1520" s="28" t="str">
        <f aca="false">IF(COUNTA(C1520:G1520)=0,"",IF(AND(C1520="Yes",D1520="Yes",E1520="Yes",F1520="Yes",G1520="No"),"Yes","No"))</f>
        <v/>
      </c>
      <c r="I1520" s="32"/>
      <c r="J1520" s="32"/>
    </row>
    <row r="1521" customFormat="false" ht="15" hidden="false" customHeight="false" outlineLevel="0" collapsed="false">
      <c r="A1521" s="32"/>
      <c r="B1521" s="32"/>
      <c r="C1521" s="32"/>
      <c r="D1521" s="32"/>
      <c r="E1521" s="32"/>
      <c r="F1521" s="32"/>
      <c r="G1521" s="32"/>
      <c r="H1521" s="28" t="str">
        <f aca="false">IF(COUNTA(C1521:G1521)=0,"",IF(AND(C1521="Yes",D1521="Yes",E1521="Yes",F1521="Yes",G1521="No"),"Yes","No"))</f>
        <v/>
      </c>
      <c r="I1521" s="32"/>
      <c r="J1521" s="32"/>
    </row>
    <row r="1522" customFormat="false" ht="15" hidden="false" customHeight="false" outlineLevel="0" collapsed="false">
      <c r="A1522" s="32"/>
      <c r="B1522" s="32"/>
      <c r="C1522" s="32"/>
      <c r="D1522" s="32"/>
      <c r="E1522" s="32"/>
      <c r="F1522" s="32"/>
      <c r="G1522" s="32"/>
      <c r="H1522" s="28" t="str">
        <f aca="false">IF(COUNTA(C1522:G1522)=0,"",IF(AND(C1522="Yes",D1522="Yes",E1522="Yes",F1522="Yes",G1522="No"),"Yes","No"))</f>
        <v/>
      </c>
      <c r="I1522" s="32"/>
      <c r="J1522" s="32"/>
    </row>
    <row r="1523" customFormat="false" ht="15" hidden="false" customHeight="false" outlineLevel="0" collapsed="false">
      <c r="A1523" s="32"/>
      <c r="B1523" s="32"/>
      <c r="C1523" s="32"/>
      <c r="D1523" s="32"/>
      <c r="E1523" s="32"/>
      <c r="F1523" s="32"/>
      <c r="G1523" s="32"/>
      <c r="H1523" s="28" t="str">
        <f aca="false">IF(COUNTA(C1523:G1523)=0,"",IF(AND(C1523="Yes",D1523="Yes",E1523="Yes",F1523="Yes",G1523="No"),"Yes","No"))</f>
        <v/>
      </c>
      <c r="I1523" s="32"/>
      <c r="J1523" s="32"/>
    </row>
    <row r="1524" customFormat="false" ht="15" hidden="false" customHeight="false" outlineLevel="0" collapsed="false">
      <c r="A1524" s="32"/>
      <c r="B1524" s="32"/>
      <c r="C1524" s="32"/>
      <c r="D1524" s="32"/>
      <c r="E1524" s="32"/>
      <c r="F1524" s="32"/>
      <c r="G1524" s="32"/>
      <c r="H1524" s="28" t="str">
        <f aca="false">IF(COUNTA(C1524:G1524)=0,"",IF(AND(C1524="Yes",D1524="Yes",E1524="Yes",F1524="Yes",G1524="No"),"Yes","No"))</f>
        <v/>
      </c>
      <c r="I1524" s="32"/>
      <c r="J1524" s="32"/>
    </row>
    <row r="1525" customFormat="false" ht="15" hidden="false" customHeight="false" outlineLevel="0" collapsed="false">
      <c r="A1525" s="32"/>
      <c r="B1525" s="32"/>
      <c r="C1525" s="32"/>
      <c r="D1525" s="32"/>
      <c r="E1525" s="32"/>
      <c r="F1525" s="32"/>
      <c r="G1525" s="32"/>
      <c r="H1525" s="28" t="str">
        <f aca="false">IF(COUNTA(C1525:G1525)=0,"",IF(AND(C1525="Yes",D1525="Yes",E1525="Yes",F1525="Yes",G1525="No"),"Yes","No"))</f>
        <v/>
      </c>
      <c r="I1525" s="32"/>
      <c r="J1525" s="32"/>
    </row>
    <row r="1526" customFormat="false" ht="15" hidden="false" customHeight="false" outlineLevel="0" collapsed="false">
      <c r="A1526" s="32"/>
      <c r="B1526" s="32"/>
      <c r="C1526" s="32"/>
      <c r="D1526" s="32"/>
      <c r="E1526" s="32"/>
      <c r="F1526" s="32"/>
      <c r="G1526" s="32"/>
      <c r="H1526" s="28" t="str">
        <f aca="false">IF(COUNTA(C1526:G1526)=0,"",IF(AND(C1526="Yes",D1526="Yes",E1526="Yes",F1526="Yes",G1526="No"),"Yes","No"))</f>
        <v/>
      </c>
      <c r="I1526" s="32"/>
      <c r="J1526" s="32"/>
    </row>
    <row r="1527" customFormat="false" ht="15" hidden="false" customHeight="false" outlineLevel="0" collapsed="false">
      <c r="A1527" s="32"/>
      <c r="B1527" s="32"/>
      <c r="C1527" s="32"/>
      <c r="D1527" s="32"/>
      <c r="E1527" s="32"/>
      <c r="F1527" s="32"/>
      <c r="G1527" s="32"/>
      <c r="H1527" s="28" t="str">
        <f aca="false">IF(COUNTA(C1527:G1527)=0,"",IF(AND(C1527="Yes",D1527="Yes",E1527="Yes",F1527="Yes",G1527="No"),"Yes","No"))</f>
        <v/>
      </c>
      <c r="I1527" s="32"/>
      <c r="J1527" s="32"/>
    </row>
    <row r="1528" customFormat="false" ht="15" hidden="false" customHeight="false" outlineLevel="0" collapsed="false">
      <c r="A1528" s="32"/>
      <c r="B1528" s="32"/>
      <c r="C1528" s="32"/>
      <c r="D1528" s="32"/>
      <c r="E1528" s="32"/>
      <c r="F1528" s="32"/>
      <c r="G1528" s="32"/>
      <c r="H1528" s="28" t="str">
        <f aca="false">IF(COUNTA(C1528:G1528)=0,"",IF(AND(C1528="Yes",D1528="Yes",E1528="Yes",F1528="Yes",G1528="No"),"Yes","No"))</f>
        <v/>
      </c>
      <c r="I1528" s="32"/>
      <c r="J1528" s="32"/>
    </row>
    <row r="1529" customFormat="false" ht="15" hidden="false" customHeight="false" outlineLevel="0" collapsed="false">
      <c r="A1529" s="32"/>
      <c r="B1529" s="32"/>
      <c r="C1529" s="32"/>
      <c r="D1529" s="32"/>
      <c r="E1529" s="32"/>
      <c r="F1529" s="32"/>
      <c r="G1529" s="32"/>
      <c r="H1529" s="28" t="str">
        <f aca="false">IF(COUNTA(C1529:G1529)=0,"",IF(AND(C1529="Yes",D1529="Yes",E1529="Yes",F1529="Yes",G1529="No"),"Yes","No"))</f>
        <v/>
      </c>
      <c r="I1529" s="32"/>
      <c r="J1529" s="32"/>
    </row>
    <row r="1530" customFormat="false" ht="15" hidden="false" customHeight="false" outlineLevel="0" collapsed="false">
      <c r="A1530" s="32"/>
      <c r="B1530" s="32"/>
      <c r="C1530" s="32"/>
      <c r="D1530" s="32"/>
      <c r="E1530" s="32"/>
      <c r="F1530" s="32"/>
      <c r="G1530" s="32"/>
      <c r="H1530" s="28" t="str">
        <f aca="false">IF(COUNTA(C1530:G1530)=0,"",IF(AND(C1530="Yes",D1530="Yes",E1530="Yes",F1530="Yes",G1530="No"),"Yes","No"))</f>
        <v/>
      </c>
      <c r="I1530" s="32"/>
      <c r="J1530" s="32"/>
    </row>
    <row r="1531" customFormat="false" ht="15" hidden="false" customHeight="false" outlineLevel="0" collapsed="false">
      <c r="A1531" s="32"/>
      <c r="B1531" s="32"/>
      <c r="C1531" s="32"/>
      <c r="D1531" s="32"/>
      <c r="E1531" s="32"/>
      <c r="F1531" s="32"/>
      <c r="G1531" s="32"/>
      <c r="H1531" s="28" t="str">
        <f aca="false">IF(COUNTA(C1531:G1531)=0,"",IF(AND(C1531="Yes",D1531="Yes",E1531="Yes",F1531="Yes",G1531="No"),"Yes","No"))</f>
        <v/>
      </c>
      <c r="I1531" s="32"/>
      <c r="J1531" s="32"/>
    </row>
    <row r="1532" customFormat="false" ht="15" hidden="false" customHeight="false" outlineLevel="0" collapsed="false">
      <c r="A1532" s="32"/>
      <c r="B1532" s="32"/>
      <c r="C1532" s="32"/>
      <c r="D1532" s="32"/>
      <c r="E1532" s="32"/>
      <c r="F1532" s="32"/>
      <c r="G1532" s="32"/>
      <c r="H1532" s="28" t="str">
        <f aca="false">IF(COUNTA(C1532:G1532)=0,"",IF(AND(C1532="Yes",D1532="Yes",E1532="Yes",F1532="Yes",G1532="No"),"Yes","No"))</f>
        <v/>
      </c>
      <c r="I1532" s="32"/>
      <c r="J1532" s="32"/>
    </row>
    <row r="1533" customFormat="false" ht="15" hidden="false" customHeight="false" outlineLevel="0" collapsed="false">
      <c r="A1533" s="32"/>
      <c r="B1533" s="32"/>
      <c r="C1533" s="32"/>
      <c r="D1533" s="32"/>
      <c r="E1533" s="32"/>
      <c r="F1533" s="32"/>
      <c r="G1533" s="32"/>
      <c r="H1533" s="28" t="str">
        <f aca="false">IF(COUNTA(C1533:G1533)=0,"",IF(AND(C1533="Yes",D1533="Yes",E1533="Yes",F1533="Yes",G1533="No"),"Yes","No"))</f>
        <v/>
      </c>
      <c r="I1533" s="32"/>
      <c r="J1533" s="32"/>
    </row>
    <row r="1534" customFormat="false" ht="15" hidden="false" customHeight="false" outlineLevel="0" collapsed="false">
      <c r="A1534" s="32"/>
      <c r="B1534" s="32"/>
      <c r="C1534" s="32"/>
      <c r="D1534" s="32"/>
      <c r="E1534" s="32"/>
      <c r="F1534" s="32"/>
      <c r="G1534" s="32"/>
      <c r="H1534" s="28" t="str">
        <f aca="false">IF(COUNTA(C1534:G1534)=0,"",IF(AND(C1534="Yes",D1534="Yes",E1534="Yes",F1534="Yes",G1534="No"),"Yes","No"))</f>
        <v/>
      </c>
      <c r="I1534" s="32"/>
      <c r="J1534" s="32"/>
    </row>
    <row r="1535" customFormat="false" ht="15" hidden="false" customHeight="false" outlineLevel="0" collapsed="false">
      <c r="A1535" s="32"/>
      <c r="B1535" s="32"/>
      <c r="C1535" s="32"/>
      <c r="D1535" s="32"/>
      <c r="E1535" s="32"/>
      <c r="F1535" s="32"/>
      <c r="G1535" s="32"/>
      <c r="H1535" s="28" t="str">
        <f aca="false">IF(COUNTA(C1535:G1535)=0,"",IF(AND(C1535="Yes",D1535="Yes",E1535="Yes",F1535="Yes",G1535="No"),"Yes","No"))</f>
        <v/>
      </c>
      <c r="I1535" s="32"/>
      <c r="J1535" s="32"/>
    </row>
    <row r="1536" customFormat="false" ht="15" hidden="false" customHeight="false" outlineLevel="0" collapsed="false">
      <c r="A1536" s="32"/>
      <c r="B1536" s="32"/>
      <c r="C1536" s="32"/>
      <c r="D1536" s="32"/>
      <c r="E1536" s="32"/>
      <c r="F1536" s="32"/>
      <c r="G1536" s="32"/>
      <c r="H1536" s="28" t="str">
        <f aca="false">IF(COUNTA(C1536:G1536)=0,"",IF(AND(C1536="Yes",D1536="Yes",E1536="Yes",F1536="Yes",G1536="No"),"Yes","No"))</f>
        <v/>
      </c>
      <c r="I1536" s="32"/>
      <c r="J1536" s="32"/>
    </row>
    <row r="1537" customFormat="false" ht="15" hidden="false" customHeight="false" outlineLevel="0" collapsed="false">
      <c r="A1537" s="32"/>
      <c r="B1537" s="32"/>
      <c r="C1537" s="32"/>
      <c r="D1537" s="32"/>
      <c r="E1537" s="32"/>
      <c r="F1537" s="32"/>
      <c r="G1537" s="32"/>
      <c r="H1537" s="28" t="str">
        <f aca="false">IF(COUNTA(C1537:G1537)=0,"",IF(AND(C1537="Yes",D1537="Yes",E1537="Yes",F1537="Yes",G1537="No"),"Yes","No"))</f>
        <v/>
      </c>
      <c r="I1537" s="32"/>
      <c r="J1537" s="32"/>
    </row>
    <row r="1538" customFormat="false" ht="15" hidden="false" customHeight="false" outlineLevel="0" collapsed="false">
      <c r="A1538" s="32"/>
      <c r="B1538" s="32"/>
      <c r="C1538" s="32"/>
      <c r="D1538" s="32"/>
      <c r="E1538" s="32"/>
      <c r="F1538" s="32"/>
      <c r="G1538" s="32"/>
      <c r="H1538" s="28" t="str">
        <f aca="false">IF(COUNTA(C1538:G1538)=0,"",IF(AND(C1538="Yes",D1538="Yes",E1538="Yes",F1538="Yes",G1538="No"),"Yes","No"))</f>
        <v/>
      </c>
      <c r="I1538" s="32"/>
      <c r="J1538" s="32"/>
    </row>
    <row r="1539" customFormat="false" ht="15" hidden="false" customHeight="false" outlineLevel="0" collapsed="false">
      <c r="A1539" s="32"/>
      <c r="B1539" s="32"/>
      <c r="C1539" s="32"/>
      <c r="D1539" s="32"/>
      <c r="E1539" s="32"/>
      <c r="F1539" s="32"/>
      <c r="G1539" s="32"/>
      <c r="H1539" s="28" t="str">
        <f aca="false">IF(COUNTA(C1539:G1539)=0,"",IF(AND(C1539="Yes",D1539="Yes",E1539="Yes",F1539="Yes",G1539="No"),"Yes","No"))</f>
        <v/>
      </c>
      <c r="I1539" s="32"/>
      <c r="J1539" s="32"/>
    </row>
    <row r="1540" customFormat="false" ht="15" hidden="false" customHeight="false" outlineLevel="0" collapsed="false">
      <c r="A1540" s="32"/>
      <c r="B1540" s="32"/>
      <c r="C1540" s="32"/>
      <c r="D1540" s="32"/>
      <c r="E1540" s="32"/>
      <c r="F1540" s="32"/>
      <c r="G1540" s="32"/>
      <c r="H1540" s="28" t="str">
        <f aca="false">IF(COUNTA(C1540:G1540)=0,"",IF(AND(C1540="Yes",D1540="Yes",E1540="Yes",F1540="Yes",G1540="No"),"Yes","No"))</f>
        <v/>
      </c>
      <c r="I1540" s="32"/>
      <c r="J1540" s="32"/>
    </row>
    <row r="1541" customFormat="false" ht="15" hidden="false" customHeight="false" outlineLevel="0" collapsed="false">
      <c r="A1541" s="32"/>
      <c r="B1541" s="32"/>
      <c r="C1541" s="32"/>
      <c r="D1541" s="32"/>
      <c r="E1541" s="32"/>
      <c r="F1541" s="32"/>
      <c r="G1541" s="32"/>
      <c r="H1541" s="28" t="str">
        <f aca="false">IF(COUNTA(C1541:G1541)=0,"",IF(AND(C1541="Yes",D1541="Yes",E1541="Yes",F1541="Yes",G1541="No"),"Yes","No"))</f>
        <v/>
      </c>
      <c r="I1541" s="32"/>
      <c r="J1541" s="32"/>
    </row>
    <row r="1542" customFormat="false" ht="15" hidden="false" customHeight="false" outlineLevel="0" collapsed="false">
      <c r="A1542" s="32"/>
      <c r="B1542" s="32"/>
      <c r="C1542" s="32"/>
      <c r="D1542" s="32"/>
      <c r="E1542" s="32"/>
      <c r="F1542" s="32"/>
      <c r="G1542" s="32"/>
      <c r="H1542" s="28" t="str">
        <f aca="false">IF(COUNTA(C1542:G1542)=0,"",IF(AND(C1542="Yes",D1542="Yes",E1542="Yes",F1542="Yes",G1542="No"),"Yes","No"))</f>
        <v/>
      </c>
      <c r="I1542" s="32"/>
      <c r="J1542" s="32"/>
    </row>
    <row r="1543" customFormat="false" ht="15" hidden="false" customHeight="false" outlineLevel="0" collapsed="false">
      <c r="A1543" s="32"/>
      <c r="B1543" s="32"/>
      <c r="C1543" s="32"/>
      <c r="D1543" s="32"/>
      <c r="E1543" s="32"/>
      <c r="F1543" s="32"/>
      <c r="G1543" s="32"/>
      <c r="H1543" s="28" t="str">
        <f aca="false">IF(COUNTA(C1543:G1543)=0,"",IF(AND(C1543="Yes",D1543="Yes",E1543="Yes",F1543="Yes",G1543="No"),"Yes","No"))</f>
        <v/>
      </c>
      <c r="I1543" s="32"/>
      <c r="J1543" s="32"/>
    </row>
    <row r="1544" customFormat="false" ht="15" hidden="false" customHeight="false" outlineLevel="0" collapsed="false">
      <c r="A1544" s="32"/>
      <c r="B1544" s="32"/>
      <c r="C1544" s="32"/>
      <c r="D1544" s="32"/>
      <c r="E1544" s="32"/>
      <c r="F1544" s="32"/>
      <c r="G1544" s="32"/>
      <c r="H1544" s="28" t="str">
        <f aca="false">IF(COUNTA(C1544:G1544)=0,"",IF(AND(C1544="Yes",D1544="Yes",E1544="Yes",F1544="Yes",G1544="No"),"Yes","No"))</f>
        <v/>
      </c>
      <c r="I1544" s="32"/>
      <c r="J1544" s="32"/>
    </row>
    <row r="1545" customFormat="false" ht="15" hidden="false" customHeight="false" outlineLevel="0" collapsed="false">
      <c r="A1545" s="32"/>
      <c r="B1545" s="32"/>
      <c r="C1545" s="32"/>
      <c r="D1545" s="32"/>
      <c r="E1545" s="32"/>
      <c r="F1545" s="32"/>
      <c r="G1545" s="32"/>
      <c r="H1545" s="28" t="str">
        <f aca="false">IF(COUNTA(C1545:G1545)=0,"",IF(AND(C1545="Yes",D1545="Yes",E1545="Yes",F1545="Yes",G1545="No"),"Yes","No"))</f>
        <v/>
      </c>
      <c r="I1545" s="32"/>
      <c r="J1545" s="32"/>
    </row>
    <row r="1546" customFormat="false" ht="15" hidden="false" customHeight="false" outlineLevel="0" collapsed="false">
      <c r="A1546" s="32"/>
      <c r="B1546" s="32"/>
      <c r="C1546" s="32"/>
      <c r="D1546" s="32"/>
      <c r="E1546" s="32"/>
      <c r="F1546" s="32"/>
      <c r="G1546" s="32"/>
      <c r="H1546" s="28" t="str">
        <f aca="false">IF(COUNTA(C1546:G1546)=0,"",IF(AND(C1546="Yes",D1546="Yes",E1546="Yes",F1546="Yes",G1546="No"),"Yes","No"))</f>
        <v/>
      </c>
      <c r="I1546" s="32"/>
      <c r="J1546" s="32"/>
    </row>
    <row r="1547" customFormat="false" ht="15" hidden="false" customHeight="false" outlineLevel="0" collapsed="false">
      <c r="A1547" s="32"/>
      <c r="B1547" s="32"/>
      <c r="C1547" s="32"/>
      <c r="D1547" s="32"/>
      <c r="E1547" s="32"/>
      <c r="F1547" s="32"/>
      <c r="G1547" s="32"/>
      <c r="H1547" s="28" t="str">
        <f aca="false">IF(COUNTA(C1547:G1547)=0,"",IF(AND(C1547="Yes",D1547="Yes",E1547="Yes",F1547="Yes",G1547="No"),"Yes","No"))</f>
        <v/>
      </c>
      <c r="I1547" s="32"/>
      <c r="J1547" s="32"/>
    </row>
    <row r="1548" customFormat="false" ht="15" hidden="false" customHeight="false" outlineLevel="0" collapsed="false">
      <c r="A1548" s="32"/>
      <c r="B1548" s="32"/>
      <c r="C1548" s="32"/>
      <c r="D1548" s="32"/>
      <c r="E1548" s="32"/>
      <c r="F1548" s="32"/>
      <c r="G1548" s="32"/>
      <c r="H1548" s="28" t="str">
        <f aca="false">IF(COUNTA(C1548:G1548)=0,"",IF(AND(C1548="Yes",D1548="Yes",E1548="Yes",F1548="Yes",G1548="No"),"Yes","No"))</f>
        <v/>
      </c>
      <c r="I1548" s="32"/>
      <c r="J1548" s="32"/>
    </row>
    <row r="1549" customFormat="false" ht="15" hidden="false" customHeight="false" outlineLevel="0" collapsed="false">
      <c r="A1549" s="32"/>
      <c r="B1549" s="32"/>
      <c r="C1549" s="32"/>
      <c r="D1549" s="32"/>
      <c r="E1549" s="32"/>
      <c r="F1549" s="32"/>
      <c r="G1549" s="32"/>
      <c r="H1549" s="28" t="str">
        <f aca="false">IF(COUNTA(C1549:G1549)=0,"",IF(AND(C1549="Yes",D1549="Yes",E1549="Yes",F1549="Yes",G1549="No"),"Yes","No"))</f>
        <v/>
      </c>
      <c r="I1549" s="32"/>
      <c r="J1549" s="32"/>
    </row>
    <row r="1550" customFormat="false" ht="15" hidden="false" customHeight="false" outlineLevel="0" collapsed="false">
      <c r="A1550" s="32"/>
      <c r="B1550" s="32"/>
      <c r="C1550" s="32"/>
      <c r="D1550" s="32"/>
      <c r="E1550" s="32"/>
      <c r="F1550" s="32"/>
      <c r="G1550" s="32"/>
      <c r="H1550" s="28" t="str">
        <f aca="false">IF(COUNTA(C1550:G1550)=0,"",IF(AND(C1550="Yes",D1550="Yes",E1550="Yes",F1550="Yes",G1550="No"),"Yes","No"))</f>
        <v/>
      </c>
      <c r="I1550" s="32"/>
      <c r="J1550" s="32"/>
    </row>
    <row r="1551" customFormat="false" ht="15" hidden="false" customHeight="false" outlineLevel="0" collapsed="false">
      <c r="A1551" s="32"/>
      <c r="B1551" s="32"/>
      <c r="C1551" s="32"/>
      <c r="D1551" s="32"/>
      <c r="E1551" s="32"/>
      <c r="F1551" s="32"/>
      <c r="G1551" s="32"/>
      <c r="H1551" s="28" t="str">
        <f aca="false">IF(COUNTA(C1551:G1551)=0,"",IF(AND(C1551="Yes",D1551="Yes",E1551="Yes",F1551="Yes",G1551="No"),"Yes","No"))</f>
        <v/>
      </c>
      <c r="I1551" s="32"/>
      <c r="J1551" s="32"/>
    </row>
    <row r="1552" customFormat="false" ht="15" hidden="false" customHeight="false" outlineLevel="0" collapsed="false">
      <c r="A1552" s="32"/>
      <c r="B1552" s="32"/>
      <c r="C1552" s="32"/>
      <c r="D1552" s="32"/>
      <c r="E1552" s="32"/>
      <c r="F1552" s="32"/>
      <c r="G1552" s="32"/>
      <c r="H1552" s="28" t="str">
        <f aca="false">IF(COUNTA(C1552:G1552)=0,"",IF(AND(C1552="Yes",D1552="Yes",E1552="Yes",F1552="Yes",G1552="No"),"Yes","No"))</f>
        <v/>
      </c>
      <c r="I1552" s="32"/>
      <c r="J1552" s="32"/>
    </row>
    <row r="1553" customFormat="false" ht="15" hidden="false" customHeight="false" outlineLevel="0" collapsed="false">
      <c r="A1553" s="32"/>
      <c r="B1553" s="32"/>
      <c r="C1553" s="32"/>
      <c r="D1553" s="32"/>
      <c r="E1553" s="32"/>
      <c r="F1553" s="32"/>
      <c r="G1553" s="32"/>
      <c r="H1553" s="28" t="str">
        <f aca="false">IF(COUNTA(C1553:G1553)=0,"",IF(AND(C1553="Yes",D1553="Yes",E1553="Yes",F1553="Yes",G1553="No"),"Yes","No"))</f>
        <v/>
      </c>
      <c r="I1553" s="32"/>
      <c r="J1553" s="32"/>
    </row>
    <row r="1554" customFormat="false" ht="15" hidden="false" customHeight="false" outlineLevel="0" collapsed="false">
      <c r="A1554" s="32"/>
      <c r="B1554" s="32"/>
      <c r="C1554" s="32"/>
      <c r="D1554" s="32"/>
      <c r="E1554" s="32"/>
      <c r="F1554" s="32"/>
      <c r="G1554" s="32"/>
      <c r="H1554" s="28" t="str">
        <f aca="false">IF(COUNTA(C1554:G1554)=0,"",IF(AND(C1554="Yes",D1554="Yes",E1554="Yes",F1554="Yes",G1554="No"),"Yes","No"))</f>
        <v/>
      </c>
      <c r="I1554" s="32"/>
      <c r="J1554" s="32"/>
    </row>
    <row r="1555" customFormat="false" ht="15" hidden="false" customHeight="false" outlineLevel="0" collapsed="false">
      <c r="A1555" s="32"/>
      <c r="B1555" s="32"/>
      <c r="C1555" s="32"/>
      <c r="D1555" s="32"/>
      <c r="E1555" s="32"/>
      <c r="F1555" s="32"/>
      <c r="G1555" s="32"/>
      <c r="H1555" s="28" t="str">
        <f aca="false">IF(COUNTA(C1555:G1555)=0,"",IF(AND(C1555="Yes",D1555="Yes",E1555="Yes",F1555="Yes",G1555="No"),"Yes","No"))</f>
        <v/>
      </c>
      <c r="I1555" s="32"/>
      <c r="J1555" s="32"/>
    </row>
    <row r="1556" customFormat="false" ht="15" hidden="false" customHeight="false" outlineLevel="0" collapsed="false">
      <c r="A1556" s="32"/>
      <c r="B1556" s="32"/>
      <c r="C1556" s="32"/>
      <c r="D1556" s="32"/>
      <c r="E1556" s="32"/>
      <c r="F1556" s="32"/>
      <c r="G1556" s="32"/>
      <c r="H1556" s="28" t="str">
        <f aca="false">IF(COUNTA(C1556:G1556)=0,"",IF(AND(C1556="Yes",D1556="Yes",E1556="Yes",F1556="Yes",G1556="No"),"Yes","No"))</f>
        <v/>
      </c>
      <c r="I1556" s="32"/>
      <c r="J1556" s="32"/>
    </row>
    <row r="1557" customFormat="false" ht="15" hidden="false" customHeight="false" outlineLevel="0" collapsed="false">
      <c r="A1557" s="32"/>
      <c r="B1557" s="32"/>
      <c r="C1557" s="32"/>
      <c r="D1557" s="32"/>
      <c r="E1557" s="32"/>
      <c r="F1557" s="32"/>
      <c r="G1557" s="32"/>
      <c r="H1557" s="28" t="str">
        <f aca="false">IF(COUNTA(C1557:G1557)=0,"",IF(AND(C1557="Yes",D1557="Yes",E1557="Yes",F1557="Yes",G1557="No"),"Yes","No"))</f>
        <v/>
      </c>
      <c r="I1557" s="32"/>
      <c r="J1557" s="32"/>
    </row>
    <row r="1558" customFormat="false" ht="15" hidden="false" customHeight="false" outlineLevel="0" collapsed="false">
      <c r="A1558" s="32"/>
      <c r="B1558" s="32"/>
      <c r="C1558" s="32"/>
      <c r="D1558" s="32"/>
      <c r="E1558" s="32"/>
      <c r="F1558" s="32"/>
      <c r="G1558" s="32"/>
      <c r="H1558" s="28" t="str">
        <f aca="false">IF(COUNTA(C1558:G1558)=0,"",IF(AND(C1558="Yes",D1558="Yes",E1558="Yes",F1558="Yes",G1558="No"),"Yes","No"))</f>
        <v/>
      </c>
      <c r="I1558" s="32"/>
      <c r="J1558" s="32"/>
    </row>
    <row r="1559" customFormat="false" ht="15" hidden="false" customHeight="false" outlineLevel="0" collapsed="false">
      <c r="A1559" s="32"/>
      <c r="B1559" s="32"/>
      <c r="C1559" s="32"/>
      <c r="D1559" s="32"/>
      <c r="E1559" s="32"/>
      <c r="F1559" s="32"/>
      <c r="G1559" s="32"/>
      <c r="H1559" s="28" t="str">
        <f aca="false">IF(COUNTA(C1559:G1559)=0,"",IF(AND(C1559="Yes",D1559="Yes",E1559="Yes",F1559="Yes",G1559="No"),"Yes","No"))</f>
        <v/>
      </c>
      <c r="I1559" s="32"/>
      <c r="J1559" s="32"/>
    </row>
    <row r="1560" customFormat="false" ht="15" hidden="false" customHeight="false" outlineLevel="0" collapsed="false">
      <c r="A1560" s="32"/>
      <c r="B1560" s="32"/>
      <c r="C1560" s="32"/>
      <c r="D1560" s="32"/>
      <c r="E1560" s="32"/>
      <c r="F1560" s="32"/>
      <c r="G1560" s="32"/>
      <c r="H1560" s="28" t="str">
        <f aca="false">IF(COUNTA(C1560:G1560)=0,"",IF(AND(C1560="Yes",D1560="Yes",E1560="Yes",F1560="Yes",G1560="No"),"Yes","No"))</f>
        <v/>
      </c>
      <c r="I1560" s="32"/>
      <c r="J1560" s="32"/>
    </row>
    <row r="1561" customFormat="false" ht="15" hidden="false" customHeight="false" outlineLevel="0" collapsed="false">
      <c r="A1561" s="32"/>
      <c r="B1561" s="32"/>
      <c r="C1561" s="32"/>
      <c r="D1561" s="32"/>
      <c r="E1561" s="32"/>
      <c r="F1561" s="32"/>
      <c r="G1561" s="32"/>
      <c r="H1561" s="28" t="str">
        <f aca="false">IF(COUNTA(C1561:G1561)=0,"",IF(AND(C1561="Yes",D1561="Yes",E1561="Yes",F1561="Yes",G1561="No"),"Yes","No"))</f>
        <v/>
      </c>
      <c r="I1561" s="32"/>
      <c r="J1561" s="32"/>
    </row>
    <row r="1562" customFormat="false" ht="15" hidden="false" customHeight="false" outlineLevel="0" collapsed="false">
      <c r="A1562" s="32"/>
      <c r="B1562" s="32"/>
      <c r="C1562" s="32"/>
      <c r="D1562" s="32"/>
      <c r="E1562" s="32"/>
      <c r="F1562" s="32"/>
      <c r="G1562" s="32"/>
      <c r="H1562" s="28" t="str">
        <f aca="false">IF(COUNTA(C1562:G1562)=0,"",IF(AND(C1562="Yes",D1562="Yes",E1562="Yes",F1562="Yes",G1562="No"),"Yes","No"))</f>
        <v/>
      </c>
      <c r="I1562" s="32"/>
      <c r="J1562" s="32"/>
    </row>
    <row r="1563" customFormat="false" ht="15" hidden="false" customHeight="false" outlineLevel="0" collapsed="false">
      <c r="A1563" s="32"/>
      <c r="B1563" s="32"/>
      <c r="C1563" s="32"/>
      <c r="D1563" s="32"/>
      <c r="E1563" s="32"/>
      <c r="F1563" s="32"/>
      <c r="G1563" s="32"/>
      <c r="H1563" s="28" t="str">
        <f aca="false">IF(COUNTA(C1563:G1563)=0,"",IF(AND(C1563="Yes",D1563="Yes",E1563="Yes",F1563="Yes",G1563="No"),"Yes","No"))</f>
        <v/>
      </c>
      <c r="I1563" s="32"/>
      <c r="J1563" s="32"/>
    </row>
    <row r="1564" customFormat="false" ht="15" hidden="false" customHeight="false" outlineLevel="0" collapsed="false">
      <c r="A1564" s="32"/>
      <c r="B1564" s="32"/>
      <c r="C1564" s="32"/>
      <c r="D1564" s="32"/>
      <c r="E1564" s="32"/>
      <c r="F1564" s="32"/>
      <c r="G1564" s="32"/>
      <c r="H1564" s="28" t="str">
        <f aca="false">IF(COUNTA(C1564:G1564)=0,"",IF(AND(C1564="Yes",D1564="Yes",E1564="Yes",F1564="Yes",G1564="No"),"Yes","No"))</f>
        <v/>
      </c>
      <c r="I1564" s="32"/>
      <c r="J1564" s="32"/>
    </row>
    <row r="1565" customFormat="false" ht="15" hidden="false" customHeight="false" outlineLevel="0" collapsed="false">
      <c r="A1565" s="32"/>
      <c r="B1565" s="32"/>
      <c r="C1565" s="32"/>
      <c r="D1565" s="32"/>
      <c r="E1565" s="32"/>
      <c r="F1565" s="32"/>
      <c r="G1565" s="32"/>
      <c r="H1565" s="28" t="str">
        <f aca="false">IF(COUNTA(C1565:G1565)=0,"",IF(AND(C1565="Yes",D1565="Yes",E1565="Yes",F1565="Yes",G1565="No"),"Yes","No"))</f>
        <v/>
      </c>
      <c r="I1565" s="32"/>
      <c r="J1565" s="32"/>
    </row>
    <row r="1566" customFormat="false" ht="15" hidden="false" customHeight="false" outlineLevel="0" collapsed="false">
      <c r="A1566" s="32"/>
      <c r="B1566" s="32"/>
      <c r="C1566" s="32"/>
      <c r="D1566" s="32"/>
      <c r="E1566" s="32"/>
      <c r="F1566" s="32"/>
      <c r="G1566" s="32"/>
      <c r="H1566" s="28" t="str">
        <f aca="false">IF(COUNTA(C1566:G1566)=0,"",IF(AND(C1566="Yes",D1566="Yes",E1566="Yes",F1566="Yes",G1566="No"),"Yes","No"))</f>
        <v/>
      </c>
      <c r="I1566" s="32"/>
      <c r="J1566" s="32"/>
    </row>
    <row r="1567" customFormat="false" ht="15" hidden="false" customHeight="false" outlineLevel="0" collapsed="false">
      <c r="A1567" s="32"/>
      <c r="B1567" s="32"/>
      <c r="C1567" s="32"/>
      <c r="D1567" s="32"/>
      <c r="E1567" s="32"/>
      <c r="F1567" s="32"/>
      <c r="G1567" s="32"/>
      <c r="H1567" s="28" t="str">
        <f aca="false">IF(COUNTA(C1567:G1567)=0,"",IF(AND(C1567="Yes",D1567="Yes",E1567="Yes",F1567="Yes",G1567="No"),"Yes","No"))</f>
        <v/>
      </c>
      <c r="I1567" s="32"/>
      <c r="J1567" s="32"/>
    </row>
    <row r="1568" customFormat="false" ht="15" hidden="false" customHeight="false" outlineLevel="0" collapsed="false">
      <c r="A1568" s="32"/>
      <c r="B1568" s="32"/>
      <c r="C1568" s="32"/>
      <c r="D1568" s="32"/>
      <c r="E1568" s="32"/>
      <c r="F1568" s="32"/>
      <c r="G1568" s="32"/>
      <c r="H1568" s="28" t="str">
        <f aca="false">IF(COUNTA(C1568:G1568)=0,"",IF(AND(C1568="Yes",D1568="Yes",E1568="Yes",F1568="Yes",G1568="No"),"Yes","No"))</f>
        <v/>
      </c>
      <c r="I1568" s="32"/>
      <c r="J1568" s="32"/>
    </row>
    <row r="1569" customFormat="false" ht="15" hidden="false" customHeight="false" outlineLevel="0" collapsed="false">
      <c r="A1569" s="32"/>
      <c r="B1569" s="32"/>
      <c r="C1569" s="32"/>
      <c r="D1569" s="32"/>
      <c r="E1569" s="32"/>
      <c r="F1569" s="32"/>
      <c r="G1569" s="32"/>
      <c r="H1569" s="28" t="str">
        <f aca="false">IF(COUNTA(C1569:G1569)=0,"",IF(AND(C1569="Yes",D1569="Yes",E1569="Yes",F1569="Yes",G1569="No"),"Yes","No"))</f>
        <v/>
      </c>
      <c r="I1569" s="32"/>
      <c r="J1569" s="32"/>
    </row>
    <row r="1570" customFormat="false" ht="15" hidden="false" customHeight="false" outlineLevel="0" collapsed="false">
      <c r="A1570" s="32"/>
      <c r="B1570" s="32"/>
      <c r="C1570" s="32"/>
      <c r="D1570" s="32"/>
      <c r="E1570" s="32"/>
      <c r="F1570" s="32"/>
      <c r="G1570" s="32"/>
      <c r="H1570" s="28" t="str">
        <f aca="false">IF(COUNTA(C1570:G1570)=0,"",IF(AND(C1570="Yes",D1570="Yes",E1570="Yes",F1570="Yes",G1570="No"),"Yes","No"))</f>
        <v/>
      </c>
      <c r="I1570" s="32"/>
      <c r="J1570" s="32"/>
    </row>
    <row r="1571" customFormat="false" ht="15" hidden="false" customHeight="false" outlineLevel="0" collapsed="false">
      <c r="A1571" s="32"/>
      <c r="B1571" s="32"/>
      <c r="C1571" s="32"/>
      <c r="D1571" s="32"/>
      <c r="E1571" s="32"/>
      <c r="F1571" s="32"/>
      <c r="G1571" s="32"/>
      <c r="H1571" s="28" t="str">
        <f aca="false">IF(COUNTA(C1571:G1571)=0,"",IF(AND(C1571="Yes",D1571="Yes",E1571="Yes",F1571="Yes",G1571="No"),"Yes","No"))</f>
        <v/>
      </c>
      <c r="I1571" s="32"/>
      <c r="J1571" s="32"/>
    </row>
    <row r="1572" customFormat="false" ht="15" hidden="false" customHeight="false" outlineLevel="0" collapsed="false">
      <c r="A1572" s="32"/>
      <c r="B1572" s="32"/>
      <c r="C1572" s="32"/>
      <c r="D1572" s="32"/>
      <c r="E1572" s="32"/>
      <c r="F1572" s="32"/>
      <c r="G1572" s="32"/>
      <c r="H1572" s="28" t="str">
        <f aca="false">IF(COUNTA(C1572:G1572)=0,"",IF(AND(C1572="Yes",D1572="Yes",E1572="Yes",F1572="Yes",G1572="No"),"Yes","No"))</f>
        <v/>
      </c>
      <c r="I1572" s="32"/>
      <c r="J1572" s="32"/>
    </row>
    <row r="1573" customFormat="false" ht="15" hidden="false" customHeight="false" outlineLevel="0" collapsed="false">
      <c r="A1573" s="32"/>
      <c r="B1573" s="32"/>
      <c r="C1573" s="32"/>
      <c r="D1573" s="32"/>
      <c r="E1573" s="32"/>
      <c r="F1573" s="32"/>
      <c r="G1573" s="32"/>
      <c r="H1573" s="28" t="str">
        <f aca="false">IF(COUNTA(C1573:G1573)=0,"",IF(AND(C1573="Yes",D1573="Yes",E1573="Yes",F1573="Yes",G1573="No"),"Yes","No"))</f>
        <v/>
      </c>
      <c r="I1573" s="32"/>
      <c r="J1573" s="32"/>
    </row>
    <row r="1574" customFormat="false" ht="15" hidden="false" customHeight="false" outlineLevel="0" collapsed="false">
      <c r="A1574" s="32"/>
      <c r="B1574" s="32"/>
      <c r="C1574" s="32"/>
      <c r="D1574" s="32"/>
      <c r="E1574" s="32"/>
      <c r="F1574" s="32"/>
      <c r="G1574" s="32"/>
      <c r="H1574" s="28" t="str">
        <f aca="false">IF(COUNTA(C1574:G1574)=0,"",IF(AND(C1574="Yes",D1574="Yes",E1574="Yes",F1574="Yes",G1574="No"),"Yes","No"))</f>
        <v/>
      </c>
      <c r="I1574" s="32"/>
      <c r="J1574" s="32"/>
    </row>
    <row r="1575" customFormat="false" ht="15" hidden="false" customHeight="false" outlineLevel="0" collapsed="false">
      <c r="A1575" s="32"/>
      <c r="B1575" s="32"/>
      <c r="C1575" s="32"/>
      <c r="D1575" s="32"/>
      <c r="E1575" s="32"/>
      <c r="F1575" s="32"/>
      <c r="G1575" s="32"/>
      <c r="H1575" s="28" t="str">
        <f aca="false">IF(COUNTA(C1575:G1575)=0,"",IF(AND(C1575="Yes",D1575="Yes",E1575="Yes",F1575="Yes",G1575="No"),"Yes","No"))</f>
        <v/>
      </c>
      <c r="I1575" s="32"/>
      <c r="J1575" s="32"/>
    </row>
    <row r="1576" customFormat="false" ht="15" hidden="false" customHeight="false" outlineLevel="0" collapsed="false">
      <c r="A1576" s="32"/>
      <c r="B1576" s="32"/>
      <c r="C1576" s="32"/>
      <c r="D1576" s="32"/>
      <c r="E1576" s="32"/>
      <c r="F1576" s="32"/>
      <c r="G1576" s="32"/>
      <c r="H1576" s="28" t="str">
        <f aca="false">IF(COUNTA(C1576:G1576)=0,"",IF(AND(C1576="Yes",D1576="Yes",E1576="Yes",F1576="Yes",G1576="No"),"Yes","No"))</f>
        <v/>
      </c>
      <c r="I1576" s="32"/>
      <c r="J1576" s="32"/>
    </row>
    <row r="1577" customFormat="false" ht="15" hidden="false" customHeight="false" outlineLevel="0" collapsed="false">
      <c r="A1577" s="32"/>
      <c r="B1577" s="32"/>
      <c r="C1577" s="32"/>
      <c r="D1577" s="32"/>
      <c r="E1577" s="32"/>
      <c r="F1577" s="32"/>
      <c r="G1577" s="32"/>
      <c r="H1577" s="28" t="str">
        <f aca="false">IF(COUNTA(C1577:G1577)=0,"",IF(AND(C1577="Yes",D1577="Yes",E1577="Yes",F1577="Yes",G1577="No"),"Yes","No"))</f>
        <v/>
      </c>
      <c r="I1577" s="32"/>
      <c r="J1577" s="32"/>
    </row>
    <row r="1578" customFormat="false" ht="15" hidden="false" customHeight="false" outlineLevel="0" collapsed="false">
      <c r="A1578" s="32"/>
      <c r="B1578" s="32"/>
      <c r="C1578" s="32"/>
      <c r="D1578" s="32"/>
      <c r="E1578" s="32"/>
      <c r="F1578" s="32"/>
      <c r="G1578" s="32"/>
      <c r="H1578" s="28" t="str">
        <f aca="false">IF(COUNTA(C1578:G1578)=0,"",IF(AND(C1578="Yes",D1578="Yes",E1578="Yes",F1578="Yes",G1578="No"),"Yes","No"))</f>
        <v/>
      </c>
      <c r="I1578" s="32"/>
      <c r="J1578" s="32"/>
    </row>
    <row r="1579" customFormat="false" ht="15" hidden="false" customHeight="false" outlineLevel="0" collapsed="false">
      <c r="A1579" s="32"/>
      <c r="B1579" s="32"/>
      <c r="C1579" s="32"/>
      <c r="D1579" s="32"/>
      <c r="E1579" s="32"/>
      <c r="F1579" s="32"/>
      <c r="G1579" s="32"/>
      <c r="H1579" s="28" t="str">
        <f aca="false">IF(COUNTA(C1579:G1579)=0,"",IF(AND(C1579="Yes",D1579="Yes",E1579="Yes",F1579="Yes",G1579="No"),"Yes","No"))</f>
        <v/>
      </c>
      <c r="I1579" s="32"/>
      <c r="J1579" s="32"/>
    </row>
    <row r="1580" customFormat="false" ht="15" hidden="false" customHeight="false" outlineLevel="0" collapsed="false">
      <c r="A1580" s="32"/>
      <c r="B1580" s="32"/>
      <c r="C1580" s="32"/>
      <c r="D1580" s="32"/>
      <c r="E1580" s="32"/>
      <c r="F1580" s="32"/>
      <c r="G1580" s="32"/>
      <c r="H1580" s="28" t="str">
        <f aca="false">IF(COUNTA(C1580:G1580)=0,"",IF(AND(C1580="Yes",D1580="Yes",E1580="Yes",F1580="Yes",G1580="No"),"Yes","No"))</f>
        <v/>
      </c>
      <c r="I1580" s="32"/>
      <c r="J1580" s="32"/>
    </row>
    <row r="1581" customFormat="false" ht="15" hidden="false" customHeight="false" outlineLevel="0" collapsed="false">
      <c r="A1581" s="32"/>
      <c r="B1581" s="32"/>
      <c r="C1581" s="32"/>
      <c r="D1581" s="32"/>
      <c r="E1581" s="32"/>
      <c r="F1581" s="32"/>
      <c r="G1581" s="32"/>
      <c r="H1581" s="28" t="str">
        <f aca="false">IF(COUNTA(C1581:G1581)=0,"",IF(AND(C1581="Yes",D1581="Yes",E1581="Yes",F1581="Yes",G1581="No"),"Yes","No"))</f>
        <v/>
      </c>
      <c r="I1581" s="32"/>
      <c r="J1581" s="32"/>
    </row>
    <row r="1582" customFormat="false" ht="15" hidden="false" customHeight="false" outlineLevel="0" collapsed="false">
      <c r="A1582" s="32"/>
      <c r="B1582" s="32"/>
      <c r="C1582" s="32"/>
      <c r="D1582" s="32"/>
      <c r="E1582" s="32"/>
      <c r="F1582" s="32"/>
      <c r="G1582" s="32"/>
      <c r="H1582" s="28" t="str">
        <f aca="false">IF(COUNTA(C1582:G1582)=0,"",IF(AND(C1582="Yes",D1582="Yes",E1582="Yes",F1582="Yes",G1582="No"),"Yes","No"))</f>
        <v/>
      </c>
      <c r="I1582" s="32"/>
      <c r="J1582" s="32"/>
    </row>
    <row r="1583" customFormat="false" ht="15" hidden="false" customHeight="false" outlineLevel="0" collapsed="false">
      <c r="A1583" s="32"/>
      <c r="B1583" s="32"/>
      <c r="C1583" s="32"/>
      <c r="D1583" s="32"/>
      <c r="E1583" s="32"/>
      <c r="F1583" s="32"/>
      <c r="G1583" s="32"/>
      <c r="H1583" s="28" t="str">
        <f aca="false">IF(COUNTA(C1583:G1583)=0,"",IF(AND(C1583="Yes",D1583="Yes",E1583="Yes",F1583="Yes",G1583="No"),"Yes","No"))</f>
        <v/>
      </c>
      <c r="I1583" s="32"/>
      <c r="J1583" s="32"/>
    </row>
    <row r="1584" customFormat="false" ht="15" hidden="false" customHeight="false" outlineLevel="0" collapsed="false">
      <c r="A1584" s="32"/>
      <c r="B1584" s="32"/>
      <c r="C1584" s="32"/>
      <c r="D1584" s="32"/>
      <c r="E1584" s="32"/>
      <c r="F1584" s="32"/>
      <c r="G1584" s="32"/>
      <c r="H1584" s="28" t="str">
        <f aca="false">IF(COUNTA(C1584:G1584)=0,"",IF(AND(C1584="Yes",D1584="Yes",E1584="Yes",F1584="Yes",G1584="No"),"Yes","No"))</f>
        <v/>
      </c>
      <c r="I1584" s="32"/>
      <c r="J1584" s="32"/>
    </row>
    <row r="1585" customFormat="false" ht="15" hidden="false" customHeight="false" outlineLevel="0" collapsed="false">
      <c r="A1585" s="32"/>
      <c r="B1585" s="32"/>
      <c r="C1585" s="32"/>
      <c r="D1585" s="32"/>
      <c r="E1585" s="32"/>
      <c r="F1585" s="32"/>
      <c r="G1585" s="32"/>
      <c r="H1585" s="28" t="str">
        <f aca="false">IF(COUNTA(C1585:G1585)=0,"",IF(AND(C1585="Yes",D1585="Yes",E1585="Yes",F1585="Yes",G1585="No"),"Yes","No"))</f>
        <v/>
      </c>
      <c r="I1585" s="32"/>
      <c r="J1585" s="32"/>
    </row>
    <row r="1586" customFormat="false" ht="15" hidden="false" customHeight="false" outlineLevel="0" collapsed="false">
      <c r="A1586" s="32"/>
      <c r="B1586" s="32"/>
      <c r="C1586" s="32"/>
      <c r="D1586" s="32"/>
      <c r="E1586" s="32"/>
      <c r="F1586" s="32"/>
      <c r="G1586" s="32"/>
      <c r="H1586" s="28" t="str">
        <f aca="false">IF(COUNTA(C1586:G1586)=0,"",IF(AND(C1586="Yes",D1586="Yes",E1586="Yes",F1586="Yes",G1586="No"),"Yes","No"))</f>
        <v/>
      </c>
      <c r="I1586" s="32"/>
      <c r="J1586" s="32"/>
    </row>
    <row r="1587" customFormat="false" ht="15" hidden="false" customHeight="false" outlineLevel="0" collapsed="false">
      <c r="A1587" s="32"/>
      <c r="B1587" s="32"/>
      <c r="C1587" s="32"/>
      <c r="D1587" s="32"/>
      <c r="E1587" s="32"/>
      <c r="F1587" s="32"/>
      <c r="G1587" s="32"/>
      <c r="H1587" s="28" t="str">
        <f aca="false">IF(COUNTA(C1587:G1587)=0,"",IF(AND(C1587="Yes",D1587="Yes",E1587="Yes",F1587="Yes",G1587="No"),"Yes","No"))</f>
        <v/>
      </c>
      <c r="I1587" s="32"/>
      <c r="J1587" s="32"/>
    </row>
    <row r="1588" customFormat="false" ht="15" hidden="false" customHeight="false" outlineLevel="0" collapsed="false">
      <c r="A1588" s="32"/>
      <c r="B1588" s="32"/>
      <c r="C1588" s="32"/>
      <c r="D1588" s="32"/>
      <c r="E1588" s="32"/>
      <c r="F1588" s="32"/>
      <c r="G1588" s="32"/>
      <c r="H1588" s="28" t="str">
        <f aca="false">IF(COUNTA(C1588:G1588)=0,"",IF(AND(C1588="Yes",D1588="Yes",E1588="Yes",F1588="Yes",G1588="No"),"Yes","No"))</f>
        <v/>
      </c>
      <c r="I1588" s="32"/>
      <c r="J1588" s="32"/>
    </row>
    <row r="1589" customFormat="false" ht="15" hidden="false" customHeight="false" outlineLevel="0" collapsed="false">
      <c r="A1589" s="32"/>
      <c r="B1589" s="32"/>
      <c r="C1589" s="32"/>
      <c r="D1589" s="32"/>
      <c r="E1589" s="32"/>
      <c r="F1589" s="32"/>
      <c r="G1589" s="32"/>
      <c r="H1589" s="28" t="str">
        <f aca="false">IF(COUNTA(C1589:G1589)=0,"",IF(AND(C1589="Yes",D1589="Yes",E1589="Yes",F1589="Yes",G1589="No"),"Yes","No"))</f>
        <v/>
      </c>
      <c r="I1589" s="32"/>
      <c r="J1589" s="32"/>
    </row>
    <row r="1590" customFormat="false" ht="15" hidden="false" customHeight="false" outlineLevel="0" collapsed="false">
      <c r="A1590" s="32"/>
      <c r="B1590" s="32"/>
      <c r="C1590" s="32"/>
      <c r="D1590" s="32"/>
      <c r="E1590" s="32"/>
      <c r="F1590" s="32"/>
      <c r="G1590" s="32"/>
      <c r="H1590" s="28" t="str">
        <f aca="false">IF(COUNTA(C1590:G1590)=0,"",IF(AND(C1590="Yes",D1590="Yes",E1590="Yes",F1590="Yes",G1590="No"),"Yes","No"))</f>
        <v/>
      </c>
      <c r="I1590" s="32"/>
      <c r="J1590" s="32"/>
    </row>
    <row r="1591" customFormat="false" ht="15" hidden="false" customHeight="false" outlineLevel="0" collapsed="false">
      <c r="A1591" s="32"/>
      <c r="B1591" s="32"/>
      <c r="C1591" s="32"/>
      <c r="D1591" s="32"/>
      <c r="E1591" s="32"/>
      <c r="F1591" s="32"/>
      <c r="G1591" s="32"/>
      <c r="H1591" s="28" t="str">
        <f aca="false">IF(COUNTA(C1591:G1591)=0,"",IF(AND(C1591="Yes",D1591="Yes",E1591="Yes",F1591="Yes",G1591="No"),"Yes","No"))</f>
        <v/>
      </c>
      <c r="I1591" s="32"/>
      <c r="J1591" s="32"/>
    </row>
    <row r="1592" customFormat="false" ht="15" hidden="false" customHeight="false" outlineLevel="0" collapsed="false">
      <c r="A1592" s="32"/>
      <c r="B1592" s="32"/>
      <c r="C1592" s="32"/>
      <c r="D1592" s="32"/>
      <c r="E1592" s="32"/>
      <c r="F1592" s="32"/>
      <c r="G1592" s="32"/>
      <c r="H1592" s="28" t="str">
        <f aca="false">IF(COUNTA(C1592:G1592)=0,"",IF(AND(C1592="Yes",D1592="Yes",E1592="Yes",F1592="Yes",G1592="No"),"Yes","No"))</f>
        <v/>
      </c>
      <c r="I1592" s="32"/>
      <c r="J1592" s="32"/>
    </row>
    <row r="1593" customFormat="false" ht="15" hidden="false" customHeight="false" outlineLevel="0" collapsed="false">
      <c r="A1593" s="32"/>
      <c r="B1593" s="32"/>
      <c r="C1593" s="32"/>
      <c r="D1593" s="32"/>
      <c r="E1593" s="32"/>
      <c r="F1593" s="32"/>
      <c r="G1593" s="32"/>
      <c r="H1593" s="28" t="str">
        <f aca="false">IF(COUNTA(C1593:G1593)=0,"",IF(AND(C1593="Yes",D1593="Yes",E1593="Yes",F1593="Yes",G1593="No"),"Yes","No"))</f>
        <v/>
      </c>
      <c r="I1593" s="32"/>
      <c r="J1593" s="32"/>
    </row>
    <row r="1594" customFormat="false" ht="15" hidden="false" customHeight="false" outlineLevel="0" collapsed="false">
      <c r="A1594" s="32"/>
      <c r="B1594" s="32"/>
      <c r="C1594" s="32"/>
      <c r="D1594" s="32"/>
      <c r="E1594" s="32"/>
      <c r="F1594" s="32"/>
      <c r="G1594" s="32"/>
      <c r="H1594" s="28" t="str">
        <f aca="false">IF(COUNTA(C1594:G1594)=0,"",IF(AND(C1594="Yes",D1594="Yes",E1594="Yes",F1594="Yes",G1594="No"),"Yes","No"))</f>
        <v/>
      </c>
      <c r="I1594" s="32"/>
      <c r="J1594" s="32"/>
    </row>
    <row r="1595" customFormat="false" ht="15" hidden="false" customHeight="false" outlineLevel="0" collapsed="false">
      <c r="A1595" s="32"/>
      <c r="B1595" s="32"/>
      <c r="C1595" s="32"/>
      <c r="D1595" s="32"/>
      <c r="E1595" s="32"/>
      <c r="F1595" s="32"/>
      <c r="G1595" s="32"/>
      <c r="H1595" s="28" t="str">
        <f aca="false">IF(COUNTA(C1595:G1595)=0,"",IF(AND(C1595="Yes",D1595="Yes",E1595="Yes",F1595="Yes",G1595="No"),"Yes","No"))</f>
        <v/>
      </c>
      <c r="I1595" s="32"/>
      <c r="J1595" s="32"/>
    </row>
    <row r="1596" customFormat="false" ht="15" hidden="false" customHeight="false" outlineLevel="0" collapsed="false">
      <c r="A1596" s="32"/>
      <c r="B1596" s="32"/>
      <c r="C1596" s="32"/>
      <c r="D1596" s="32"/>
      <c r="E1596" s="32"/>
      <c r="F1596" s="32"/>
      <c r="G1596" s="32"/>
      <c r="H1596" s="28" t="str">
        <f aca="false">IF(COUNTA(C1596:G1596)=0,"",IF(AND(C1596="Yes",D1596="Yes",E1596="Yes",F1596="Yes",G1596="No"),"Yes","No"))</f>
        <v/>
      </c>
      <c r="I1596" s="32"/>
      <c r="J1596" s="32"/>
    </row>
    <row r="1597" customFormat="false" ht="15" hidden="false" customHeight="false" outlineLevel="0" collapsed="false">
      <c r="A1597" s="32"/>
      <c r="B1597" s="32"/>
      <c r="C1597" s="32"/>
      <c r="D1597" s="32"/>
      <c r="E1597" s="32"/>
      <c r="F1597" s="32"/>
      <c r="G1597" s="32"/>
      <c r="H1597" s="28" t="str">
        <f aca="false">IF(COUNTA(C1597:G1597)=0,"",IF(AND(C1597="Yes",D1597="Yes",E1597="Yes",F1597="Yes",G1597="No"),"Yes","No"))</f>
        <v/>
      </c>
      <c r="I1597" s="32"/>
      <c r="J1597" s="32"/>
    </row>
    <row r="1598" customFormat="false" ht="15" hidden="false" customHeight="false" outlineLevel="0" collapsed="false">
      <c r="A1598" s="32"/>
      <c r="B1598" s="32"/>
      <c r="C1598" s="32"/>
      <c r="D1598" s="32"/>
      <c r="E1598" s="32"/>
      <c r="F1598" s="32"/>
      <c r="G1598" s="32"/>
      <c r="H1598" s="28" t="str">
        <f aca="false">IF(COUNTA(C1598:G1598)=0,"",IF(AND(C1598="Yes",D1598="Yes",E1598="Yes",F1598="Yes",G1598="No"),"Yes","No"))</f>
        <v/>
      </c>
      <c r="I1598" s="32"/>
      <c r="J1598" s="32"/>
    </row>
    <row r="1599" customFormat="false" ht="15" hidden="false" customHeight="false" outlineLevel="0" collapsed="false">
      <c r="A1599" s="32"/>
      <c r="B1599" s="32"/>
      <c r="C1599" s="32"/>
      <c r="D1599" s="32"/>
      <c r="E1599" s="32"/>
      <c r="F1599" s="32"/>
      <c r="G1599" s="32"/>
      <c r="H1599" s="28" t="str">
        <f aca="false">IF(COUNTA(C1599:G1599)=0,"",IF(AND(C1599="Yes",D1599="Yes",E1599="Yes",F1599="Yes",G1599="No"),"Yes","No"))</f>
        <v/>
      </c>
      <c r="I1599" s="32"/>
      <c r="J1599" s="32"/>
    </row>
    <row r="1600" customFormat="false" ht="15" hidden="false" customHeight="false" outlineLevel="0" collapsed="false">
      <c r="A1600" s="32"/>
      <c r="B1600" s="32"/>
      <c r="C1600" s="32"/>
      <c r="D1600" s="32"/>
      <c r="E1600" s="32"/>
      <c r="F1600" s="32"/>
      <c r="G1600" s="32"/>
      <c r="H1600" s="28" t="str">
        <f aca="false">IF(COUNTA(C1600:G1600)=0,"",IF(AND(C1600="Yes",D1600="Yes",E1600="Yes",F1600="Yes",G1600="No"),"Yes","No"))</f>
        <v/>
      </c>
      <c r="I1600" s="32"/>
      <c r="J1600" s="32"/>
    </row>
    <row r="1601" customFormat="false" ht="15" hidden="false" customHeight="false" outlineLevel="0" collapsed="false">
      <c r="A1601" s="32"/>
      <c r="B1601" s="32"/>
      <c r="C1601" s="32"/>
      <c r="D1601" s="32"/>
      <c r="E1601" s="32"/>
      <c r="F1601" s="32"/>
      <c r="G1601" s="32"/>
      <c r="H1601" s="28" t="str">
        <f aca="false">IF(COUNTA(C1601:G1601)=0,"",IF(AND(C1601="Yes",D1601="Yes",E1601="Yes",F1601="Yes",G1601="No"),"Yes","No"))</f>
        <v/>
      </c>
      <c r="I1601" s="32"/>
      <c r="J1601" s="32"/>
    </row>
    <row r="1602" customFormat="false" ht="15" hidden="false" customHeight="false" outlineLevel="0" collapsed="false">
      <c r="A1602" s="32"/>
      <c r="B1602" s="32"/>
      <c r="C1602" s="32"/>
      <c r="D1602" s="32"/>
      <c r="E1602" s="32"/>
      <c r="F1602" s="32"/>
      <c r="G1602" s="32"/>
      <c r="H1602" s="28" t="str">
        <f aca="false">IF(COUNTA(C1602:G1602)=0,"",IF(AND(C1602="Yes",D1602="Yes",E1602="Yes",F1602="Yes",G1602="No"),"Yes","No"))</f>
        <v/>
      </c>
      <c r="I1602" s="32"/>
      <c r="J1602" s="32"/>
    </row>
    <row r="1603" customFormat="false" ht="15" hidden="false" customHeight="false" outlineLevel="0" collapsed="false">
      <c r="A1603" s="32"/>
      <c r="B1603" s="32"/>
      <c r="C1603" s="32"/>
      <c r="D1603" s="32"/>
      <c r="E1603" s="32"/>
      <c r="F1603" s="32"/>
      <c r="G1603" s="32"/>
      <c r="H1603" s="28" t="str">
        <f aca="false">IF(COUNTA(C1603:G1603)=0,"",IF(AND(C1603="Yes",D1603="Yes",E1603="Yes",F1603="Yes",G1603="No"),"Yes","No"))</f>
        <v/>
      </c>
      <c r="I1603" s="32"/>
      <c r="J1603" s="32"/>
    </row>
    <row r="1604" customFormat="false" ht="15" hidden="false" customHeight="false" outlineLevel="0" collapsed="false">
      <c r="A1604" s="32"/>
      <c r="B1604" s="32"/>
      <c r="C1604" s="32"/>
      <c r="D1604" s="32"/>
      <c r="E1604" s="32"/>
      <c r="F1604" s="32"/>
      <c r="G1604" s="32"/>
      <c r="H1604" s="28" t="str">
        <f aca="false">IF(COUNTA(C1604:G1604)=0,"",IF(AND(C1604="Yes",D1604="Yes",E1604="Yes",F1604="Yes",G1604="No"),"Yes","No"))</f>
        <v/>
      </c>
      <c r="I1604" s="32"/>
      <c r="J1604" s="32"/>
    </row>
    <row r="1605" customFormat="false" ht="15" hidden="false" customHeight="false" outlineLevel="0" collapsed="false">
      <c r="A1605" s="32"/>
      <c r="B1605" s="32"/>
      <c r="C1605" s="32"/>
      <c r="D1605" s="32"/>
      <c r="E1605" s="32"/>
      <c r="F1605" s="32"/>
      <c r="G1605" s="32"/>
      <c r="H1605" s="28" t="str">
        <f aca="false">IF(COUNTA(C1605:G1605)=0,"",IF(AND(C1605="Yes",D1605="Yes",E1605="Yes",F1605="Yes",G1605="No"),"Yes","No"))</f>
        <v/>
      </c>
      <c r="I1605" s="32"/>
      <c r="J1605" s="32"/>
    </row>
    <row r="1606" customFormat="false" ht="15" hidden="false" customHeight="false" outlineLevel="0" collapsed="false">
      <c r="A1606" s="32"/>
      <c r="B1606" s="32"/>
      <c r="C1606" s="32"/>
      <c r="D1606" s="32"/>
      <c r="E1606" s="32"/>
      <c r="F1606" s="32"/>
      <c r="G1606" s="32"/>
      <c r="H1606" s="28" t="str">
        <f aca="false">IF(COUNTA(C1606:G1606)=0,"",IF(AND(C1606="Yes",D1606="Yes",E1606="Yes",F1606="Yes",G1606="No"),"Yes","No"))</f>
        <v/>
      </c>
      <c r="I1606" s="32"/>
      <c r="J1606" s="32"/>
    </row>
    <row r="1607" customFormat="false" ht="15" hidden="false" customHeight="false" outlineLevel="0" collapsed="false">
      <c r="A1607" s="32"/>
      <c r="B1607" s="32"/>
      <c r="C1607" s="32"/>
      <c r="D1607" s="32"/>
      <c r="E1607" s="32"/>
      <c r="F1607" s="32"/>
      <c r="G1607" s="32"/>
      <c r="H1607" s="28" t="str">
        <f aca="false">IF(COUNTA(C1607:G1607)=0,"",IF(AND(C1607="Yes",D1607="Yes",E1607="Yes",F1607="Yes",G1607="No"),"Yes","No"))</f>
        <v/>
      </c>
      <c r="I1607" s="32"/>
      <c r="J1607" s="32"/>
    </row>
    <row r="1608" customFormat="false" ht="15" hidden="false" customHeight="false" outlineLevel="0" collapsed="false">
      <c r="A1608" s="32"/>
      <c r="B1608" s="32"/>
      <c r="C1608" s="32"/>
      <c r="D1608" s="32"/>
      <c r="E1608" s="32"/>
      <c r="F1608" s="32"/>
      <c r="G1608" s="32"/>
      <c r="H1608" s="28" t="str">
        <f aca="false">IF(COUNTA(C1608:G1608)=0,"",IF(AND(C1608="Yes",D1608="Yes",E1608="Yes",F1608="Yes",G1608="No"),"Yes","No"))</f>
        <v/>
      </c>
      <c r="I1608" s="32"/>
      <c r="J1608" s="32"/>
    </row>
    <row r="1609" customFormat="false" ht="15" hidden="false" customHeight="false" outlineLevel="0" collapsed="false">
      <c r="A1609" s="32"/>
      <c r="B1609" s="32"/>
      <c r="C1609" s="32"/>
      <c r="D1609" s="32"/>
      <c r="E1609" s="32"/>
      <c r="F1609" s="32"/>
      <c r="G1609" s="32"/>
      <c r="H1609" s="28" t="str">
        <f aca="false">IF(COUNTA(C1609:G1609)=0,"",IF(AND(C1609="Yes",D1609="Yes",E1609="Yes",F1609="Yes",G1609="No"),"Yes","No"))</f>
        <v/>
      </c>
      <c r="I1609" s="32"/>
      <c r="J1609" s="32"/>
    </row>
    <row r="1610" customFormat="false" ht="15" hidden="false" customHeight="false" outlineLevel="0" collapsed="false">
      <c r="A1610" s="32"/>
      <c r="B1610" s="32"/>
      <c r="C1610" s="32"/>
      <c r="D1610" s="32"/>
      <c r="E1610" s="32"/>
      <c r="F1610" s="32"/>
      <c r="G1610" s="32"/>
      <c r="H1610" s="28" t="str">
        <f aca="false">IF(COUNTA(C1610:G1610)=0,"",IF(AND(C1610="Yes",D1610="Yes",E1610="Yes",F1610="Yes",G1610="No"),"Yes","No"))</f>
        <v/>
      </c>
      <c r="I1610" s="32"/>
      <c r="J1610" s="32"/>
    </row>
    <row r="1611" customFormat="false" ht="15" hidden="false" customHeight="false" outlineLevel="0" collapsed="false">
      <c r="A1611" s="32"/>
      <c r="B1611" s="32"/>
      <c r="C1611" s="32"/>
      <c r="D1611" s="32"/>
      <c r="E1611" s="32"/>
      <c r="F1611" s="32"/>
      <c r="G1611" s="32"/>
      <c r="H1611" s="28" t="str">
        <f aca="false">IF(COUNTA(C1611:G1611)=0,"",IF(AND(C1611="Yes",D1611="Yes",E1611="Yes",F1611="Yes",G1611="No"),"Yes","No"))</f>
        <v/>
      </c>
      <c r="I1611" s="32"/>
      <c r="J1611" s="32"/>
    </row>
    <row r="1612" customFormat="false" ht="15" hidden="false" customHeight="false" outlineLevel="0" collapsed="false">
      <c r="A1612" s="32"/>
      <c r="B1612" s="32"/>
      <c r="C1612" s="32"/>
      <c r="D1612" s="32"/>
      <c r="E1612" s="32"/>
      <c r="F1612" s="32"/>
      <c r="G1612" s="32"/>
      <c r="H1612" s="28" t="str">
        <f aca="false">IF(COUNTA(C1612:G1612)=0,"",IF(AND(C1612="Yes",D1612="Yes",E1612="Yes",F1612="Yes",G1612="No"),"Yes","No"))</f>
        <v/>
      </c>
      <c r="I1612" s="32"/>
      <c r="J1612" s="32"/>
    </row>
    <row r="1613" customFormat="false" ht="15" hidden="false" customHeight="false" outlineLevel="0" collapsed="false">
      <c r="A1613" s="32"/>
      <c r="B1613" s="32"/>
      <c r="C1613" s="32"/>
      <c r="D1613" s="32"/>
      <c r="E1613" s="32"/>
      <c r="F1613" s="32"/>
      <c r="G1613" s="32"/>
      <c r="H1613" s="28" t="str">
        <f aca="false">IF(COUNTA(C1613:G1613)=0,"",IF(AND(C1613="Yes",D1613="Yes",E1613="Yes",F1613="Yes",G1613="No"),"Yes","No"))</f>
        <v/>
      </c>
      <c r="I1613" s="32"/>
      <c r="J1613" s="32"/>
    </row>
    <row r="1614" customFormat="false" ht="15" hidden="false" customHeight="false" outlineLevel="0" collapsed="false">
      <c r="A1614" s="32"/>
      <c r="B1614" s="32"/>
      <c r="C1614" s="32"/>
      <c r="D1614" s="32"/>
      <c r="E1614" s="32"/>
      <c r="F1614" s="32"/>
      <c r="G1614" s="32"/>
      <c r="H1614" s="28" t="str">
        <f aca="false">IF(COUNTA(C1614:G1614)=0,"",IF(AND(C1614="Yes",D1614="Yes",E1614="Yes",F1614="Yes",G1614="No"),"Yes","No"))</f>
        <v/>
      </c>
      <c r="I1614" s="32"/>
      <c r="J1614" s="32"/>
    </row>
    <row r="1615" customFormat="false" ht="15" hidden="false" customHeight="false" outlineLevel="0" collapsed="false">
      <c r="A1615" s="32"/>
      <c r="B1615" s="32"/>
      <c r="C1615" s="32"/>
      <c r="D1615" s="32"/>
      <c r="E1615" s="32"/>
      <c r="F1615" s="32"/>
      <c r="G1615" s="32"/>
      <c r="H1615" s="28" t="str">
        <f aca="false">IF(COUNTA(C1615:G1615)=0,"",IF(AND(C1615="Yes",D1615="Yes",E1615="Yes",F1615="Yes",G1615="No"),"Yes","No"))</f>
        <v/>
      </c>
      <c r="I1615" s="32"/>
      <c r="J1615" s="32"/>
    </row>
    <row r="1616" customFormat="false" ht="15" hidden="false" customHeight="false" outlineLevel="0" collapsed="false">
      <c r="A1616" s="32"/>
      <c r="B1616" s="32"/>
      <c r="C1616" s="32"/>
      <c r="D1616" s="32"/>
      <c r="E1616" s="32"/>
      <c r="F1616" s="32"/>
      <c r="G1616" s="32"/>
      <c r="H1616" s="28" t="str">
        <f aca="false">IF(COUNTA(C1616:G1616)=0,"",IF(AND(C1616="Yes",D1616="Yes",E1616="Yes",F1616="Yes",G1616="No"),"Yes","No"))</f>
        <v/>
      </c>
      <c r="I1616" s="32"/>
      <c r="J1616" s="32"/>
    </row>
    <row r="1617" customFormat="false" ht="15" hidden="false" customHeight="false" outlineLevel="0" collapsed="false">
      <c r="A1617" s="32"/>
      <c r="B1617" s="32"/>
      <c r="C1617" s="32"/>
      <c r="D1617" s="32"/>
      <c r="E1617" s="32"/>
      <c r="F1617" s="32"/>
      <c r="G1617" s="32"/>
      <c r="H1617" s="28" t="str">
        <f aca="false">IF(COUNTA(C1617:G1617)=0,"",IF(AND(C1617="Yes",D1617="Yes",E1617="Yes",F1617="Yes",G1617="No"),"Yes","No"))</f>
        <v/>
      </c>
      <c r="I1617" s="32"/>
      <c r="J1617" s="32"/>
    </row>
    <row r="1618" customFormat="false" ht="15" hidden="false" customHeight="false" outlineLevel="0" collapsed="false">
      <c r="A1618" s="32"/>
      <c r="B1618" s="32"/>
      <c r="C1618" s="32"/>
      <c r="D1618" s="32"/>
      <c r="E1618" s="32"/>
      <c r="F1618" s="32"/>
      <c r="G1618" s="32"/>
      <c r="H1618" s="28" t="str">
        <f aca="false">IF(COUNTA(C1618:G1618)=0,"",IF(AND(C1618="Yes",D1618="Yes",E1618="Yes",F1618="Yes",G1618="No"),"Yes","No"))</f>
        <v/>
      </c>
      <c r="I1618" s="32"/>
      <c r="J1618" s="32"/>
    </row>
    <row r="1619" customFormat="false" ht="15" hidden="false" customHeight="false" outlineLevel="0" collapsed="false">
      <c r="A1619" s="32"/>
      <c r="B1619" s="32"/>
      <c r="C1619" s="32"/>
      <c r="D1619" s="32"/>
      <c r="E1619" s="32"/>
      <c r="F1619" s="32"/>
      <c r="G1619" s="32"/>
      <c r="H1619" s="28" t="str">
        <f aca="false">IF(COUNTA(C1619:G1619)=0,"",IF(AND(C1619="Yes",D1619="Yes",E1619="Yes",F1619="Yes",G1619="No"),"Yes","No"))</f>
        <v/>
      </c>
      <c r="I1619" s="32"/>
      <c r="J1619" s="32"/>
    </row>
    <row r="1620" customFormat="false" ht="15" hidden="false" customHeight="false" outlineLevel="0" collapsed="false">
      <c r="A1620" s="32"/>
      <c r="B1620" s="32"/>
      <c r="C1620" s="32"/>
      <c r="D1620" s="32"/>
      <c r="E1620" s="32"/>
      <c r="F1620" s="32"/>
      <c r="G1620" s="32"/>
      <c r="H1620" s="28" t="str">
        <f aca="false">IF(COUNTA(C1620:G1620)=0,"",IF(AND(C1620="Yes",D1620="Yes",E1620="Yes",F1620="Yes",G1620="No"),"Yes","No"))</f>
        <v/>
      </c>
      <c r="I1620" s="32"/>
      <c r="J1620" s="32"/>
    </row>
    <row r="1621" customFormat="false" ht="15" hidden="false" customHeight="false" outlineLevel="0" collapsed="false">
      <c r="A1621" s="32"/>
      <c r="B1621" s="32"/>
      <c r="C1621" s="32"/>
      <c r="D1621" s="32"/>
      <c r="E1621" s="32"/>
      <c r="F1621" s="32"/>
      <c r="G1621" s="32"/>
      <c r="H1621" s="28" t="str">
        <f aca="false">IF(COUNTA(C1621:G1621)=0,"",IF(AND(C1621="Yes",D1621="Yes",E1621="Yes",F1621="Yes",G1621="No"),"Yes","No"))</f>
        <v/>
      </c>
      <c r="I1621" s="32"/>
      <c r="J1621" s="32"/>
    </row>
    <row r="1622" customFormat="false" ht="15" hidden="false" customHeight="false" outlineLevel="0" collapsed="false">
      <c r="A1622" s="32"/>
      <c r="B1622" s="32"/>
      <c r="C1622" s="32"/>
      <c r="D1622" s="32"/>
      <c r="E1622" s="32"/>
      <c r="F1622" s="32"/>
      <c r="G1622" s="32"/>
      <c r="H1622" s="28" t="str">
        <f aca="false">IF(COUNTA(C1622:G1622)=0,"",IF(AND(C1622="Yes",D1622="Yes",E1622="Yes",F1622="Yes",G1622="No"),"Yes","No"))</f>
        <v/>
      </c>
      <c r="I1622" s="32"/>
      <c r="J1622" s="32"/>
    </row>
    <row r="1623" customFormat="false" ht="15" hidden="false" customHeight="false" outlineLevel="0" collapsed="false">
      <c r="A1623" s="32"/>
      <c r="B1623" s="32"/>
      <c r="C1623" s="32"/>
      <c r="D1623" s="32"/>
      <c r="E1623" s="32"/>
      <c r="F1623" s="32"/>
      <c r="G1623" s="32"/>
      <c r="H1623" s="28" t="str">
        <f aca="false">IF(COUNTA(C1623:G1623)=0,"",IF(AND(C1623="Yes",D1623="Yes",E1623="Yes",F1623="Yes",G1623="No"),"Yes","No"))</f>
        <v/>
      </c>
      <c r="I1623" s="32"/>
      <c r="J1623" s="32"/>
    </row>
    <row r="1624" customFormat="false" ht="15" hidden="false" customHeight="false" outlineLevel="0" collapsed="false">
      <c r="A1624" s="32"/>
      <c r="B1624" s="32"/>
      <c r="C1624" s="32"/>
      <c r="D1624" s="32"/>
      <c r="E1624" s="32"/>
      <c r="F1624" s="32"/>
      <c r="G1624" s="32"/>
      <c r="H1624" s="28" t="str">
        <f aca="false">IF(COUNTA(C1624:G1624)=0,"",IF(AND(C1624="Yes",D1624="Yes",E1624="Yes",F1624="Yes",G1624="No"),"Yes","No"))</f>
        <v/>
      </c>
      <c r="I1624" s="32"/>
      <c r="J1624" s="32"/>
    </row>
    <row r="1625" customFormat="false" ht="15" hidden="false" customHeight="false" outlineLevel="0" collapsed="false">
      <c r="A1625" s="32"/>
      <c r="B1625" s="32"/>
      <c r="C1625" s="32"/>
      <c r="D1625" s="32"/>
      <c r="E1625" s="32"/>
      <c r="F1625" s="32"/>
      <c r="G1625" s="32"/>
      <c r="H1625" s="28" t="str">
        <f aca="false">IF(COUNTA(C1625:G1625)=0,"",IF(AND(C1625="Yes",D1625="Yes",E1625="Yes",F1625="Yes",G1625="No"),"Yes","No"))</f>
        <v/>
      </c>
      <c r="I1625" s="32"/>
      <c r="J1625" s="32"/>
    </row>
    <row r="1626" customFormat="false" ht="15" hidden="false" customHeight="false" outlineLevel="0" collapsed="false">
      <c r="A1626" s="32"/>
      <c r="B1626" s="32"/>
      <c r="C1626" s="32"/>
      <c r="D1626" s="32"/>
      <c r="E1626" s="32"/>
      <c r="F1626" s="32"/>
      <c r="G1626" s="32"/>
      <c r="H1626" s="28" t="str">
        <f aca="false">IF(COUNTA(C1626:G1626)=0,"",IF(AND(C1626="Yes",D1626="Yes",E1626="Yes",F1626="Yes",G1626="No"),"Yes","No"))</f>
        <v/>
      </c>
      <c r="I1626" s="32"/>
      <c r="J1626" s="32"/>
    </row>
    <row r="1627" customFormat="false" ht="15" hidden="false" customHeight="false" outlineLevel="0" collapsed="false">
      <c r="A1627" s="32"/>
      <c r="B1627" s="32"/>
      <c r="C1627" s="32"/>
      <c r="D1627" s="32"/>
      <c r="E1627" s="32"/>
      <c r="F1627" s="32"/>
      <c r="G1627" s="32"/>
      <c r="H1627" s="28" t="str">
        <f aca="false">IF(COUNTA(C1627:G1627)=0,"",IF(AND(C1627="Yes",D1627="Yes",E1627="Yes",F1627="Yes",G1627="No"),"Yes","No"))</f>
        <v/>
      </c>
      <c r="I1627" s="32"/>
      <c r="J1627" s="32"/>
    </row>
    <row r="1628" customFormat="false" ht="15" hidden="false" customHeight="false" outlineLevel="0" collapsed="false">
      <c r="A1628" s="32"/>
      <c r="B1628" s="32"/>
      <c r="C1628" s="32"/>
      <c r="D1628" s="32"/>
      <c r="E1628" s="32"/>
      <c r="F1628" s="32"/>
      <c r="G1628" s="32"/>
      <c r="H1628" s="28" t="str">
        <f aca="false">IF(COUNTA(C1628:G1628)=0,"",IF(AND(C1628="Yes",D1628="Yes",E1628="Yes",F1628="Yes",G1628="No"),"Yes","No"))</f>
        <v/>
      </c>
      <c r="I1628" s="32"/>
      <c r="J1628" s="32"/>
    </row>
    <row r="1629" customFormat="false" ht="15" hidden="false" customHeight="false" outlineLevel="0" collapsed="false">
      <c r="A1629" s="32"/>
      <c r="B1629" s="32"/>
      <c r="C1629" s="32"/>
      <c r="D1629" s="32"/>
      <c r="E1629" s="32"/>
      <c r="F1629" s="32"/>
      <c r="G1629" s="32"/>
      <c r="H1629" s="28" t="str">
        <f aca="false">IF(COUNTA(C1629:G1629)=0,"",IF(AND(C1629="Yes",D1629="Yes",E1629="Yes",F1629="Yes",G1629="No"),"Yes","No"))</f>
        <v/>
      </c>
      <c r="I1629" s="32"/>
      <c r="J1629" s="32"/>
    </row>
    <row r="1630" customFormat="false" ht="15" hidden="false" customHeight="false" outlineLevel="0" collapsed="false">
      <c r="A1630" s="32"/>
      <c r="B1630" s="32"/>
      <c r="C1630" s="32"/>
      <c r="D1630" s="32"/>
      <c r="E1630" s="32"/>
      <c r="F1630" s="32"/>
      <c r="G1630" s="32"/>
      <c r="H1630" s="28" t="str">
        <f aca="false">IF(COUNTA(C1630:G1630)=0,"",IF(AND(C1630="Yes",D1630="Yes",E1630="Yes",F1630="Yes",G1630="No"),"Yes","No"))</f>
        <v/>
      </c>
      <c r="I1630" s="32"/>
      <c r="J1630" s="32"/>
    </row>
    <row r="1631" customFormat="false" ht="15" hidden="false" customHeight="false" outlineLevel="0" collapsed="false">
      <c r="A1631" s="32"/>
      <c r="B1631" s="32"/>
      <c r="C1631" s="32"/>
      <c r="D1631" s="32"/>
      <c r="E1631" s="32"/>
      <c r="F1631" s="32"/>
      <c r="G1631" s="32"/>
      <c r="H1631" s="28" t="str">
        <f aca="false">IF(COUNTA(C1631:G1631)=0,"",IF(AND(C1631="Yes",D1631="Yes",E1631="Yes",F1631="Yes",G1631="No"),"Yes","No"))</f>
        <v/>
      </c>
      <c r="I1631" s="32"/>
      <c r="J1631" s="32"/>
    </row>
    <row r="1632" customFormat="false" ht="15" hidden="false" customHeight="false" outlineLevel="0" collapsed="false">
      <c r="A1632" s="32"/>
      <c r="B1632" s="32"/>
      <c r="C1632" s="32"/>
      <c r="D1632" s="32"/>
      <c r="E1632" s="32"/>
      <c r="F1632" s="32"/>
      <c r="G1632" s="32"/>
      <c r="H1632" s="28" t="str">
        <f aca="false">IF(COUNTA(C1632:G1632)=0,"",IF(AND(C1632="Yes",D1632="Yes",E1632="Yes",F1632="Yes",G1632="No"),"Yes","No"))</f>
        <v/>
      </c>
      <c r="I1632" s="32"/>
      <c r="J1632" s="32"/>
    </row>
    <row r="1633" customFormat="false" ht="15" hidden="false" customHeight="false" outlineLevel="0" collapsed="false">
      <c r="A1633" s="32"/>
      <c r="B1633" s="32"/>
      <c r="C1633" s="32"/>
      <c r="D1633" s="32"/>
      <c r="E1633" s="32"/>
      <c r="F1633" s="32"/>
      <c r="G1633" s="32"/>
      <c r="H1633" s="28" t="str">
        <f aca="false">IF(COUNTA(C1633:G1633)=0,"",IF(AND(C1633="Yes",D1633="Yes",E1633="Yes",F1633="Yes",G1633="No"),"Yes","No"))</f>
        <v/>
      </c>
      <c r="I1633" s="32"/>
      <c r="J1633" s="32"/>
    </row>
    <row r="1634" customFormat="false" ht="15" hidden="false" customHeight="false" outlineLevel="0" collapsed="false">
      <c r="A1634" s="32"/>
      <c r="B1634" s="32"/>
      <c r="C1634" s="32"/>
      <c r="D1634" s="32"/>
      <c r="E1634" s="32"/>
      <c r="F1634" s="32"/>
      <c r="G1634" s="32"/>
      <c r="H1634" s="28" t="str">
        <f aca="false">IF(COUNTA(C1634:G1634)=0,"",IF(AND(C1634="Yes",D1634="Yes",E1634="Yes",F1634="Yes",G1634="No"),"Yes","No"))</f>
        <v/>
      </c>
      <c r="I1634" s="32"/>
      <c r="J1634" s="32"/>
    </row>
    <row r="1635" customFormat="false" ht="15" hidden="false" customHeight="false" outlineLevel="0" collapsed="false">
      <c r="A1635" s="32"/>
      <c r="B1635" s="32"/>
      <c r="C1635" s="32"/>
      <c r="D1635" s="32"/>
      <c r="E1635" s="32"/>
      <c r="F1635" s="32"/>
      <c r="G1635" s="32"/>
      <c r="H1635" s="28" t="str">
        <f aca="false">IF(COUNTA(C1635:G1635)=0,"",IF(AND(C1635="Yes",D1635="Yes",E1635="Yes",F1635="Yes",G1635="No"),"Yes","No"))</f>
        <v/>
      </c>
      <c r="I1635" s="32"/>
      <c r="J1635" s="32"/>
    </row>
    <row r="1636" customFormat="false" ht="15" hidden="false" customHeight="false" outlineLevel="0" collapsed="false">
      <c r="A1636" s="32"/>
      <c r="B1636" s="32"/>
      <c r="C1636" s="32"/>
      <c r="D1636" s="32"/>
      <c r="E1636" s="32"/>
      <c r="F1636" s="32"/>
      <c r="G1636" s="32"/>
      <c r="H1636" s="28" t="str">
        <f aca="false">IF(COUNTA(C1636:G1636)=0,"",IF(AND(C1636="Yes",D1636="Yes",E1636="Yes",F1636="Yes",G1636="No"),"Yes","No"))</f>
        <v/>
      </c>
      <c r="I1636" s="32"/>
      <c r="J1636" s="32"/>
    </row>
    <row r="1637" customFormat="false" ht="15" hidden="false" customHeight="false" outlineLevel="0" collapsed="false">
      <c r="A1637" s="32"/>
      <c r="B1637" s="32"/>
      <c r="C1637" s="32"/>
      <c r="D1637" s="32"/>
      <c r="E1637" s="32"/>
      <c r="F1637" s="32"/>
      <c r="G1637" s="32"/>
      <c r="H1637" s="28" t="str">
        <f aca="false">IF(COUNTA(C1637:G1637)=0,"",IF(AND(C1637="Yes",D1637="Yes",E1637="Yes",F1637="Yes",G1637="No"),"Yes","No"))</f>
        <v/>
      </c>
      <c r="I1637" s="32"/>
      <c r="J1637" s="32"/>
    </row>
    <row r="1638" customFormat="false" ht="15" hidden="false" customHeight="false" outlineLevel="0" collapsed="false">
      <c r="A1638" s="32"/>
      <c r="B1638" s="32"/>
      <c r="C1638" s="32"/>
      <c r="D1638" s="32"/>
      <c r="E1638" s="32"/>
      <c r="F1638" s="32"/>
      <c r="G1638" s="32"/>
      <c r="H1638" s="28" t="str">
        <f aca="false">IF(COUNTA(C1638:G1638)=0,"",IF(AND(C1638="Yes",D1638="Yes",E1638="Yes",F1638="Yes",G1638="No"),"Yes","No"))</f>
        <v/>
      </c>
      <c r="I1638" s="32"/>
      <c r="J1638" s="32"/>
    </row>
    <row r="1639" customFormat="false" ht="15" hidden="false" customHeight="false" outlineLevel="0" collapsed="false">
      <c r="A1639" s="32"/>
      <c r="B1639" s="32"/>
      <c r="C1639" s="32"/>
      <c r="D1639" s="32"/>
      <c r="E1639" s="32"/>
      <c r="F1639" s="32"/>
      <c r="G1639" s="32"/>
      <c r="H1639" s="28" t="str">
        <f aca="false">IF(COUNTA(C1639:G1639)=0,"",IF(AND(C1639="Yes",D1639="Yes",E1639="Yes",F1639="Yes",G1639="No"),"Yes","No"))</f>
        <v/>
      </c>
      <c r="I1639" s="32"/>
      <c r="J1639" s="32"/>
    </row>
    <row r="1640" customFormat="false" ht="15" hidden="false" customHeight="false" outlineLevel="0" collapsed="false">
      <c r="A1640" s="32"/>
      <c r="B1640" s="32"/>
      <c r="C1640" s="32"/>
      <c r="D1640" s="32"/>
      <c r="E1640" s="32"/>
      <c r="F1640" s="32"/>
      <c r="G1640" s="32"/>
      <c r="H1640" s="28" t="str">
        <f aca="false">IF(COUNTA(C1640:G1640)=0,"",IF(AND(C1640="Yes",D1640="Yes",E1640="Yes",F1640="Yes",G1640="No"),"Yes","No"))</f>
        <v/>
      </c>
      <c r="I1640" s="32"/>
      <c r="J1640" s="32"/>
    </row>
    <row r="1641" customFormat="false" ht="15" hidden="false" customHeight="false" outlineLevel="0" collapsed="false">
      <c r="A1641" s="32"/>
      <c r="B1641" s="32"/>
      <c r="C1641" s="32"/>
      <c r="D1641" s="32"/>
      <c r="E1641" s="32"/>
      <c r="F1641" s="32"/>
      <c r="G1641" s="32"/>
      <c r="H1641" s="28" t="str">
        <f aca="false">IF(COUNTA(C1641:G1641)=0,"",IF(AND(C1641="Yes",D1641="Yes",E1641="Yes",F1641="Yes",G1641="No"),"Yes","No"))</f>
        <v/>
      </c>
      <c r="I1641" s="32"/>
      <c r="J1641" s="32"/>
    </row>
    <row r="1642" customFormat="false" ht="15" hidden="false" customHeight="false" outlineLevel="0" collapsed="false">
      <c r="A1642" s="32"/>
      <c r="B1642" s="32"/>
      <c r="C1642" s="32"/>
      <c r="D1642" s="32"/>
      <c r="E1642" s="32"/>
      <c r="F1642" s="32"/>
      <c r="G1642" s="32"/>
      <c r="H1642" s="28" t="str">
        <f aca="false">IF(COUNTA(C1642:G1642)=0,"",IF(AND(C1642="Yes",D1642="Yes",E1642="Yes",F1642="Yes",G1642="No"),"Yes","No"))</f>
        <v/>
      </c>
      <c r="I1642" s="32"/>
      <c r="J1642" s="32"/>
    </row>
    <row r="1643" customFormat="false" ht="15" hidden="false" customHeight="false" outlineLevel="0" collapsed="false">
      <c r="A1643" s="32"/>
      <c r="B1643" s="32"/>
      <c r="C1643" s="32"/>
      <c r="D1643" s="32"/>
      <c r="E1643" s="32"/>
      <c r="F1643" s="32"/>
      <c r="G1643" s="32"/>
      <c r="H1643" s="28" t="str">
        <f aca="false">IF(COUNTA(C1643:G1643)=0,"",IF(AND(C1643="Yes",D1643="Yes",E1643="Yes",F1643="Yes",G1643="No"),"Yes","No"))</f>
        <v/>
      </c>
      <c r="I1643" s="32"/>
      <c r="J1643" s="32"/>
    </row>
    <row r="1644" customFormat="false" ht="15" hidden="false" customHeight="false" outlineLevel="0" collapsed="false">
      <c r="A1644" s="32"/>
      <c r="B1644" s="32"/>
      <c r="C1644" s="32"/>
      <c r="D1644" s="32"/>
      <c r="E1644" s="32"/>
      <c r="F1644" s="32"/>
      <c r="G1644" s="32"/>
      <c r="H1644" s="28" t="str">
        <f aca="false">IF(COUNTA(C1644:G1644)=0,"",IF(AND(C1644="Yes",D1644="Yes",E1644="Yes",F1644="Yes",G1644="No"),"Yes","No"))</f>
        <v/>
      </c>
      <c r="I1644" s="32"/>
      <c r="J1644" s="32"/>
    </row>
    <row r="1645" customFormat="false" ht="15" hidden="false" customHeight="false" outlineLevel="0" collapsed="false">
      <c r="A1645" s="32"/>
      <c r="B1645" s="32"/>
      <c r="C1645" s="32"/>
      <c r="D1645" s="32"/>
      <c r="E1645" s="32"/>
      <c r="F1645" s="32"/>
      <c r="G1645" s="32"/>
      <c r="H1645" s="28" t="str">
        <f aca="false">IF(COUNTA(C1645:G1645)=0,"",IF(AND(C1645="Yes",D1645="Yes",E1645="Yes",F1645="Yes",G1645="No"),"Yes","No"))</f>
        <v/>
      </c>
      <c r="I1645" s="32"/>
      <c r="J1645" s="32"/>
    </row>
    <row r="1646" customFormat="false" ht="15" hidden="false" customHeight="false" outlineLevel="0" collapsed="false">
      <c r="A1646" s="32"/>
      <c r="B1646" s="32"/>
      <c r="C1646" s="32"/>
      <c r="D1646" s="32"/>
      <c r="E1646" s="32"/>
      <c r="F1646" s="32"/>
      <c r="G1646" s="32"/>
      <c r="H1646" s="28" t="str">
        <f aca="false">IF(COUNTA(C1646:G1646)=0,"",IF(AND(C1646="Yes",D1646="Yes",E1646="Yes",F1646="Yes",G1646="No"),"Yes","No"))</f>
        <v/>
      </c>
      <c r="I1646" s="32"/>
      <c r="J1646" s="32"/>
    </row>
    <row r="1647" customFormat="false" ht="15" hidden="false" customHeight="false" outlineLevel="0" collapsed="false">
      <c r="A1647" s="32"/>
      <c r="B1647" s="32"/>
      <c r="C1647" s="32"/>
      <c r="D1647" s="32"/>
      <c r="E1647" s="32"/>
      <c r="F1647" s="32"/>
      <c r="G1647" s="32"/>
      <c r="H1647" s="28" t="str">
        <f aca="false">IF(COUNTA(C1647:G1647)=0,"",IF(AND(C1647="Yes",D1647="Yes",E1647="Yes",F1647="Yes",G1647="No"),"Yes","No"))</f>
        <v/>
      </c>
      <c r="I1647" s="32"/>
      <c r="J1647" s="32"/>
    </row>
    <row r="1648" customFormat="false" ht="15" hidden="false" customHeight="false" outlineLevel="0" collapsed="false">
      <c r="A1648" s="32"/>
      <c r="B1648" s="32"/>
      <c r="C1648" s="32"/>
      <c r="D1648" s="32"/>
      <c r="E1648" s="32"/>
      <c r="F1648" s="32"/>
      <c r="G1648" s="32"/>
      <c r="H1648" s="28" t="str">
        <f aca="false">IF(COUNTA(C1648:G1648)=0,"",IF(AND(C1648="Yes",D1648="Yes",E1648="Yes",F1648="Yes",G1648="No"),"Yes","No"))</f>
        <v/>
      </c>
      <c r="I1648" s="32"/>
      <c r="J1648" s="32"/>
    </row>
    <row r="1649" customFormat="false" ht="15" hidden="false" customHeight="false" outlineLevel="0" collapsed="false">
      <c r="A1649" s="32"/>
      <c r="B1649" s="32"/>
      <c r="C1649" s="32"/>
      <c r="D1649" s="32"/>
      <c r="E1649" s="32"/>
      <c r="F1649" s="32"/>
      <c r="G1649" s="32"/>
      <c r="H1649" s="28" t="str">
        <f aca="false">IF(COUNTA(C1649:G1649)=0,"",IF(AND(C1649="Yes",D1649="Yes",E1649="Yes",F1649="Yes",G1649="No"),"Yes","No"))</f>
        <v/>
      </c>
      <c r="I1649" s="32"/>
      <c r="J1649" s="32"/>
    </row>
    <row r="1650" customFormat="false" ht="15" hidden="false" customHeight="false" outlineLevel="0" collapsed="false">
      <c r="A1650" s="32"/>
      <c r="B1650" s="32"/>
      <c r="C1650" s="32"/>
      <c r="D1650" s="32"/>
      <c r="E1650" s="32"/>
      <c r="F1650" s="32"/>
      <c r="G1650" s="32"/>
      <c r="H1650" s="28" t="str">
        <f aca="false">IF(COUNTA(C1650:G1650)=0,"",IF(AND(C1650="Yes",D1650="Yes",E1650="Yes",F1650="Yes",G1650="No"),"Yes","No"))</f>
        <v/>
      </c>
      <c r="I1650" s="32"/>
      <c r="J1650" s="32"/>
    </row>
    <row r="1651" customFormat="false" ht="15" hidden="false" customHeight="false" outlineLevel="0" collapsed="false">
      <c r="A1651" s="32"/>
      <c r="B1651" s="32"/>
      <c r="C1651" s="32"/>
      <c r="D1651" s="32"/>
      <c r="E1651" s="32"/>
      <c r="F1651" s="32"/>
      <c r="G1651" s="32"/>
      <c r="H1651" s="28" t="str">
        <f aca="false">IF(COUNTA(C1651:G1651)=0,"",IF(AND(C1651="Yes",D1651="Yes",E1651="Yes",F1651="Yes",G1651="No"),"Yes","No"))</f>
        <v/>
      </c>
      <c r="I1651" s="32"/>
      <c r="J1651" s="32"/>
    </row>
    <row r="1652" customFormat="false" ht="15" hidden="false" customHeight="false" outlineLevel="0" collapsed="false">
      <c r="A1652" s="32"/>
      <c r="B1652" s="32"/>
      <c r="C1652" s="32"/>
      <c r="D1652" s="32"/>
      <c r="E1652" s="32"/>
      <c r="F1652" s="32"/>
      <c r="G1652" s="32"/>
      <c r="H1652" s="28" t="str">
        <f aca="false">IF(COUNTA(C1652:G1652)=0,"",IF(AND(C1652="Yes",D1652="Yes",E1652="Yes",F1652="Yes",G1652="No"),"Yes","No"))</f>
        <v/>
      </c>
      <c r="I1652" s="32"/>
      <c r="J1652" s="32"/>
    </row>
    <row r="1653" customFormat="false" ht="15" hidden="false" customHeight="false" outlineLevel="0" collapsed="false">
      <c r="A1653" s="32"/>
      <c r="B1653" s="32"/>
      <c r="C1653" s="32"/>
      <c r="D1653" s="32"/>
      <c r="E1653" s="32"/>
      <c r="F1653" s="32"/>
      <c r="G1653" s="32"/>
      <c r="H1653" s="28" t="str">
        <f aca="false">IF(COUNTA(C1653:G1653)=0,"",IF(AND(C1653="Yes",D1653="Yes",E1653="Yes",F1653="Yes",G1653="No"),"Yes","No"))</f>
        <v/>
      </c>
      <c r="I1653" s="32"/>
      <c r="J1653" s="32"/>
    </row>
    <row r="1654" customFormat="false" ht="15" hidden="false" customHeight="false" outlineLevel="0" collapsed="false">
      <c r="A1654" s="32"/>
      <c r="B1654" s="32"/>
      <c r="C1654" s="32"/>
      <c r="D1654" s="32"/>
      <c r="E1654" s="32"/>
      <c r="F1654" s="32"/>
      <c r="G1654" s="32"/>
      <c r="H1654" s="28" t="str">
        <f aca="false">IF(COUNTA(C1654:G1654)=0,"",IF(AND(C1654="Yes",D1654="Yes",E1654="Yes",F1654="Yes",G1654="No"),"Yes","No"))</f>
        <v/>
      </c>
      <c r="I1654" s="32"/>
      <c r="J1654" s="32"/>
    </row>
    <row r="1655" customFormat="false" ht="15" hidden="false" customHeight="false" outlineLevel="0" collapsed="false">
      <c r="A1655" s="32"/>
      <c r="B1655" s="32"/>
      <c r="C1655" s="32"/>
      <c r="D1655" s="32"/>
      <c r="E1655" s="32"/>
      <c r="F1655" s="32"/>
      <c r="G1655" s="32"/>
      <c r="H1655" s="28" t="str">
        <f aca="false">IF(COUNTA(C1655:G1655)=0,"",IF(AND(C1655="Yes",D1655="Yes",E1655="Yes",F1655="Yes",G1655="No"),"Yes","No"))</f>
        <v/>
      </c>
      <c r="I1655" s="32"/>
      <c r="J1655" s="32"/>
    </row>
    <row r="1656" customFormat="false" ht="15" hidden="false" customHeight="false" outlineLevel="0" collapsed="false">
      <c r="A1656" s="32"/>
      <c r="B1656" s="32"/>
      <c r="C1656" s="32"/>
      <c r="D1656" s="32"/>
      <c r="E1656" s="32"/>
      <c r="F1656" s="32"/>
      <c r="G1656" s="32"/>
      <c r="H1656" s="28" t="str">
        <f aca="false">IF(COUNTA(C1656:G1656)=0,"",IF(AND(C1656="Yes",D1656="Yes",E1656="Yes",F1656="Yes",G1656="No"),"Yes","No"))</f>
        <v/>
      </c>
      <c r="I1656" s="32"/>
      <c r="J1656" s="32"/>
    </row>
    <row r="1657" customFormat="false" ht="15" hidden="false" customHeight="false" outlineLevel="0" collapsed="false">
      <c r="A1657" s="32"/>
      <c r="B1657" s="32"/>
      <c r="C1657" s="32"/>
      <c r="D1657" s="32"/>
      <c r="E1657" s="32"/>
      <c r="F1657" s="32"/>
      <c r="G1657" s="32"/>
      <c r="H1657" s="28" t="str">
        <f aca="false">IF(COUNTA(C1657:G1657)=0,"",IF(AND(C1657="Yes",D1657="Yes",E1657="Yes",F1657="Yes",G1657="No"),"Yes","No"))</f>
        <v/>
      </c>
      <c r="I1657" s="32"/>
      <c r="J1657" s="32"/>
    </row>
    <row r="1658" customFormat="false" ht="15" hidden="false" customHeight="false" outlineLevel="0" collapsed="false">
      <c r="A1658" s="32"/>
      <c r="B1658" s="32"/>
      <c r="C1658" s="32"/>
      <c r="D1658" s="32"/>
      <c r="E1658" s="32"/>
      <c r="F1658" s="32"/>
      <c r="G1658" s="32"/>
      <c r="H1658" s="28" t="str">
        <f aca="false">IF(COUNTA(C1658:G1658)=0,"",IF(AND(C1658="Yes",D1658="Yes",E1658="Yes",F1658="Yes",G1658="No"),"Yes","No"))</f>
        <v/>
      </c>
      <c r="I1658" s="32"/>
      <c r="J1658" s="32"/>
    </row>
    <row r="1659" customFormat="false" ht="15" hidden="false" customHeight="false" outlineLevel="0" collapsed="false">
      <c r="A1659" s="32"/>
      <c r="B1659" s="32"/>
      <c r="C1659" s="32"/>
      <c r="D1659" s="32"/>
      <c r="E1659" s="32"/>
      <c r="F1659" s="32"/>
      <c r="G1659" s="32"/>
      <c r="H1659" s="28" t="str">
        <f aca="false">IF(COUNTA(C1659:G1659)=0,"",IF(AND(C1659="Yes",D1659="Yes",E1659="Yes",F1659="Yes",G1659="No"),"Yes","No"))</f>
        <v/>
      </c>
      <c r="I1659" s="32"/>
      <c r="J1659" s="32"/>
    </row>
    <row r="1660" customFormat="false" ht="15" hidden="false" customHeight="false" outlineLevel="0" collapsed="false">
      <c r="A1660" s="32"/>
      <c r="B1660" s="32"/>
      <c r="C1660" s="32"/>
      <c r="D1660" s="32"/>
      <c r="E1660" s="32"/>
      <c r="F1660" s="32"/>
      <c r="G1660" s="32"/>
      <c r="H1660" s="28" t="str">
        <f aca="false">IF(COUNTA(C1660:G1660)=0,"",IF(AND(C1660="Yes",D1660="Yes",E1660="Yes",F1660="Yes",G1660="No"),"Yes","No"))</f>
        <v/>
      </c>
      <c r="I1660" s="32"/>
      <c r="J1660" s="32"/>
    </row>
    <row r="1661" customFormat="false" ht="15" hidden="false" customHeight="false" outlineLevel="0" collapsed="false">
      <c r="A1661" s="32"/>
      <c r="B1661" s="32"/>
      <c r="C1661" s="32"/>
      <c r="D1661" s="32"/>
      <c r="E1661" s="32"/>
      <c r="F1661" s="32"/>
      <c r="G1661" s="32"/>
      <c r="H1661" s="28" t="str">
        <f aca="false">IF(COUNTA(C1661:G1661)=0,"",IF(AND(C1661="Yes",D1661="Yes",E1661="Yes",F1661="Yes",G1661="No"),"Yes","No"))</f>
        <v/>
      </c>
      <c r="I1661" s="32"/>
      <c r="J1661" s="32"/>
    </row>
    <row r="1662" customFormat="false" ht="15" hidden="false" customHeight="false" outlineLevel="0" collapsed="false">
      <c r="A1662" s="32"/>
      <c r="B1662" s="32"/>
      <c r="C1662" s="32"/>
      <c r="D1662" s="32"/>
      <c r="E1662" s="32"/>
      <c r="F1662" s="32"/>
      <c r="G1662" s="32"/>
      <c r="H1662" s="28" t="str">
        <f aca="false">IF(COUNTA(C1662:G1662)=0,"",IF(AND(C1662="Yes",D1662="Yes",E1662="Yes",F1662="Yes",G1662="No"),"Yes","No"))</f>
        <v/>
      </c>
      <c r="I1662" s="32"/>
      <c r="J1662" s="32"/>
    </row>
    <row r="1663" customFormat="false" ht="15" hidden="false" customHeight="false" outlineLevel="0" collapsed="false">
      <c r="A1663" s="32"/>
      <c r="B1663" s="32"/>
      <c r="C1663" s="32"/>
      <c r="D1663" s="32"/>
      <c r="E1663" s="32"/>
      <c r="F1663" s="32"/>
      <c r="G1663" s="32"/>
      <c r="H1663" s="28" t="str">
        <f aca="false">IF(COUNTA(C1663:G1663)=0,"",IF(AND(C1663="Yes",D1663="Yes",E1663="Yes",F1663="Yes",G1663="No"),"Yes","No"))</f>
        <v/>
      </c>
      <c r="I1663" s="32"/>
      <c r="J1663" s="32"/>
    </row>
    <row r="1664" customFormat="false" ht="15" hidden="false" customHeight="false" outlineLevel="0" collapsed="false">
      <c r="A1664" s="32"/>
      <c r="B1664" s="32"/>
      <c r="C1664" s="32"/>
      <c r="D1664" s="32"/>
      <c r="E1664" s="32"/>
      <c r="F1664" s="32"/>
      <c r="G1664" s="32"/>
      <c r="H1664" s="28" t="str">
        <f aca="false">IF(COUNTA(C1664:G1664)=0,"",IF(AND(C1664="Yes",D1664="Yes",E1664="Yes",F1664="Yes",G1664="No"),"Yes","No"))</f>
        <v/>
      </c>
      <c r="I1664" s="32"/>
      <c r="J1664" s="32"/>
    </row>
    <row r="1665" customFormat="false" ht="15" hidden="false" customHeight="false" outlineLevel="0" collapsed="false">
      <c r="A1665" s="32"/>
      <c r="B1665" s="32"/>
      <c r="C1665" s="32"/>
      <c r="D1665" s="32"/>
      <c r="E1665" s="32"/>
      <c r="F1665" s="32"/>
      <c r="G1665" s="32"/>
      <c r="H1665" s="28" t="str">
        <f aca="false">IF(COUNTA(C1665:G1665)=0,"",IF(AND(C1665="Yes",D1665="Yes",E1665="Yes",F1665="Yes",G1665="No"),"Yes","No"))</f>
        <v/>
      </c>
      <c r="I1665" s="32"/>
      <c r="J1665" s="32"/>
    </row>
    <row r="1666" customFormat="false" ht="15" hidden="false" customHeight="false" outlineLevel="0" collapsed="false">
      <c r="A1666" s="32"/>
      <c r="B1666" s="32"/>
      <c r="C1666" s="32"/>
      <c r="D1666" s="32"/>
      <c r="E1666" s="32"/>
      <c r="F1666" s="32"/>
      <c r="G1666" s="32"/>
      <c r="H1666" s="28" t="str">
        <f aca="false">IF(COUNTA(C1666:G1666)=0,"",IF(AND(C1666="Yes",D1666="Yes",E1666="Yes",F1666="Yes",G1666="No"),"Yes","No"))</f>
        <v/>
      </c>
      <c r="I1666" s="32"/>
      <c r="J1666" s="32"/>
    </row>
    <row r="1667" customFormat="false" ht="15" hidden="false" customHeight="false" outlineLevel="0" collapsed="false">
      <c r="A1667" s="32"/>
      <c r="B1667" s="32"/>
      <c r="C1667" s="32"/>
      <c r="D1667" s="32"/>
      <c r="E1667" s="32"/>
      <c r="F1667" s="32"/>
      <c r="G1667" s="32"/>
      <c r="H1667" s="28" t="str">
        <f aca="false">IF(COUNTA(C1667:G1667)=0,"",IF(AND(C1667="Yes",D1667="Yes",E1667="Yes",F1667="Yes",G1667="No"),"Yes","No"))</f>
        <v/>
      </c>
      <c r="I1667" s="32"/>
      <c r="J1667" s="32"/>
    </row>
    <row r="1668" customFormat="false" ht="15" hidden="false" customHeight="false" outlineLevel="0" collapsed="false">
      <c r="A1668" s="32"/>
      <c r="B1668" s="32"/>
      <c r="C1668" s="32"/>
      <c r="D1668" s="32"/>
      <c r="E1668" s="32"/>
      <c r="F1668" s="32"/>
      <c r="G1668" s="32"/>
      <c r="H1668" s="28" t="str">
        <f aca="false">IF(COUNTA(C1668:G1668)=0,"",IF(AND(C1668="Yes",D1668="Yes",E1668="Yes",F1668="Yes",G1668="No"),"Yes","No"))</f>
        <v/>
      </c>
      <c r="I1668" s="32"/>
      <c r="J1668" s="32"/>
    </row>
    <row r="1669" customFormat="false" ht="15" hidden="false" customHeight="false" outlineLevel="0" collapsed="false">
      <c r="A1669" s="32"/>
      <c r="B1669" s="32"/>
      <c r="C1669" s="32"/>
      <c r="D1669" s="32"/>
      <c r="E1669" s="32"/>
      <c r="F1669" s="32"/>
      <c r="G1669" s="32"/>
      <c r="H1669" s="28" t="str">
        <f aca="false">IF(COUNTA(C1669:G1669)=0,"",IF(AND(C1669="Yes",D1669="Yes",E1669="Yes",F1669="Yes",G1669="No"),"Yes","No"))</f>
        <v/>
      </c>
      <c r="I1669" s="32"/>
      <c r="J1669" s="32"/>
    </row>
    <row r="1670" customFormat="false" ht="15" hidden="false" customHeight="false" outlineLevel="0" collapsed="false">
      <c r="A1670" s="32"/>
      <c r="B1670" s="32"/>
      <c r="C1670" s="32"/>
      <c r="D1670" s="32"/>
      <c r="E1670" s="32"/>
      <c r="F1670" s="32"/>
      <c r="G1670" s="32"/>
      <c r="H1670" s="28" t="str">
        <f aca="false">IF(COUNTA(C1670:G1670)=0,"",IF(AND(C1670="Yes",D1670="Yes",E1670="Yes",F1670="Yes",G1670="No"),"Yes","No"))</f>
        <v/>
      </c>
      <c r="I1670" s="32"/>
      <c r="J1670" s="32"/>
    </row>
    <row r="1671" customFormat="false" ht="15" hidden="false" customHeight="false" outlineLevel="0" collapsed="false">
      <c r="A1671" s="32"/>
      <c r="B1671" s="32"/>
      <c r="C1671" s="32"/>
      <c r="D1671" s="32"/>
      <c r="E1671" s="32"/>
      <c r="F1671" s="32"/>
      <c r="G1671" s="32"/>
      <c r="H1671" s="28" t="str">
        <f aca="false">IF(COUNTA(C1671:G1671)=0,"",IF(AND(C1671="Yes",D1671="Yes",E1671="Yes",F1671="Yes",G1671="No"),"Yes","No"))</f>
        <v/>
      </c>
      <c r="I1671" s="32"/>
      <c r="J1671" s="32"/>
    </row>
    <row r="1672" customFormat="false" ht="15" hidden="false" customHeight="false" outlineLevel="0" collapsed="false">
      <c r="A1672" s="32"/>
      <c r="B1672" s="32"/>
      <c r="C1672" s="32"/>
      <c r="D1672" s="32"/>
      <c r="E1672" s="32"/>
      <c r="F1672" s="32"/>
      <c r="G1672" s="32"/>
      <c r="H1672" s="28" t="str">
        <f aca="false">IF(COUNTA(C1672:G1672)=0,"",IF(AND(C1672="Yes",D1672="Yes",E1672="Yes",F1672="Yes",G1672="No"),"Yes","No"))</f>
        <v/>
      </c>
      <c r="I1672" s="32"/>
      <c r="J1672" s="32"/>
    </row>
    <row r="1673" customFormat="false" ht="15" hidden="false" customHeight="false" outlineLevel="0" collapsed="false">
      <c r="A1673" s="32"/>
      <c r="B1673" s="32"/>
      <c r="C1673" s="32"/>
      <c r="D1673" s="32"/>
      <c r="E1673" s="32"/>
      <c r="F1673" s="32"/>
      <c r="G1673" s="32"/>
      <c r="H1673" s="28" t="str">
        <f aca="false">IF(COUNTA(C1673:G1673)=0,"",IF(AND(C1673="Yes",D1673="Yes",E1673="Yes",F1673="Yes",G1673="No"),"Yes","No"))</f>
        <v/>
      </c>
      <c r="I1673" s="32"/>
      <c r="J1673" s="32"/>
    </row>
    <row r="1674" customFormat="false" ht="15" hidden="false" customHeight="false" outlineLevel="0" collapsed="false">
      <c r="A1674" s="32"/>
      <c r="B1674" s="32"/>
      <c r="C1674" s="32"/>
      <c r="D1674" s="32"/>
      <c r="E1674" s="32"/>
      <c r="F1674" s="32"/>
      <c r="G1674" s="32"/>
      <c r="H1674" s="28" t="str">
        <f aca="false">IF(COUNTA(C1674:G1674)=0,"",IF(AND(C1674="Yes",D1674="Yes",E1674="Yes",F1674="Yes",G1674="No"),"Yes","No"))</f>
        <v/>
      </c>
      <c r="I1674" s="32"/>
      <c r="J1674" s="32"/>
    </row>
    <row r="1675" customFormat="false" ht="15" hidden="false" customHeight="false" outlineLevel="0" collapsed="false">
      <c r="A1675" s="32"/>
      <c r="B1675" s="32"/>
      <c r="C1675" s="32"/>
      <c r="D1675" s="32"/>
      <c r="E1675" s="32"/>
      <c r="F1675" s="32"/>
      <c r="G1675" s="32"/>
      <c r="H1675" s="28" t="str">
        <f aca="false">IF(COUNTA(C1675:G1675)=0,"",IF(AND(C1675="Yes",D1675="Yes",E1675="Yes",F1675="Yes",G1675="No"),"Yes","No"))</f>
        <v/>
      </c>
      <c r="I1675" s="32"/>
      <c r="J1675" s="32"/>
    </row>
    <row r="1676" customFormat="false" ht="15" hidden="false" customHeight="false" outlineLevel="0" collapsed="false">
      <c r="A1676" s="32"/>
      <c r="B1676" s="32"/>
      <c r="C1676" s="32"/>
      <c r="D1676" s="32"/>
      <c r="E1676" s="32"/>
      <c r="F1676" s="32"/>
      <c r="G1676" s="32"/>
      <c r="H1676" s="28" t="str">
        <f aca="false">IF(COUNTA(C1676:G1676)=0,"",IF(AND(C1676="Yes",D1676="Yes",E1676="Yes",F1676="Yes",G1676="No"),"Yes","No"))</f>
        <v/>
      </c>
      <c r="I1676" s="32"/>
      <c r="J1676" s="32"/>
    </row>
    <row r="1677" customFormat="false" ht="15" hidden="false" customHeight="false" outlineLevel="0" collapsed="false">
      <c r="A1677" s="32"/>
      <c r="B1677" s="32"/>
      <c r="C1677" s="32"/>
      <c r="D1677" s="32"/>
      <c r="E1677" s="32"/>
      <c r="F1677" s="32"/>
      <c r="G1677" s="32"/>
      <c r="H1677" s="28" t="str">
        <f aca="false">IF(COUNTA(C1677:G1677)=0,"",IF(AND(C1677="Yes",D1677="Yes",E1677="Yes",F1677="Yes",G1677="No"),"Yes","No"))</f>
        <v/>
      </c>
      <c r="I1677" s="32"/>
      <c r="J1677" s="32"/>
    </row>
    <row r="1678" customFormat="false" ht="15" hidden="false" customHeight="false" outlineLevel="0" collapsed="false">
      <c r="A1678" s="32"/>
      <c r="B1678" s="32"/>
      <c r="C1678" s="32"/>
      <c r="D1678" s="32"/>
      <c r="E1678" s="32"/>
      <c r="F1678" s="32"/>
      <c r="G1678" s="32"/>
      <c r="H1678" s="28" t="str">
        <f aca="false">IF(COUNTA(C1678:G1678)=0,"",IF(AND(C1678="Yes",D1678="Yes",E1678="Yes",F1678="Yes",G1678="No"),"Yes","No"))</f>
        <v/>
      </c>
      <c r="I1678" s="32"/>
      <c r="J1678" s="32"/>
    </row>
    <row r="1679" customFormat="false" ht="15" hidden="false" customHeight="false" outlineLevel="0" collapsed="false">
      <c r="A1679" s="32"/>
      <c r="B1679" s="32"/>
      <c r="C1679" s="32"/>
      <c r="D1679" s="32"/>
      <c r="E1679" s="32"/>
      <c r="F1679" s="32"/>
      <c r="G1679" s="32"/>
      <c r="H1679" s="28" t="str">
        <f aca="false">IF(COUNTA(C1679:G1679)=0,"",IF(AND(C1679="Yes",D1679="Yes",E1679="Yes",F1679="Yes",G1679="No"),"Yes","No"))</f>
        <v/>
      </c>
      <c r="I1679" s="32"/>
      <c r="J1679" s="32"/>
    </row>
    <row r="1680" customFormat="false" ht="15" hidden="false" customHeight="false" outlineLevel="0" collapsed="false">
      <c r="A1680" s="32"/>
      <c r="B1680" s="32"/>
      <c r="C1680" s="32"/>
      <c r="D1680" s="32"/>
      <c r="E1680" s="32"/>
      <c r="F1680" s="32"/>
      <c r="G1680" s="32"/>
      <c r="H1680" s="28" t="str">
        <f aca="false">IF(COUNTA(C1680:G1680)=0,"",IF(AND(C1680="Yes",D1680="Yes",E1680="Yes",F1680="Yes",G1680="No"),"Yes","No"))</f>
        <v/>
      </c>
      <c r="I1680" s="32"/>
      <c r="J1680" s="32"/>
    </row>
    <row r="1681" customFormat="false" ht="15" hidden="false" customHeight="false" outlineLevel="0" collapsed="false">
      <c r="A1681" s="32"/>
      <c r="B1681" s="32"/>
      <c r="C1681" s="32"/>
      <c r="D1681" s="32"/>
      <c r="E1681" s="32"/>
      <c r="F1681" s="32"/>
      <c r="G1681" s="32"/>
      <c r="H1681" s="28" t="str">
        <f aca="false">IF(COUNTA(C1681:G1681)=0,"",IF(AND(C1681="Yes",D1681="Yes",E1681="Yes",F1681="Yes",G1681="No"),"Yes","No"))</f>
        <v/>
      </c>
      <c r="I1681" s="32"/>
      <c r="J1681" s="32"/>
    </row>
    <row r="1682" customFormat="false" ht="15" hidden="false" customHeight="false" outlineLevel="0" collapsed="false">
      <c r="A1682" s="32"/>
      <c r="B1682" s="32"/>
      <c r="C1682" s="32"/>
      <c r="D1682" s="32"/>
      <c r="E1682" s="32"/>
      <c r="F1682" s="32"/>
      <c r="G1682" s="32"/>
      <c r="H1682" s="28" t="str">
        <f aca="false">IF(COUNTA(C1682:G1682)=0,"",IF(AND(C1682="Yes",D1682="Yes",E1682="Yes",F1682="Yes",G1682="No"),"Yes","No"))</f>
        <v/>
      </c>
      <c r="I1682" s="32"/>
      <c r="J1682" s="32"/>
    </row>
    <row r="1683" customFormat="false" ht="15" hidden="false" customHeight="false" outlineLevel="0" collapsed="false">
      <c r="A1683" s="32"/>
      <c r="B1683" s="32"/>
      <c r="C1683" s="32"/>
      <c r="D1683" s="32"/>
      <c r="E1683" s="32"/>
      <c r="F1683" s="32"/>
      <c r="G1683" s="32"/>
      <c r="H1683" s="28" t="str">
        <f aca="false">IF(COUNTA(C1683:G1683)=0,"",IF(AND(C1683="Yes",D1683="Yes",E1683="Yes",F1683="Yes",G1683="No"),"Yes","No"))</f>
        <v/>
      </c>
      <c r="I1683" s="32"/>
      <c r="J1683" s="32"/>
    </row>
    <row r="1684" customFormat="false" ht="15" hidden="false" customHeight="false" outlineLevel="0" collapsed="false">
      <c r="A1684" s="32"/>
      <c r="B1684" s="32"/>
      <c r="C1684" s="32"/>
      <c r="D1684" s="32"/>
      <c r="E1684" s="32"/>
      <c r="F1684" s="32"/>
      <c r="G1684" s="32"/>
      <c r="H1684" s="28" t="str">
        <f aca="false">IF(COUNTA(C1684:G1684)=0,"",IF(AND(C1684="Yes",D1684="Yes",E1684="Yes",F1684="Yes",G1684="No"),"Yes","No"))</f>
        <v/>
      </c>
      <c r="I1684" s="32"/>
      <c r="J1684" s="32"/>
    </row>
    <row r="1685" customFormat="false" ht="15" hidden="false" customHeight="false" outlineLevel="0" collapsed="false">
      <c r="A1685" s="32"/>
      <c r="B1685" s="32"/>
      <c r="C1685" s="32"/>
      <c r="D1685" s="32"/>
      <c r="E1685" s="32"/>
      <c r="F1685" s="32"/>
      <c r="G1685" s="32"/>
      <c r="H1685" s="28" t="str">
        <f aca="false">IF(COUNTA(C1685:G1685)=0,"",IF(AND(C1685="Yes",D1685="Yes",E1685="Yes",F1685="Yes",G1685="No"),"Yes","No"))</f>
        <v/>
      </c>
      <c r="I1685" s="32"/>
      <c r="J1685" s="32"/>
    </row>
    <row r="1686" customFormat="false" ht="15" hidden="false" customHeight="false" outlineLevel="0" collapsed="false">
      <c r="A1686" s="32"/>
      <c r="B1686" s="32"/>
      <c r="C1686" s="32"/>
      <c r="D1686" s="32"/>
      <c r="E1686" s="32"/>
      <c r="F1686" s="32"/>
      <c r="G1686" s="32"/>
      <c r="H1686" s="28" t="str">
        <f aca="false">IF(COUNTA(C1686:G1686)=0,"",IF(AND(C1686="Yes",D1686="Yes",E1686="Yes",F1686="Yes",G1686="No"),"Yes","No"))</f>
        <v/>
      </c>
      <c r="I1686" s="32"/>
      <c r="J1686" s="32"/>
    </row>
    <row r="1687" customFormat="false" ht="15" hidden="false" customHeight="false" outlineLevel="0" collapsed="false">
      <c r="A1687" s="32"/>
      <c r="B1687" s="32"/>
      <c r="C1687" s="32"/>
      <c r="D1687" s="32"/>
      <c r="E1687" s="32"/>
      <c r="F1687" s="32"/>
      <c r="G1687" s="32"/>
      <c r="H1687" s="28" t="str">
        <f aca="false">IF(COUNTA(C1687:G1687)=0,"",IF(AND(C1687="Yes",D1687="Yes",E1687="Yes",F1687="Yes",G1687="No"),"Yes","No"))</f>
        <v/>
      </c>
      <c r="I1687" s="32"/>
      <c r="J1687" s="32"/>
    </row>
    <row r="1688" customFormat="false" ht="15" hidden="false" customHeight="false" outlineLevel="0" collapsed="false">
      <c r="A1688" s="32"/>
      <c r="B1688" s="32"/>
      <c r="C1688" s="32"/>
      <c r="D1688" s="32"/>
      <c r="E1688" s="32"/>
      <c r="F1688" s="32"/>
      <c r="G1688" s="32"/>
      <c r="H1688" s="28" t="str">
        <f aca="false">IF(COUNTA(C1688:G1688)=0,"",IF(AND(C1688="Yes",D1688="Yes",E1688="Yes",F1688="Yes",G1688="No"),"Yes","No"))</f>
        <v/>
      </c>
      <c r="I1688" s="32"/>
      <c r="J1688" s="32"/>
    </row>
    <row r="1689" customFormat="false" ht="15" hidden="false" customHeight="false" outlineLevel="0" collapsed="false">
      <c r="A1689" s="32"/>
      <c r="B1689" s="32"/>
      <c r="C1689" s="32"/>
      <c r="D1689" s="32"/>
      <c r="E1689" s="32"/>
      <c r="F1689" s="32"/>
      <c r="G1689" s="32"/>
      <c r="H1689" s="28" t="str">
        <f aca="false">IF(COUNTA(C1689:G1689)=0,"",IF(AND(C1689="Yes",D1689="Yes",E1689="Yes",F1689="Yes",G1689="No"),"Yes","No"))</f>
        <v/>
      </c>
      <c r="I1689" s="32"/>
      <c r="J1689" s="32"/>
    </row>
    <row r="1690" customFormat="false" ht="15" hidden="false" customHeight="false" outlineLevel="0" collapsed="false">
      <c r="A1690" s="32"/>
      <c r="B1690" s="32"/>
      <c r="C1690" s="32"/>
      <c r="D1690" s="32"/>
      <c r="E1690" s="32"/>
      <c r="F1690" s="32"/>
      <c r="G1690" s="32"/>
      <c r="H1690" s="28" t="str">
        <f aca="false">IF(COUNTA(C1690:G1690)=0,"",IF(AND(C1690="Yes",D1690="Yes",E1690="Yes",F1690="Yes",G1690="No"),"Yes","No"))</f>
        <v/>
      </c>
      <c r="I1690" s="32"/>
      <c r="J1690" s="32"/>
    </row>
    <row r="1691" customFormat="false" ht="15" hidden="false" customHeight="false" outlineLevel="0" collapsed="false">
      <c r="A1691" s="32"/>
      <c r="B1691" s="32"/>
      <c r="C1691" s="32"/>
      <c r="D1691" s="32"/>
      <c r="E1691" s="32"/>
      <c r="F1691" s="32"/>
      <c r="G1691" s="32"/>
      <c r="H1691" s="28" t="str">
        <f aca="false">IF(COUNTA(C1691:G1691)=0,"",IF(AND(C1691="Yes",D1691="Yes",E1691="Yes",F1691="Yes",G1691="No"),"Yes","No"))</f>
        <v/>
      </c>
      <c r="I1691" s="32"/>
      <c r="J1691" s="32"/>
    </row>
    <row r="1692" customFormat="false" ht="15" hidden="false" customHeight="false" outlineLevel="0" collapsed="false">
      <c r="A1692" s="32"/>
      <c r="B1692" s="32"/>
      <c r="C1692" s="32"/>
      <c r="D1692" s="32"/>
      <c r="E1692" s="32"/>
      <c r="F1692" s="32"/>
      <c r="G1692" s="32"/>
      <c r="H1692" s="28" t="str">
        <f aca="false">IF(COUNTA(C1692:G1692)=0,"",IF(AND(C1692="Yes",D1692="Yes",E1692="Yes",F1692="Yes",G1692="No"),"Yes","No"))</f>
        <v/>
      </c>
      <c r="I1692" s="32"/>
      <c r="J1692" s="32"/>
    </row>
    <row r="1693" customFormat="false" ht="15" hidden="false" customHeight="false" outlineLevel="0" collapsed="false">
      <c r="A1693" s="32"/>
      <c r="B1693" s="32"/>
      <c r="C1693" s="32"/>
      <c r="D1693" s="32"/>
      <c r="E1693" s="32"/>
      <c r="F1693" s="32"/>
      <c r="G1693" s="32"/>
      <c r="H1693" s="28" t="str">
        <f aca="false">IF(COUNTA(C1693:G1693)=0,"",IF(AND(C1693="Yes",D1693="Yes",E1693="Yes",F1693="Yes",G1693="No"),"Yes","No"))</f>
        <v/>
      </c>
      <c r="I1693" s="32"/>
      <c r="J1693" s="32"/>
    </row>
    <row r="1694" customFormat="false" ht="15" hidden="false" customHeight="false" outlineLevel="0" collapsed="false">
      <c r="A1694" s="32"/>
      <c r="B1694" s="32"/>
      <c r="C1694" s="32"/>
      <c r="D1694" s="32"/>
      <c r="E1694" s="32"/>
      <c r="F1694" s="32"/>
      <c r="G1694" s="32"/>
      <c r="H1694" s="28" t="str">
        <f aca="false">IF(COUNTA(C1694:G1694)=0,"",IF(AND(C1694="Yes",D1694="Yes",E1694="Yes",F1694="Yes",G1694="No"),"Yes","No"))</f>
        <v/>
      </c>
      <c r="I1694" s="32"/>
      <c r="J1694" s="32"/>
    </row>
    <row r="1695" customFormat="false" ht="15" hidden="false" customHeight="false" outlineLevel="0" collapsed="false">
      <c r="A1695" s="32"/>
      <c r="B1695" s="32"/>
      <c r="C1695" s="32"/>
      <c r="D1695" s="32"/>
      <c r="E1695" s="32"/>
      <c r="F1695" s="32"/>
      <c r="G1695" s="32"/>
      <c r="H1695" s="28" t="str">
        <f aca="false">IF(COUNTA(C1695:G1695)=0,"",IF(AND(C1695="Yes",D1695="Yes",E1695="Yes",F1695="Yes",G1695="No"),"Yes","No"))</f>
        <v/>
      </c>
      <c r="I1695" s="32"/>
      <c r="J1695" s="32"/>
    </row>
    <row r="1696" customFormat="false" ht="15" hidden="false" customHeight="false" outlineLevel="0" collapsed="false">
      <c r="A1696" s="32"/>
      <c r="B1696" s="32"/>
      <c r="C1696" s="32"/>
      <c r="D1696" s="32"/>
      <c r="E1696" s="32"/>
      <c r="F1696" s="32"/>
      <c r="G1696" s="32"/>
      <c r="H1696" s="28" t="str">
        <f aca="false">IF(COUNTA(C1696:G1696)=0,"",IF(AND(C1696="Yes",D1696="Yes",E1696="Yes",F1696="Yes",G1696="No"),"Yes","No"))</f>
        <v/>
      </c>
      <c r="I1696" s="32"/>
      <c r="J1696" s="32"/>
    </row>
    <row r="1697" customFormat="false" ht="15" hidden="false" customHeight="false" outlineLevel="0" collapsed="false">
      <c r="A1697" s="32"/>
      <c r="B1697" s="32"/>
      <c r="C1697" s="32"/>
      <c r="D1697" s="32"/>
      <c r="E1697" s="32"/>
      <c r="F1697" s="32"/>
      <c r="G1697" s="32"/>
      <c r="H1697" s="28" t="str">
        <f aca="false">IF(COUNTA(C1697:G1697)=0,"",IF(AND(C1697="Yes",D1697="Yes",E1697="Yes",F1697="Yes",G1697="No"),"Yes","No"))</f>
        <v/>
      </c>
      <c r="I1697" s="32"/>
      <c r="J1697" s="32"/>
    </row>
    <row r="1698" customFormat="false" ht="15" hidden="false" customHeight="false" outlineLevel="0" collapsed="false">
      <c r="A1698" s="32"/>
      <c r="B1698" s="32"/>
      <c r="C1698" s="32"/>
      <c r="D1698" s="32"/>
      <c r="E1698" s="32"/>
      <c r="F1698" s="32"/>
      <c r="G1698" s="32"/>
      <c r="H1698" s="28" t="str">
        <f aca="false">IF(COUNTA(C1698:G1698)=0,"",IF(AND(C1698="Yes",D1698="Yes",E1698="Yes",F1698="Yes",G1698="No"),"Yes","No"))</f>
        <v/>
      </c>
      <c r="I1698" s="32"/>
      <c r="J1698" s="32"/>
    </row>
    <row r="1699" customFormat="false" ht="15" hidden="false" customHeight="false" outlineLevel="0" collapsed="false">
      <c r="A1699" s="32"/>
      <c r="B1699" s="32"/>
      <c r="C1699" s="32"/>
      <c r="D1699" s="32"/>
      <c r="E1699" s="32"/>
      <c r="F1699" s="32"/>
      <c r="G1699" s="32"/>
      <c r="H1699" s="28" t="str">
        <f aca="false">IF(COUNTA(C1699:G1699)=0,"",IF(AND(C1699="Yes",D1699="Yes",E1699="Yes",F1699="Yes",G1699="No"),"Yes","No"))</f>
        <v/>
      </c>
      <c r="I1699" s="32"/>
      <c r="J1699" s="32"/>
    </row>
    <row r="1700" customFormat="false" ht="15" hidden="false" customHeight="false" outlineLevel="0" collapsed="false">
      <c r="A1700" s="32"/>
      <c r="B1700" s="32"/>
      <c r="C1700" s="32"/>
      <c r="D1700" s="32"/>
      <c r="E1700" s="32"/>
      <c r="F1700" s="32"/>
      <c r="G1700" s="32"/>
      <c r="H1700" s="28" t="str">
        <f aca="false">IF(COUNTA(C1700:G1700)=0,"",IF(AND(C1700="Yes",D1700="Yes",E1700="Yes",F1700="Yes",G1700="No"),"Yes","No"))</f>
        <v/>
      </c>
      <c r="I1700" s="32"/>
      <c r="J1700" s="32"/>
    </row>
    <row r="1701" customFormat="false" ht="15" hidden="false" customHeight="false" outlineLevel="0" collapsed="false">
      <c r="A1701" s="32"/>
      <c r="B1701" s="32"/>
      <c r="C1701" s="32"/>
      <c r="D1701" s="32"/>
      <c r="E1701" s="32"/>
      <c r="F1701" s="32"/>
      <c r="G1701" s="32"/>
      <c r="H1701" s="28" t="str">
        <f aca="false">IF(COUNTA(C1701:G1701)=0,"",IF(AND(C1701="Yes",D1701="Yes",E1701="Yes",F1701="Yes",G1701="No"),"Yes","No"))</f>
        <v/>
      </c>
      <c r="I1701" s="32"/>
      <c r="J1701" s="32"/>
    </row>
    <row r="1702" customFormat="false" ht="15" hidden="false" customHeight="false" outlineLevel="0" collapsed="false">
      <c r="A1702" s="32"/>
      <c r="B1702" s="32"/>
      <c r="C1702" s="32"/>
      <c r="D1702" s="32"/>
      <c r="E1702" s="32"/>
      <c r="F1702" s="32"/>
      <c r="G1702" s="32"/>
      <c r="H1702" s="28" t="str">
        <f aca="false">IF(COUNTA(C1702:G1702)=0,"",IF(AND(C1702="Yes",D1702="Yes",E1702="Yes",F1702="Yes",G1702="No"),"Yes","No"))</f>
        <v/>
      </c>
      <c r="I1702" s="32"/>
      <c r="J1702" s="32"/>
    </row>
    <row r="1703" customFormat="false" ht="15" hidden="false" customHeight="false" outlineLevel="0" collapsed="false">
      <c r="A1703" s="32"/>
      <c r="B1703" s="32"/>
      <c r="C1703" s="32"/>
      <c r="D1703" s="32"/>
      <c r="E1703" s="32"/>
      <c r="F1703" s="32"/>
      <c r="G1703" s="32"/>
      <c r="H1703" s="28" t="str">
        <f aca="false">IF(COUNTA(C1703:G1703)=0,"",IF(AND(C1703="Yes",D1703="Yes",E1703="Yes",F1703="Yes",G1703="No"),"Yes","No"))</f>
        <v/>
      </c>
      <c r="I1703" s="32"/>
      <c r="J1703" s="32"/>
    </row>
    <row r="1704" customFormat="false" ht="15" hidden="false" customHeight="false" outlineLevel="0" collapsed="false">
      <c r="A1704" s="32"/>
      <c r="B1704" s="32"/>
      <c r="C1704" s="32"/>
      <c r="D1704" s="32"/>
      <c r="E1704" s="32"/>
      <c r="F1704" s="32"/>
      <c r="G1704" s="32"/>
      <c r="H1704" s="28" t="str">
        <f aca="false">IF(COUNTA(C1704:G1704)=0,"",IF(AND(C1704="Yes",D1704="Yes",E1704="Yes",F1704="Yes",G1704="No"),"Yes","No"))</f>
        <v/>
      </c>
      <c r="I1704" s="32"/>
      <c r="J1704" s="32"/>
    </row>
    <row r="1705" customFormat="false" ht="15" hidden="false" customHeight="false" outlineLevel="0" collapsed="false">
      <c r="A1705" s="32"/>
      <c r="B1705" s="32"/>
      <c r="C1705" s="32"/>
      <c r="D1705" s="32"/>
      <c r="E1705" s="32"/>
      <c r="F1705" s="32"/>
      <c r="G1705" s="32"/>
      <c r="H1705" s="28" t="str">
        <f aca="false">IF(COUNTA(C1705:G1705)=0,"",IF(AND(C1705="Yes",D1705="Yes",E1705="Yes",F1705="Yes",G1705="No"),"Yes","No"))</f>
        <v/>
      </c>
      <c r="I1705" s="32"/>
      <c r="J1705" s="32"/>
    </row>
    <row r="1706" customFormat="false" ht="15" hidden="false" customHeight="false" outlineLevel="0" collapsed="false">
      <c r="A1706" s="32"/>
      <c r="B1706" s="32"/>
      <c r="C1706" s="32"/>
      <c r="D1706" s="32"/>
      <c r="E1706" s="32"/>
      <c r="F1706" s="32"/>
      <c r="G1706" s="32"/>
      <c r="H1706" s="28" t="str">
        <f aca="false">IF(COUNTA(C1706:G1706)=0,"",IF(AND(C1706="Yes",D1706="Yes",E1706="Yes",F1706="Yes",G1706="No"),"Yes","No"))</f>
        <v/>
      </c>
      <c r="I1706" s="32"/>
      <c r="J1706" s="32"/>
    </row>
    <row r="1707" customFormat="false" ht="15" hidden="false" customHeight="false" outlineLevel="0" collapsed="false">
      <c r="A1707" s="32"/>
      <c r="B1707" s="32"/>
      <c r="C1707" s="32"/>
      <c r="D1707" s="32"/>
      <c r="E1707" s="32"/>
      <c r="F1707" s="32"/>
      <c r="G1707" s="32"/>
      <c r="H1707" s="28" t="str">
        <f aca="false">IF(COUNTA(C1707:G1707)=0,"",IF(AND(C1707="Yes",D1707="Yes",E1707="Yes",F1707="Yes",G1707="No"),"Yes","No"))</f>
        <v/>
      </c>
      <c r="I1707" s="32"/>
      <c r="J1707" s="32"/>
    </row>
    <row r="1708" customFormat="false" ht="15" hidden="false" customHeight="false" outlineLevel="0" collapsed="false">
      <c r="A1708" s="32"/>
      <c r="B1708" s="32"/>
      <c r="C1708" s="32"/>
      <c r="D1708" s="32"/>
      <c r="E1708" s="32"/>
      <c r="F1708" s="32"/>
      <c r="G1708" s="32"/>
      <c r="H1708" s="28" t="str">
        <f aca="false">IF(COUNTA(C1708:G1708)=0,"",IF(AND(C1708="Yes",D1708="Yes",E1708="Yes",F1708="Yes",G1708="No"),"Yes","No"))</f>
        <v/>
      </c>
      <c r="I1708" s="32"/>
      <c r="J1708" s="32"/>
    </row>
    <row r="1709" customFormat="false" ht="15" hidden="false" customHeight="false" outlineLevel="0" collapsed="false">
      <c r="A1709" s="32"/>
      <c r="B1709" s="32"/>
      <c r="C1709" s="32"/>
      <c r="D1709" s="32"/>
      <c r="E1709" s="32"/>
      <c r="F1709" s="32"/>
      <c r="G1709" s="32"/>
      <c r="H1709" s="28" t="str">
        <f aca="false">IF(COUNTA(C1709:G1709)=0,"",IF(AND(C1709="Yes",D1709="Yes",E1709="Yes",F1709="Yes",G1709="No"),"Yes","No"))</f>
        <v/>
      </c>
      <c r="I1709" s="32"/>
      <c r="J1709" s="32"/>
    </row>
    <row r="1710" customFormat="false" ht="15" hidden="false" customHeight="false" outlineLevel="0" collapsed="false">
      <c r="A1710" s="32"/>
      <c r="B1710" s="32"/>
      <c r="C1710" s="32"/>
      <c r="D1710" s="32"/>
      <c r="E1710" s="32"/>
      <c r="F1710" s="32"/>
      <c r="G1710" s="32"/>
      <c r="H1710" s="28" t="str">
        <f aca="false">IF(COUNTA(C1710:G1710)=0,"",IF(AND(C1710="Yes",D1710="Yes",E1710="Yes",F1710="Yes",G1710="No"),"Yes","No"))</f>
        <v/>
      </c>
      <c r="I1710" s="32"/>
      <c r="J1710" s="32"/>
    </row>
    <row r="1711" customFormat="false" ht="15" hidden="false" customHeight="false" outlineLevel="0" collapsed="false">
      <c r="A1711" s="32"/>
      <c r="B1711" s="32"/>
      <c r="C1711" s="32"/>
      <c r="D1711" s="32"/>
      <c r="E1711" s="32"/>
      <c r="F1711" s="32"/>
      <c r="G1711" s="32"/>
      <c r="H1711" s="28" t="str">
        <f aca="false">IF(COUNTA(C1711:G1711)=0,"",IF(AND(C1711="Yes",D1711="Yes",E1711="Yes",F1711="Yes",G1711="No"),"Yes","No"))</f>
        <v/>
      </c>
      <c r="I1711" s="32"/>
      <c r="J1711" s="32"/>
    </row>
    <row r="1712" customFormat="false" ht="15" hidden="false" customHeight="false" outlineLevel="0" collapsed="false">
      <c r="A1712" s="32"/>
      <c r="B1712" s="32"/>
      <c r="C1712" s="32"/>
      <c r="D1712" s="32"/>
      <c r="E1712" s="32"/>
      <c r="F1712" s="32"/>
      <c r="G1712" s="32"/>
      <c r="H1712" s="28" t="str">
        <f aca="false">IF(COUNTA(C1712:G1712)=0,"",IF(AND(C1712="Yes",D1712="Yes",E1712="Yes",F1712="Yes",G1712="No"),"Yes","No"))</f>
        <v/>
      </c>
      <c r="I1712" s="32"/>
      <c r="J1712" s="32"/>
    </row>
    <row r="1713" customFormat="false" ht="15" hidden="false" customHeight="false" outlineLevel="0" collapsed="false">
      <c r="A1713" s="32"/>
      <c r="B1713" s="32"/>
      <c r="C1713" s="32"/>
      <c r="D1713" s="32"/>
      <c r="E1713" s="32"/>
      <c r="F1713" s="32"/>
      <c r="G1713" s="32"/>
      <c r="H1713" s="28" t="str">
        <f aca="false">IF(COUNTA(C1713:G1713)=0,"",IF(AND(C1713="Yes",D1713="Yes",E1713="Yes",F1713="Yes",G1713="No"),"Yes","No"))</f>
        <v/>
      </c>
      <c r="I1713" s="32"/>
      <c r="J1713" s="32"/>
    </row>
    <row r="1714" customFormat="false" ht="15" hidden="false" customHeight="false" outlineLevel="0" collapsed="false">
      <c r="A1714" s="32"/>
      <c r="B1714" s="32"/>
      <c r="C1714" s="32"/>
      <c r="D1714" s="32"/>
      <c r="E1714" s="32"/>
      <c r="F1714" s="32"/>
      <c r="G1714" s="32"/>
      <c r="H1714" s="28" t="str">
        <f aca="false">IF(COUNTA(C1714:G1714)=0,"",IF(AND(C1714="Yes",D1714="Yes",E1714="Yes",F1714="Yes",G1714="No"),"Yes","No"))</f>
        <v/>
      </c>
      <c r="I1714" s="32"/>
      <c r="J1714" s="32"/>
    </row>
    <row r="1715" customFormat="false" ht="15" hidden="false" customHeight="false" outlineLevel="0" collapsed="false">
      <c r="A1715" s="32"/>
      <c r="B1715" s="32"/>
      <c r="C1715" s="32"/>
      <c r="D1715" s="32"/>
      <c r="E1715" s="32"/>
      <c r="F1715" s="32"/>
      <c r="G1715" s="32"/>
      <c r="H1715" s="28" t="str">
        <f aca="false">IF(COUNTA(C1715:G1715)=0,"",IF(AND(C1715="Yes",D1715="Yes",E1715="Yes",F1715="Yes",G1715="No"),"Yes","No"))</f>
        <v/>
      </c>
      <c r="I1715" s="32"/>
      <c r="J1715" s="32"/>
    </row>
    <row r="1716" customFormat="false" ht="15" hidden="false" customHeight="false" outlineLevel="0" collapsed="false">
      <c r="A1716" s="32"/>
      <c r="B1716" s="32"/>
      <c r="C1716" s="32"/>
      <c r="D1716" s="32"/>
      <c r="E1716" s="32"/>
      <c r="F1716" s="32"/>
      <c r="G1716" s="32"/>
      <c r="H1716" s="28" t="str">
        <f aca="false">IF(COUNTA(C1716:G1716)=0,"",IF(AND(C1716="Yes",D1716="Yes",E1716="Yes",F1716="Yes",G1716="No"),"Yes","No"))</f>
        <v/>
      </c>
      <c r="I1716" s="32"/>
      <c r="J1716" s="32"/>
    </row>
    <row r="1717" customFormat="false" ht="15" hidden="false" customHeight="false" outlineLevel="0" collapsed="false">
      <c r="A1717" s="32"/>
      <c r="B1717" s="32"/>
      <c r="C1717" s="32"/>
      <c r="D1717" s="32"/>
      <c r="E1717" s="32"/>
      <c r="F1717" s="32"/>
      <c r="G1717" s="32"/>
      <c r="H1717" s="28" t="str">
        <f aca="false">IF(COUNTA(C1717:G1717)=0,"",IF(AND(C1717="Yes",D1717="Yes",E1717="Yes",F1717="Yes",G1717="No"),"Yes","No"))</f>
        <v/>
      </c>
      <c r="I1717" s="32"/>
      <c r="J1717" s="32"/>
    </row>
    <row r="1718" customFormat="false" ht="15" hidden="false" customHeight="false" outlineLevel="0" collapsed="false">
      <c r="A1718" s="32"/>
      <c r="B1718" s="32"/>
      <c r="C1718" s="32"/>
      <c r="D1718" s="32"/>
      <c r="E1718" s="32"/>
      <c r="F1718" s="32"/>
      <c r="G1718" s="32"/>
      <c r="H1718" s="28" t="str">
        <f aca="false">IF(COUNTA(C1718:G1718)=0,"",IF(AND(C1718="Yes",D1718="Yes",E1718="Yes",F1718="Yes",G1718="No"),"Yes","No"))</f>
        <v/>
      </c>
      <c r="I1718" s="32"/>
      <c r="J1718" s="32"/>
    </row>
    <row r="1719" customFormat="false" ht="15" hidden="false" customHeight="false" outlineLevel="0" collapsed="false">
      <c r="A1719" s="32"/>
      <c r="B1719" s="32"/>
      <c r="C1719" s="32"/>
      <c r="D1719" s="32"/>
      <c r="E1719" s="32"/>
      <c r="F1719" s="32"/>
      <c r="G1719" s="32"/>
      <c r="H1719" s="28" t="str">
        <f aca="false">IF(COUNTA(C1719:G1719)=0,"",IF(AND(C1719="Yes",D1719="Yes",E1719="Yes",F1719="Yes",G1719="No"),"Yes","No"))</f>
        <v/>
      </c>
      <c r="I1719" s="32"/>
      <c r="J1719" s="32"/>
    </row>
    <row r="1720" customFormat="false" ht="15" hidden="false" customHeight="false" outlineLevel="0" collapsed="false">
      <c r="A1720" s="32"/>
      <c r="B1720" s="32"/>
      <c r="C1720" s="32"/>
      <c r="D1720" s="32"/>
      <c r="E1720" s="32"/>
      <c r="F1720" s="32"/>
      <c r="G1720" s="32"/>
      <c r="H1720" s="28" t="str">
        <f aca="false">IF(COUNTA(C1720:G1720)=0,"",IF(AND(C1720="Yes",D1720="Yes",E1720="Yes",F1720="Yes",G1720="No"),"Yes","No"))</f>
        <v/>
      </c>
      <c r="I1720" s="32"/>
      <c r="J1720" s="32"/>
    </row>
    <row r="1721" customFormat="false" ht="15" hidden="false" customHeight="false" outlineLevel="0" collapsed="false">
      <c r="A1721" s="32"/>
      <c r="B1721" s="32"/>
      <c r="C1721" s="32"/>
      <c r="D1721" s="32"/>
      <c r="E1721" s="32"/>
      <c r="F1721" s="32"/>
      <c r="G1721" s="32"/>
      <c r="H1721" s="28" t="str">
        <f aca="false">IF(COUNTA(C1721:G1721)=0,"",IF(AND(C1721="Yes",D1721="Yes",E1721="Yes",F1721="Yes",G1721="No"),"Yes","No"))</f>
        <v/>
      </c>
      <c r="I1721" s="32"/>
      <c r="J1721" s="32"/>
    </row>
    <row r="1722" customFormat="false" ht="15" hidden="false" customHeight="false" outlineLevel="0" collapsed="false">
      <c r="A1722" s="32"/>
      <c r="B1722" s="32"/>
      <c r="C1722" s="32"/>
      <c r="D1722" s="32"/>
      <c r="E1722" s="32"/>
      <c r="F1722" s="32"/>
      <c r="G1722" s="32"/>
      <c r="H1722" s="28" t="str">
        <f aca="false">IF(COUNTA(C1722:G1722)=0,"",IF(AND(C1722="Yes",D1722="Yes",E1722="Yes",F1722="Yes",G1722="No"),"Yes","No"))</f>
        <v/>
      </c>
      <c r="I1722" s="32"/>
      <c r="J1722" s="32"/>
    </row>
    <row r="1723" customFormat="false" ht="15" hidden="false" customHeight="false" outlineLevel="0" collapsed="false">
      <c r="A1723" s="32"/>
      <c r="B1723" s="32"/>
      <c r="C1723" s="32"/>
      <c r="D1723" s="32"/>
      <c r="E1723" s="32"/>
      <c r="F1723" s="32"/>
      <c r="G1723" s="32"/>
      <c r="H1723" s="28" t="str">
        <f aca="false">IF(COUNTA(C1723:G1723)=0,"",IF(AND(C1723="Yes",D1723="Yes",E1723="Yes",F1723="Yes",G1723="No"),"Yes","No"))</f>
        <v/>
      </c>
      <c r="I1723" s="32"/>
      <c r="J1723" s="32"/>
    </row>
    <row r="1724" customFormat="false" ht="15" hidden="false" customHeight="false" outlineLevel="0" collapsed="false">
      <c r="A1724" s="32"/>
      <c r="B1724" s="32"/>
      <c r="C1724" s="32"/>
      <c r="D1724" s="32"/>
      <c r="E1724" s="32"/>
      <c r="F1724" s="32"/>
      <c r="G1724" s="32"/>
      <c r="H1724" s="28" t="str">
        <f aca="false">IF(COUNTA(C1724:G1724)=0,"",IF(AND(C1724="Yes",D1724="Yes",E1724="Yes",F1724="Yes",G1724="No"),"Yes","No"))</f>
        <v/>
      </c>
      <c r="I1724" s="32"/>
      <c r="J1724" s="32"/>
    </row>
    <row r="1725" customFormat="false" ht="15" hidden="false" customHeight="false" outlineLevel="0" collapsed="false">
      <c r="A1725" s="32"/>
      <c r="B1725" s="32"/>
      <c r="C1725" s="32"/>
      <c r="D1725" s="32"/>
      <c r="E1725" s="32"/>
      <c r="F1725" s="32"/>
      <c r="G1725" s="32"/>
      <c r="H1725" s="28" t="str">
        <f aca="false">IF(COUNTA(C1725:G1725)=0,"",IF(AND(C1725="Yes",D1725="Yes",E1725="Yes",F1725="Yes",G1725="No"),"Yes","No"))</f>
        <v/>
      </c>
      <c r="I1725" s="32"/>
      <c r="J1725" s="32"/>
    </row>
    <row r="1726" customFormat="false" ht="15" hidden="false" customHeight="false" outlineLevel="0" collapsed="false">
      <c r="A1726" s="32"/>
      <c r="B1726" s="32"/>
      <c r="C1726" s="32"/>
      <c r="D1726" s="32"/>
      <c r="E1726" s="32"/>
      <c r="F1726" s="32"/>
      <c r="G1726" s="32"/>
      <c r="H1726" s="28" t="str">
        <f aca="false">IF(COUNTA(C1726:G1726)=0,"",IF(AND(C1726="Yes",D1726="Yes",E1726="Yes",F1726="Yes",G1726="No"),"Yes","No"))</f>
        <v/>
      </c>
      <c r="I1726" s="32"/>
      <c r="J1726" s="32"/>
    </row>
    <row r="1727" customFormat="false" ht="15" hidden="false" customHeight="false" outlineLevel="0" collapsed="false">
      <c r="A1727" s="32"/>
      <c r="B1727" s="32"/>
      <c r="C1727" s="32"/>
      <c r="D1727" s="32"/>
      <c r="E1727" s="32"/>
      <c r="F1727" s="32"/>
      <c r="G1727" s="32"/>
      <c r="H1727" s="28" t="str">
        <f aca="false">IF(COUNTA(C1727:G1727)=0,"",IF(AND(C1727="Yes",D1727="Yes",E1727="Yes",F1727="Yes",G1727="No"),"Yes","No"))</f>
        <v/>
      </c>
      <c r="I1727" s="32"/>
      <c r="J1727" s="32"/>
    </row>
    <row r="1728" customFormat="false" ht="15" hidden="false" customHeight="false" outlineLevel="0" collapsed="false">
      <c r="A1728" s="32"/>
      <c r="B1728" s="32"/>
      <c r="C1728" s="32"/>
      <c r="D1728" s="32"/>
      <c r="E1728" s="32"/>
      <c r="F1728" s="32"/>
      <c r="G1728" s="32"/>
      <c r="H1728" s="28" t="str">
        <f aca="false">IF(COUNTA(C1728:G1728)=0,"",IF(AND(C1728="Yes",D1728="Yes",E1728="Yes",F1728="Yes",G1728="No"),"Yes","No"))</f>
        <v/>
      </c>
      <c r="I1728" s="32"/>
      <c r="J1728" s="32"/>
    </row>
    <row r="1729" customFormat="false" ht="15" hidden="false" customHeight="false" outlineLevel="0" collapsed="false">
      <c r="A1729" s="32"/>
      <c r="B1729" s="32"/>
      <c r="C1729" s="32"/>
      <c r="D1729" s="32"/>
      <c r="E1729" s="32"/>
      <c r="F1729" s="32"/>
      <c r="G1729" s="32"/>
      <c r="H1729" s="28" t="str">
        <f aca="false">IF(COUNTA(C1729:G1729)=0,"",IF(AND(C1729="Yes",D1729="Yes",E1729="Yes",F1729="Yes",G1729="No"),"Yes","No"))</f>
        <v/>
      </c>
      <c r="I1729" s="32"/>
      <c r="J1729" s="32"/>
    </row>
    <row r="1730" customFormat="false" ht="15" hidden="false" customHeight="false" outlineLevel="0" collapsed="false">
      <c r="A1730" s="32"/>
      <c r="B1730" s="32"/>
      <c r="C1730" s="32"/>
      <c r="D1730" s="32"/>
      <c r="E1730" s="32"/>
      <c r="F1730" s="32"/>
      <c r="G1730" s="32"/>
      <c r="H1730" s="28" t="str">
        <f aca="false">IF(COUNTA(C1730:G1730)=0,"",IF(AND(C1730="Yes",D1730="Yes",E1730="Yes",F1730="Yes",G1730="No"),"Yes","No"))</f>
        <v/>
      </c>
      <c r="I1730" s="32"/>
      <c r="J1730" s="32"/>
    </row>
    <row r="1731" customFormat="false" ht="15" hidden="false" customHeight="false" outlineLevel="0" collapsed="false">
      <c r="A1731" s="32"/>
      <c r="B1731" s="32"/>
      <c r="C1731" s="32"/>
      <c r="D1731" s="32"/>
      <c r="E1731" s="32"/>
      <c r="F1731" s="32"/>
      <c r="G1731" s="32"/>
      <c r="H1731" s="28" t="str">
        <f aca="false">IF(COUNTA(C1731:G1731)=0,"",IF(AND(C1731="Yes",D1731="Yes",E1731="Yes",F1731="Yes",G1731="No"),"Yes","No"))</f>
        <v/>
      </c>
      <c r="I1731" s="32"/>
      <c r="J1731" s="32"/>
    </row>
    <row r="1732" customFormat="false" ht="15" hidden="false" customHeight="false" outlineLevel="0" collapsed="false">
      <c r="A1732" s="32"/>
      <c r="B1732" s="32"/>
      <c r="C1732" s="32"/>
      <c r="D1732" s="32"/>
      <c r="E1732" s="32"/>
      <c r="F1732" s="32"/>
      <c r="G1732" s="32"/>
      <c r="H1732" s="28" t="str">
        <f aca="false">IF(COUNTA(C1732:G1732)=0,"",IF(AND(C1732="Yes",D1732="Yes",E1732="Yes",F1732="Yes",G1732="No"),"Yes","No"))</f>
        <v/>
      </c>
      <c r="I1732" s="32"/>
      <c r="J1732" s="32"/>
    </row>
    <row r="1733" customFormat="false" ht="15" hidden="false" customHeight="false" outlineLevel="0" collapsed="false">
      <c r="A1733" s="32"/>
      <c r="B1733" s="32"/>
      <c r="C1733" s="32"/>
      <c r="D1733" s="32"/>
      <c r="E1733" s="32"/>
      <c r="F1733" s="32"/>
      <c r="G1733" s="32"/>
      <c r="H1733" s="28" t="str">
        <f aca="false">IF(COUNTA(C1733:G1733)=0,"",IF(AND(C1733="Yes",D1733="Yes",E1733="Yes",F1733="Yes",G1733="No"),"Yes","No"))</f>
        <v/>
      </c>
      <c r="I1733" s="32"/>
      <c r="J1733" s="32"/>
    </row>
    <row r="1734" customFormat="false" ht="15" hidden="false" customHeight="false" outlineLevel="0" collapsed="false">
      <c r="A1734" s="32"/>
      <c r="B1734" s="32"/>
      <c r="C1734" s="32"/>
      <c r="D1734" s="32"/>
      <c r="E1734" s="32"/>
      <c r="F1734" s="32"/>
      <c r="G1734" s="32"/>
      <c r="H1734" s="28" t="str">
        <f aca="false">IF(COUNTA(C1734:G1734)=0,"",IF(AND(C1734="Yes",D1734="Yes",E1734="Yes",F1734="Yes",G1734="No"),"Yes","No"))</f>
        <v/>
      </c>
      <c r="I1734" s="32"/>
      <c r="J1734" s="32"/>
    </row>
    <row r="1735" customFormat="false" ht="15" hidden="false" customHeight="false" outlineLevel="0" collapsed="false">
      <c r="A1735" s="32"/>
      <c r="B1735" s="32"/>
      <c r="C1735" s="32"/>
      <c r="D1735" s="32"/>
      <c r="E1735" s="32"/>
      <c r="F1735" s="32"/>
      <c r="G1735" s="32"/>
      <c r="H1735" s="28" t="str">
        <f aca="false">IF(COUNTA(C1735:G1735)=0,"",IF(AND(C1735="Yes",D1735="Yes",E1735="Yes",F1735="Yes",G1735="No"),"Yes","No"))</f>
        <v/>
      </c>
      <c r="I1735" s="32"/>
      <c r="J1735" s="32"/>
    </row>
    <row r="1736" customFormat="false" ht="15" hidden="false" customHeight="false" outlineLevel="0" collapsed="false">
      <c r="A1736" s="32"/>
      <c r="B1736" s="32"/>
      <c r="C1736" s="32"/>
      <c r="D1736" s="32"/>
      <c r="E1736" s="32"/>
      <c r="F1736" s="32"/>
      <c r="G1736" s="32"/>
      <c r="H1736" s="28" t="str">
        <f aca="false">IF(COUNTA(C1736:G1736)=0,"",IF(AND(C1736="Yes",D1736="Yes",E1736="Yes",F1736="Yes",G1736="No"),"Yes","No"))</f>
        <v/>
      </c>
      <c r="I1736" s="32"/>
      <c r="J1736" s="32"/>
    </row>
    <row r="1737" customFormat="false" ht="15" hidden="false" customHeight="false" outlineLevel="0" collapsed="false">
      <c r="A1737" s="32"/>
      <c r="B1737" s="32"/>
      <c r="C1737" s="32"/>
      <c r="D1737" s="32"/>
      <c r="E1737" s="32"/>
      <c r="F1737" s="32"/>
      <c r="G1737" s="32"/>
      <c r="H1737" s="28" t="str">
        <f aca="false">IF(COUNTA(C1737:G1737)=0,"",IF(AND(C1737="Yes",D1737="Yes",E1737="Yes",F1737="Yes",G1737="No"),"Yes","No"))</f>
        <v/>
      </c>
      <c r="I1737" s="32"/>
      <c r="J1737" s="32"/>
    </row>
    <row r="1738" customFormat="false" ht="15" hidden="false" customHeight="false" outlineLevel="0" collapsed="false">
      <c r="A1738" s="32"/>
      <c r="B1738" s="32"/>
      <c r="C1738" s="32"/>
      <c r="D1738" s="32"/>
      <c r="E1738" s="32"/>
      <c r="F1738" s="32"/>
      <c r="G1738" s="32"/>
      <c r="H1738" s="28" t="str">
        <f aca="false">IF(COUNTA(C1738:G1738)=0,"",IF(AND(C1738="Yes",D1738="Yes",E1738="Yes",F1738="Yes",G1738="No"),"Yes","No"))</f>
        <v/>
      </c>
      <c r="I1738" s="32"/>
      <c r="J1738" s="32"/>
    </row>
    <row r="1739" customFormat="false" ht="15" hidden="false" customHeight="false" outlineLevel="0" collapsed="false">
      <c r="A1739" s="32"/>
      <c r="B1739" s="32"/>
      <c r="C1739" s="32"/>
      <c r="D1739" s="32"/>
      <c r="E1739" s="32"/>
      <c r="F1739" s="32"/>
      <c r="G1739" s="32"/>
      <c r="H1739" s="28" t="str">
        <f aca="false">IF(COUNTA(C1739:G1739)=0,"",IF(AND(C1739="Yes",D1739="Yes",E1739="Yes",F1739="Yes",G1739="No"),"Yes","No"))</f>
        <v/>
      </c>
      <c r="I1739" s="32"/>
      <c r="J1739" s="32"/>
    </row>
    <row r="1740" customFormat="false" ht="15" hidden="false" customHeight="false" outlineLevel="0" collapsed="false">
      <c r="A1740" s="32"/>
      <c r="B1740" s="32"/>
      <c r="C1740" s="32"/>
      <c r="D1740" s="32"/>
      <c r="E1740" s="32"/>
      <c r="F1740" s="32"/>
      <c r="G1740" s="32"/>
      <c r="H1740" s="28" t="str">
        <f aca="false">IF(COUNTA(C1740:G1740)=0,"",IF(AND(C1740="Yes",D1740="Yes",E1740="Yes",F1740="Yes",G1740="No"),"Yes","No"))</f>
        <v/>
      </c>
      <c r="I1740" s="32"/>
      <c r="J1740" s="32"/>
    </row>
    <row r="1741" customFormat="false" ht="15" hidden="false" customHeight="false" outlineLevel="0" collapsed="false">
      <c r="A1741" s="32"/>
      <c r="B1741" s="32"/>
      <c r="C1741" s="32"/>
      <c r="D1741" s="32"/>
      <c r="E1741" s="32"/>
      <c r="F1741" s="32"/>
      <c r="G1741" s="32"/>
      <c r="H1741" s="28" t="str">
        <f aca="false">IF(COUNTA(C1741:G1741)=0,"",IF(AND(C1741="Yes",D1741="Yes",E1741="Yes",F1741="Yes",G1741="No"),"Yes","No"))</f>
        <v/>
      </c>
      <c r="I1741" s="32"/>
      <c r="J1741" s="32"/>
    </row>
    <row r="1742" customFormat="false" ht="15" hidden="false" customHeight="false" outlineLevel="0" collapsed="false">
      <c r="A1742" s="32"/>
      <c r="B1742" s="32"/>
      <c r="C1742" s="32"/>
      <c r="D1742" s="32"/>
      <c r="E1742" s="32"/>
      <c r="F1742" s="32"/>
      <c r="G1742" s="32"/>
      <c r="H1742" s="28" t="str">
        <f aca="false">IF(COUNTA(C1742:G1742)=0,"",IF(AND(C1742="Yes",D1742="Yes",E1742="Yes",F1742="Yes",G1742="No"),"Yes","No"))</f>
        <v/>
      </c>
      <c r="I1742" s="32"/>
      <c r="J1742" s="32"/>
    </row>
    <row r="1743" customFormat="false" ht="15" hidden="false" customHeight="false" outlineLevel="0" collapsed="false">
      <c r="A1743" s="32"/>
      <c r="B1743" s="32"/>
      <c r="C1743" s="32"/>
      <c r="D1743" s="32"/>
      <c r="E1743" s="32"/>
      <c r="F1743" s="32"/>
      <c r="G1743" s="32"/>
      <c r="H1743" s="28" t="str">
        <f aca="false">IF(COUNTA(C1743:G1743)=0,"",IF(AND(C1743="Yes",D1743="Yes",E1743="Yes",F1743="Yes",G1743="No"),"Yes","No"))</f>
        <v/>
      </c>
      <c r="I1743" s="32"/>
      <c r="J1743" s="32"/>
    </row>
    <row r="1744" customFormat="false" ht="15" hidden="false" customHeight="false" outlineLevel="0" collapsed="false">
      <c r="A1744" s="32"/>
      <c r="B1744" s="32"/>
      <c r="C1744" s="32"/>
      <c r="D1744" s="32"/>
      <c r="E1744" s="32"/>
      <c r="F1744" s="32"/>
      <c r="G1744" s="32"/>
      <c r="H1744" s="28" t="str">
        <f aca="false">IF(COUNTA(C1744:G1744)=0,"",IF(AND(C1744="Yes",D1744="Yes",E1744="Yes",F1744="Yes",G1744="No"),"Yes","No"))</f>
        <v/>
      </c>
      <c r="I1744" s="32"/>
      <c r="J1744" s="32"/>
    </row>
    <row r="1745" customFormat="false" ht="15" hidden="false" customHeight="false" outlineLevel="0" collapsed="false">
      <c r="A1745" s="32"/>
      <c r="B1745" s="32"/>
      <c r="C1745" s="32"/>
      <c r="D1745" s="32"/>
      <c r="E1745" s="32"/>
      <c r="F1745" s="32"/>
      <c r="G1745" s="32"/>
      <c r="H1745" s="28" t="str">
        <f aca="false">IF(COUNTA(C1745:G1745)=0,"",IF(AND(C1745="Yes",D1745="Yes",E1745="Yes",F1745="Yes",G1745="No"),"Yes","No"))</f>
        <v/>
      </c>
      <c r="I1745" s="32"/>
      <c r="J1745" s="32"/>
    </row>
    <row r="1746" customFormat="false" ht="15" hidden="false" customHeight="false" outlineLevel="0" collapsed="false">
      <c r="A1746" s="32"/>
      <c r="B1746" s="32"/>
      <c r="C1746" s="32"/>
      <c r="D1746" s="32"/>
      <c r="E1746" s="32"/>
      <c r="F1746" s="32"/>
      <c r="G1746" s="32"/>
      <c r="H1746" s="28" t="str">
        <f aca="false">IF(COUNTA(C1746:G1746)=0,"",IF(AND(C1746="Yes",D1746="Yes",E1746="Yes",F1746="Yes",G1746="No"),"Yes","No"))</f>
        <v/>
      </c>
      <c r="I1746" s="32"/>
      <c r="J1746" s="32"/>
    </row>
    <row r="1747" customFormat="false" ht="15" hidden="false" customHeight="false" outlineLevel="0" collapsed="false">
      <c r="A1747" s="32"/>
      <c r="B1747" s="32"/>
      <c r="C1747" s="32"/>
      <c r="D1747" s="32"/>
      <c r="E1747" s="32"/>
      <c r="F1747" s="32"/>
      <c r="G1747" s="32"/>
      <c r="H1747" s="28" t="str">
        <f aca="false">IF(COUNTA(C1747:G1747)=0,"",IF(AND(C1747="Yes",D1747="Yes",E1747="Yes",F1747="Yes",G1747="No"),"Yes","No"))</f>
        <v/>
      </c>
      <c r="I1747" s="32"/>
      <c r="J1747" s="32"/>
    </row>
    <row r="1748" customFormat="false" ht="15" hidden="false" customHeight="false" outlineLevel="0" collapsed="false">
      <c r="A1748" s="32"/>
      <c r="B1748" s="32"/>
      <c r="C1748" s="32"/>
      <c r="D1748" s="32"/>
      <c r="E1748" s="32"/>
      <c r="F1748" s="32"/>
      <c r="G1748" s="32"/>
      <c r="H1748" s="28" t="str">
        <f aca="false">IF(COUNTA(C1748:G1748)=0,"",IF(AND(C1748="Yes",D1748="Yes",E1748="Yes",F1748="Yes",G1748="No"),"Yes","No"))</f>
        <v/>
      </c>
      <c r="I1748" s="32"/>
      <c r="J1748" s="32"/>
    </row>
    <row r="1749" customFormat="false" ht="15" hidden="false" customHeight="false" outlineLevel="0" collapsed="false">
      <c r="A1749" s="32"/>
      <c r="B1749" s="32"/>
      <c r="C1749" s="32"/>
      <c r="D1749" s="32"/>
      <c r="E1749" s="32"/>
      <c r="F1749" s="32"/>
      <c r="G1749" s="32"/>
      <c r="H1749" s="28" t="str">
        <f aca="false">IF(COUNTA(C1749:G1749)=0,"",IF(AND(C1749="Yes",D1749="Yes",E1749="Yes",F1749="Yes",G1749="No"),"Yes","No"))</f>
        <v/>
      </c>
      <c r="I1749" s="32"/>
      <c r="J1749" s="32"/>
    </row>
    <row r="1750" customFormat="false" ht="15" hidden="false" customHeight="false" outlineLevel="0" collapsed="false">
      <c r="A1750" s="32"/>
      <c r="B1750" s="32"/>
      <c r="C1750" s="32"/>
      <c r="D1750" s="32"/>
      <c r="E1750" s="32"/>
      <c r="F1750" s="32"/>
      <c r="G1750" s="32"/>
      <c r="H1750" s="28" t="str">
        <f aca="false">IF(COUNTA(C1750:G1750)=0,"",IF(AND(C1750="Yes",D1750="Yes",E1750="Yes",F1750="Yes",G1750="No"),"Yes","No"))</f>
        <v/>
      </c>
      <c r="I1750" s="32"/>
      <c r="J1750" s="32"/>
    </row>
    <row r="1751" customFormat="false" ht="15" hidden="false" customHeight="false" outlineLevel="0" collapsed="false">
      <c r="A1751" s="32"/>
      <c r="B1751" s="32"/>
      <c r="C1751" s="32"/>
      <c r="D1751" s="32"/>
      <c r="E1751" s="32"/>
      <c r="F1751" s="32"/>
      <c r="G1751" s="32"/>
      <c r="H1751" s="28" t="str">
        <f aca="false">IF(COUNTA(C1751:G1751)=0,"",IF(AND(C1751="Yes",D1751="Yes",E1751="Yes",F1751="Yes",G1751="No"),"Yes","No"))</f>
        <v/>
      </c>
      <c r="I1751" s="32"/>
      <c r="J1751" s="32"/>
    </row>
    <row r="1752" customFormat="false" ht="15" hidden="false" customHeight="false" outlineLevel="0" collapsed="false">
      <c r="A1752" s="32"/>
      <c r="B1752" s="32"/>
      <c r="C1752" s="32"/>
      <c r="D1752" s="32"/>
      <c r="E1752" s="32"/>
      <c r="F1752" s="32"/>
      <c r="G1752" s="32"/>
      <c r="H1752" s="28" t="str">
        <f aca="false">IF(COUNTA(C1752:G1752)=0,"",IF(AND(C1752="Yes",D1752="Yes",E1752="Yes",F1752="Yes",G1752="No"),"Yes","No"))</f>
        <v/>
      </c>
      <c r="I1752" s="32"/>
      <c r="J1752" s="32"/>
    </row>
    <row r="1753" customFormat="false" ht="15" hidden="false" customHeight="false" outlineLevel="0" collapsed="false">
      <c r="A1753" s="32"/>
      <c r="B1753" s="32"/>
      <c r="C1753" s="32"/>
      <c r="D1753" s="32"/>
      <c r="E1753" s="32"/>
      <c r="F1753" s="32"/>
      <c r="G1753" s="32"/>
      <c r="H1753" s="28" t="str">
        <f aca="false">IF(COUNTA(C1753:G1753)=0,"",IF(AND(C1753="Yes",D1753="Yes",E1753="Yes",F1753="Yes",G1753="No"),"Yes","No"))</f>
        <v/>
      </c>
      <c r="I1753" s="32"/>
      <c r="J1753" s="32"/>
    </row>
    <row r="1754" customFormat="false" ht="15" hidden="false" customHeight="false" outlineLevel="0" collapsed="false">
      <c r="A1754" s="32"/>
      <c r="B1754" s="32"/>
      <c r="C1754" s="32"/>
      <c r="D1754" s="32"/>
      <c r="E1754" s="32"/>
      <c r="F1754" s="32"/>
      <c r="G1754" s="32"/>
      <c r="H1754" s="28" t="str">
        <f aca="false">IF(COUNTA(C1754:G1754)=0,"",IF(AND(C1754="Yes",D1754="Yes",E1754="Yes",F1754="Yes",G1754="No"),"Yes","No"))</f>
        <v/>
      </c>
      <c r="I1754" s="32"/>
      <c r="J1754" s="32"/>
    </row>
    <row r="1755" customFormat="false" ht="15" hidden="false" customHeight="false" outlineLevel="0" collapsed="false">
      <c r="A1755" s="32"/>
      <c r="B1755" s="32"/>
      <c r="C1755" s="32"/>
      <c r="D1755" s="32"/>
      <c r="E1755" s="32"/>
      <c r="F1755" s="32"/>
      <c r="G1755" s="32"/>
      <c r="H1755" s="28" t="str">
        <f aca="false">IF(COUNTA(C1755:G1755)=0,"",IF(AND(C1755="Yes",D1755="Yes",E1755="Yes",F1755="Yes",G1755="No"),"Yes","No"))</f>
        <v/>
      </c>
      <c r="I1755" s="32"/>
      <c r="J1755" s="32"/>
    </row>
    <row r="1756" customFormat="false" ht="15" hidden="false" customHeight="false" outlineLevel="0" collapsed="false">
      <c r="A1756" s="32"/>
      <c r="B1756" s="32"/>
      <c r="C1756" s="32"/>
      <c r="D1756" s="32"/>
      <c r="E1756" s="32"/>
      <c r="F1756" s="32"/>
      <c r="G1756" s="32"/>
      <c r="H1756" s="28" t="str">
        <f aca="false">IF(COUNTA(C1756:G1756)=0,"",IF(AND(C1756="Yes",D1756="Yes",E1756="Yes",F1756="Yes",G1756="No"),"Yes","No"))</f>
        <v/>
      </c>
      <c r="I1756" s="32"/>
      <c r="J1756" s="32"/>
    </row>
    <row r="1757" customFormat="false" ht="15" hidden="false" customHeight="false" outlineLevel="0" collapsed="false">
      <c r="A1757" s="32"/>
      <c r="B1757" s="32"/>
      <c r="C1757" s="32"/>
      <c r="D1757" s="32"/>
      <c r="E1757" s="32"/>
      <c r="F1757" s="32"/>
      <c r="G1757" s="32"/>
      <c r="H1757" s="28" t="str">
        <f aca="false">IF(COUNTA(C1757:G1757)=0,"",IF(AND(C1757="Yes",D1757="Yes",E1757="Yes",F1757="Yes",G1757="No"),"Yes","No"))</f>
        <v/>
      </c>
      <c r="I1757" s="32"/>
      <c r="J1757" s="32"/>
    </row>
    <row r="1758" customFormat="false" ht="15" hidden="false" customHeight="false" outlineLevel="0" collapsed="false">
      <c r="A1758" s="32"/>
      <c r="B1758" s="32"/>
      <c r="C1758" s="32"/>
      <c r="D1758" s="32"/>
      <c r="E1758" s="32"/>
      <c r="F1758" s="32"/>
      <c r="G1758" s="32"/>
      <c r="H1758" s="28" t="str">
        <f aca="false">IF(COUNTA(C1758:G1758)=0,"",IF(AND(C1758="Yes",D1758="Yes",E1758="Yes",F1758="Yes",G1758="No"),"Yes","No"))</f>
        <v/>
      </c>
      <c r="I1758" s="32"/>
      <c r="J1758" s="32"/>
    </row>
    <row r="1759" customFormat="false" ht="15" hidden="false" customHeight="false" outlineLevel="0" collapsed="false">
      <c r="A1759" s="32"/>
      <c r="B1759" s="32"/>
      <c r="C1759" s="32"/>
      <c r="D1759" s="32"/>
      <c r="E1759" s="32"/>
      <c r="F1759" s="32"/>
      <c r="G1759" s="32"/>
      <c r="H1759" s="28" t="str">
        <f aca="false">IF(COUNTA(C1759:G1759)=0,"",IF(AND(C1759="Yes",D1759="Yes",E1759="Yes",F1759="Yes",G1759="No"),"Yes","No"))</f>
        <v/>
      </c>
      <c r="I1759" s="32"/>
      <c r="J1759" s="32"/>
    </row>
    <row r="1760" customFormat="false" ht="15" hidden="false" customHeight="false" outlineLevel="0" collapsed="false">
      <c r="A1760" s="32"/>
      <c r="B1760" s="32"/>
      <c r="C1760" s="32"/>
      <c r="D1760" s="32"/>
      <c r="E1760" s="32"/>
      <c r="F1760" s="32"/>
      <c r="G1760" s="32"/>
      <c r="H1760" s="28" t="str">
        <f aca="false">IF(COUNTA(C1760:G1760)=0,"",IF(AND(C1760="Yes",D1760="Yes",E1760="Yes",F1760="Yes",G1760="No"),"Yes","No"))</f>
        <v/>
      </c>
      <c r="I1760" s="32"/>
      <c r="J1760" s="32"/>
    </row>
    <row r="1761" customFormat="false" ht="15" hidden="false" customHeight="false" outlineLevel="0" collapsed="false">
      <c r="A1761" s="32"/>
      <c r="B1761" s="32"/>
      <c r="C1761" s="32"/>
      <c r="D1761" s="32"/>
      <c r="E1761" s="32"/>
      <c r="F1761" s="32"/>
      <c r="G1761" s="32"/>
      <c r="H1761" s="28" t="str">
        <f aca="false">IF(COUNTA(C1761:G1761)=0,"",IF(AND(C1761="Yes",D1761="Yes",E1761="Yes",F1761="Yes",G1761="No"),"Yes","No"))</f>
        <v/>
      </c>
      <c r="I1761" s="32"/>
      <c r="J1761" s="32"/>
    </row>
    <row r="1762" customFormat="false" ht="15" hidden="false" customHeight="false" outlineLevel="0" collapsed="false">
      <c r="A1762" s="32"/>
      <c r="B1762" s="32"/>
      <c r="C1762" s="32"/>
      <c r="D1762" s="32"/>
      <c r="E1762" s="32"/>
      <c r="F1762" s="32"/>
      <c r="G1762" s="32"/>
      <c r="H1762" s="28" t="str">
        <f aca="false">IF(COUNTA(C1762:G1762)=0,"",IF(AND(C1762="Yes",D1762="Yes",E1762="Yes",F1762="Yes",G1762="No"),"Yes","No"))</f>
        <v/>
      </c>
      <c r="I1762" s="32"/>
      <c r="J1762" s="32"/>
    </row>
    <row r="1763" customFormat="false" ht="15" hidden="false" customHeight="false" outlineLevel="0" collapsed="false">
      <c r="A1763" s="32"/>
      <c r="B1763" s="32"/>
      <c r="C1763" s="32"/>
      <c r="D1763" s="32"/>
      <c r="E1763" s="32"/>
      <c r="F1763" s="32"/>
      <c r="G1763" s="32"/>
      <c r="H1763" s="28" t="str">
        <f aca="false">IF(COUNTA(C1763:G1763)=0,"",IF(AND(C1763="Yes",D1763="Yes",E1763="Yes",F1763="Yes",G1763="No"),"Yes","No"))</f>
        <v/>
      </c>
      <c r="I1763" s="32"/>
      <c r="J1763" s="32"/>
    </row>
    <row r="1764" customFormat="false" ht="15" hidden="false" customHeight="false" outlineLevel="0" collapsed="false">
      <c r="A1764" s="32"/>
      <c r="B1764" s="32"/>
      <c r="C1764" s="32"/>
      <c r="D1764" s="32"/>
      <c r="E1764" s="32"/>
      <c r="F1764" s="32"/>
      <c r="G1764" s="32"/>
      <c r="H1764" s="28" t="str">
        <f aca="false">IF(COUNTA(C1764:G1764)=0,"",IF(AND(C1764="Yes",D1764="Yes",E1764="Yes",F1764="Yes",G1764="No"),"Yes","No"))</f>
        <v/>
      </c>
      <c r="I1764" s="32"/>
      <c r="J1764" s="32"/>
    </row>
    <row r="1765" customFormat="false" ht="15" hidden="false" customHeight="false" outlineLevel="0" collapsed="false">
      <c r="A1765" s="32"/>
      <c r="B1765" s="32"/>
      <c r="C1765" s="32"/>
      <c r="D1765" s="32"/>
      <c r="E1765" s="32"/>
      <c r="F1765" s="32"/>
      <c r="G1765" s="32"/>
      <c r="H1765" s="28" t="str">
        <f aca="false">IF(COUNTA(C1765:G1765)=0,"",IF(AND(C1765="Yes",D1765="Yes",E1765="Yes",F1765="Yes",G1765="No"),"Yes","No"))</f>
        <v/>
      </c>
      <c r="I1765" s="32"/>
      <c r="J1765" s="32"/>
    </row>
    <row r="1766" customFormat="false" ht="15" hidden="false" customHeight="false" outlineLevel="0" collapsed="false">
      <c r="A1766" s="32"/>
      <c r="B1766" s="32"/>
      <c r="C1766" s="32"/>
      <c r="D1766" s="32"/>
      <c r="E1766" s="32"/>
      <c r="F1766" s="32"/>
      <c r="G1766" s="32"/>
      <c r="H1766" s="28" t="str">
        <f aca="false">IF(COUNTA(C1766:G1766)=0,"",IF(AND(C1766="Yes",D1766="Yes",E1766="Yes",F1766="Yes",G1766="No"),"Yes","No"))</f>
        <v/>
      </c>
      <c r="I1766" s="32"/>
      <c r="J1766" s="32"/>
    </row>
    <row r="1767" customFormat="false" ht="15" hidden="false" customHeight="false" outlineLevel="0" collapsed="false">
      <c r="A1767" s="32"/>
      <c r="B1767" s="32"/>
      <c r="C1767" s="32"/>
      <c r="D1767" s="32"/>
      <c r="E1767" s="32"/>
      <c r="F1767" s="32"/>
      <c r="G1767" s="32"/>
      <c r="H1767" s="28" t="str">
        <f aca="false">IF(COUNTA(C1767:G1767)=0,"",IF(AND(C1767="Yes",D1767="Yes",E1767="Yes",F1767="Yes",G1767="No"),"Yes","No"))</f>
        <v/>
      </c>
      <c r="I1767" s="32"/>
      <c r="J1767" s="32"/>
    </row>
    <row r="1768" customFormat="false" ht="15" hidden="false" customHeight="false" outlineLevel="0" collapsed="false">
      <c r="A1768" s="32"/>
      <c r="B1768" s="32"/>
      <c r="C1768" s="32"/>
      <c r="D1768" s="32"/>
      <c r="E1768" s="32"/>
      <c r="F1768" s="32"/>
      <c r="G1768" s="32"/>
      <c r="H1768" s="28" t="str">
        <f aca="false">IF(COUNTA(C1768:G1768)=0,"",IF(AND(C1768="Yes",D1768="Yes",E1768="Yes",F1768="Yes",G1768="No"),"Yes","No"))</f>
        <v/>
      </c>
      <c r="I1768" s="32"/>
      <c r="J1768" s="32"/>
    </row>
    <row r="1769" customFormat="false" ht="15" hidden="false" customHeight="false" outlineLevel="0" collapsed="false">
      <c r="A1769" s="32"/>
      <c r="B1769" s="32"/>
      <c r="C1769" s="32"/>
      <c r="D1769" s="32"/>
      <c r="E1769" s="32"/>
      <c r="F1769" s="32"/>
      <c r="G1769" s="32"/>
      <c r="H1769" s="28" t="str">
        <f aca="false">IF(COUNTA(C1769:G1769)=0,"",IF(AND(C1769="Yes",D1769="Yes",E1769="Yes",F1769="Yes",G1769="No"),"Yes","No"))</f>
        <v/>
      </c>
      <c r="I1769" s="32"/>
      <c r="J1769" s="32"/>
    </row>
    <row r="1770" customFormat="false" ht="15" hidden="false" customHeight="false" outlineLevel="0" collapsed="false">
      <c r="A1770" s="32"/>
      <c r="B1770" s="32"/>
      <c r="C1770" s="32"/>
      <c r="D1770" s="32"/>
      <c r="E1770" s="32"/>
      <c r="F1770" s="32"/>
      <c r="G1770" s="32"/>
      <c r="H1770" s="28" t="str">
        <f aca="false">IF(COUNTA(C1770:G1770)=0,"",IF(AND(C1770="Yes",D1770="Yes",E1770="Yes",F1770="Yes",G1770="No"),"Yes","No"))</f>
        <v/>
      </c>
      <c r="I1770" s="32"/>
      <c r="J1770" s="32"/>
    </row>
    <row r="1771" customFormat="false" ht="15" hidden="false" customHeight="false" outlineLevel="0" collapsed="false">
      <c r="A1771" s="32"/>
      <c r="B1771" s="32"/>
      <c r="C1771" s="32"/>
      <c r="D1771" s="32"/>
      <c r="E1771" s="32"/>
      <c r="F1771" s="32"/>
      <c r="G1771" s="32"/>
      <c r="H1771" s="28" t="str">
        <f aca="false">IF(COUNTA(C1771:G1771)=0,"",IF(AND(C1771="Yes",D1771="Yes",E1771="Yes",F1771="Yes",G1771="No"),"Yes","No"))</f>
        <v/>
      </c>
      <c r="I1771" s="32"/>
      <c r="J1771" s="32"/>
    </row>
    <row r="1772" customFormat="false" ht="15" hidden="false" customHeight="false" outlineLevel="0" collapsed="false">
      <c r="A1772" s="32"/>
      <c r="B1772" s="32"/>
      <c r="C1772" s="32"/>
      <c r="D1772" s="32"/>
      <c r="E1772" s="32"/>
      <c r="F1772" s="32"/>
      <c r="G1772" s="32"/>
      <c r="H1772" s="28" t="str">
        <f aca="false">IF(COUNTA(C1772:G1772)=0,"",IF(AND(C1772="Yes",D1772="Yes",E1772="Yes",F1772="Yes",G1772="No"),"Yes","No"))</f>
        <v/>
      </c>
      <c r="I1772" s="32"/>
      <c r="J1772" s="32"/>
    </row>
    <row r="1773" customFormat="false" ht="15" hidden="false" customHeight="false" outlineLevel="0" collapsed="false">
      <c r="A1773" s="32"/>
      <c r="B1773" s="32"/>
      <c r="C1773" s="32"/>
      <c r="D1773" s="32"/>
      <c r="E1773" s="32"/>
      <c r="F1773" s="32"/>
      <c r="G1773" s="32"/>
      <c r="H1773" s="28" t="str">
        <f aca="false">IF(COUNTA(C1773:G1773)=0,"",IF(AND(C1773="Yes",D1773="Yes",E1773="Yes",F1773="Yes",G1773="No"),"Yes","No"))</f>
        <v/>
      </c>
      <c r="I1773" s="32"/>
      <c r="J1773" s="32"/>
    </row>
    <row r="1774" customFormat="false" ht="15" hidden="false" customHeight="false" outlineLevel="0" collapsed="false">
      <c r="A1774" s="32"/>
      <c r="B1774" s="32"/>
      <c r="C1774" s="32"/>
      <c r="D1774" s="32"/>
      <c r="E1774" s="32"/>
      <c r="F1774" s="32"/>
      <c r="G1774" s="32"/>
      <c r="H1774" s="28" t="str">
        <f aca="false">IF(COUNTA(C1774:G1774)=0,"",IF(AND(C1774="Yes",D1774="Yes",E1774="Yes",F1774="Yes",G1774="No"),"Yes","No"))</f>
        <v/>
      </c>
      <c r="I1774" s="32"/>
      <c r="J1774" s="32"/>
    </row>
    <row r="1775" customFormat="false" ht="15" hidden="false" customHeight="false" outlineLevel="0" collapsed="false">
      <c r="A1775" s="32"/>
      <c r="B1775" s="32"/>
      <c r="C1775" s="32"/>
      <c r="D1775" s="32"/>
      <c r="E1775" s="32"/>
      <c r="F1775" s="32"/>
      <c r="G1775" s="32"/>
      <c r="H1775" s="28" t="str">
        <f aca="false">IF(COUNTA(C1775:G1775)=0,"",IF(AND(C1775="Yes",D1775="Yes",E1775="Yes",F1775="Yes",G1775="No"),"Yes","No"))</f>
        <v/>
      </c>
      <c r="I1775" s="32"/>
      <c r="J1775" s="32"/>
    </row>
    <row r="1776" customFormat="false" ht="15" hidden="false" customHeight="false" outlineLevel="0" collapsed="false">
      <c r="A1776" s="32"/>
      <c r="B1776" s="32"/>
      <c r="C1776" s="32"/>
      <c r="D1776" s="32"/>
      <c r="E1776" s="32"/>
      <c r="F1776" s="32"/>
      <c r="G1776" s="32"/>
      <c r="H1776" s="28" t="str">
        <f aca="false">IF(COUNTA(C1776:G1776)=0,"",IF(AND(C1776="Yes",D1776="Yes",E1776="Yes",F1776="Yes",G1776="No"),"Yes","No"))</f>
        <v/>
      </c>
      <c r="I1776" s="32"/>
      <c r="J1776" s="32"/>
    </row>
    <row r="1777" customFormat="false" ht="15" hidden="false" customHeight="false" outlineLevel="0" collapsed="false">
      <c r="A1777" s="32"/>
      <c r="B1777" s="32"/>
      <c r="C1777" s="32"/>
      <c r="D1777" s="32"/>
      <c r="E1777" s="32"/>
      <c r="F1777" s="32"/>
      <c r="G1777" s="32"/>
      <c r="H1777" s="28" t="str">
        <f aca="false">IF(COUNTA(C1777:G1777)=0,"",IF(AND(C1777="Yes",D1777="Yes",E1777="Yes",F1777="Yes",G1777="No"),"Yes","No"))</f>
        <v/>
      </c>
      <c r="I1777" s="32"/>
      <c r="J1777" s="32"/>
    </row>
    <row r="1778" customFormat="false" ht="15" hidden="false" customHeight="false" outlineLevel="0" collapsed="false">
      <c r="A1778" s="32"/>
      <c r="B1778" s="32"/>
      <c r="C1778" s="32"/>
      <c r="D1778" s="32"/>
      <c r="E1778" s="32"/>
      <c r="F1778" s="32"/>
      <c r="G1778" s="32"/>
      <c r="H1778" s="28" t="str">
        <f aca="false">IF(COUNTA(C1778:G1778)=0,"",IF(AND(C1778="Yes",D1778="Yes",E1778="Yes",F1778="Yes",G1778="No"),"Yes","No"))</f>
        <v/>
      </c>
      <c r="I1778" s="32"/>
      <c r="J1778" s="32"/>
    </row>
    <row r="1779" customFormat="false" ht="15" hidden="false" customHeight="false" outlineLevel="0" collapsed="false">
      <c r="A1779" s="32"/>
      <c r="B1779" s="32"/>
      <c r="C1779" s="32"/>
      <c r="D1779" s="32"/>
      <c r="E1779" s="32"/>
      <c r="F1779" s="32"/>
      <c r="G1779" s="32"/>
      <c r="H1779" s="28" t="str">
        <f aca="false">IF(COUNTA(C1779:G1779)=0,"",IF(AND(C1779="Yes",D1779="Yes",E1779="Yes",F1779="Yes",G1779="No"),"Yes","No"))</f>
        <v/>
      </c>
      <c r="I1779" s="32"/>
      <c r="J1779" s="32"/>
    </row>
    <row r="1780" customFormat="false" ht="15" hidden="false" customHeight="false" outlineLevel="0" collapsed="false">
      <c r="A1780" s="32"/>
      <c r="B1780" s="32"/>
      <c r="C1780" s="32"/>
      <c r="D1780" s="32"/>
      <c r="E1780" s="32"/>
      <c r="F1780" s="32"/>
      <c r="G1780" s="32"/>
      <c r="H1780" s="28" t="str">
        <f aca="false">IF(COUNTA(C1780:G1780)=0,"",IF(AND(C1780="Yes",D1780="Yes",E1780="Yes",F1780="Yes",G1780="No"),"Yes","No"))</f>
        <v/>
      </c>
      <c r="I1780" s="32"/>
      <c r="J1780" s="32"/>
    </row>
    <row r="1781" customFormat="false" ht="15" hidden="false" customHeight="false" outlineLevel="0" collapsed="false">
      <c r="A1781" s="32"/>
      <c r="B1781" s="32"/>
      <c r="C1781" s="32"/>
      <c r="D1781" s="32"/>
      <c r="E1781" s="32"/>
      <c r="F1781" s="32"/>
      <c r="G1781" s="32"/>
      <c r="H1781" s="28" t="str">
        <f aca="false">IF(COUNTA(C1781:G1781)=0,"",IF(AND(C1781="Yes",D1781="Yes",E1781="Yes",F1781="Yes",G1781="No"),"Yes","No"))</f>
        <v/>
      </c>
      <c r="I1781" s="32"/>
      <c r="J1781" s="32"/>
    </row>
    <row r="1782" customFormat="false" ht="15" hidden="false" customHeight="false" outlineLevel="0" collapsed="false">
      <c r="A1782" s="32"/>
      <c r="B1782" s="32"/>
      <c r="C1782" s="32"/>
      <c r="D1782" s="32"/>
      <c r="E1782" s="32"/>
      <c r="F1782" s="32"/>
      <c r="G1782" s="32"/>
      <c r="H1782" s="28" t="str">
        <f aca="false">IF(COUNTA(C1782:G1782)=0,"",IF(AND(C1782="Yes",D1782="Yes",E1782="Yes",F1782="Yes",G1782="No"),"Yes","No"))</f>
        <v/>
      </c>
      <c r="I1782" s="32"/>
      <c r="J1782" s="32"/>
    </row>
    <row r="1783" customFormat="false" ht="15" hidden="false" customHeight="false" outlineLevel="0" collapsed="false">
      <c r="A1783" s="32"/>
      <c r="B1783" s="32"/>
      <c r="C1783" s="32"/>
      <c r="D1783" s="32"/>
      <c r="E1783" s="32"/>
      <c r="F1783" s="32"/>
      <c r="G1783" s="32"/>
      <c r="H1783" s="28" t="str">
        <f aca="false">IF(COUNTA(C1783:G1783)=0,"",IF(AND(C1783="Yes",D1783="Yes",E1783="Yes",F1783="Yes",G1783="No"),"Yes","No"))</f>
        <v/>
      </c>
      <c r="I1783" s="32"/>
      <c r="J1783" s="32"/>
    </row>
    <row r="1784" customFormat="false" ht="15" hidden="false" customHeight="false" outlineLevel="0" collapsed="false">
      <c r="A1784" s="32"/>
      <c r="B1784" s="32"/>
      <c r="C1784" s="32"/>
      <c r="D1784" s="32"/>
      <c r="E1784" s="32"/>
      <c r="F1784" s="32"/>
      <c r="G1784" s="32"/>
      <c r="H1784" s="28" t="str">
        <f aca="false">IF(COUNTA(C1784:G1784)=0,"",IF(AND(C1784="Yes",D1784="Yes",E1784="Yes",F1784="Yes",G1784="No"),"Yes","No"))</f>
        <v/>
      </c>
      <c r="I1784" s="32"/>
      <c r="J1784" s="32"/>
    </row>
    <row r="1785" customFormat="false" ht="15" hidden="false" customHeight="false" outlineLevel="0" collapsed="false">
      <c r="A1785" s="32"/>
      <c r="B1785" s="32"/>
      <c r="C1785" s="32"/>
      <c r="D1785" s="32"/>
      <c r="E1785" s="32"/>
      <c r="F1785" s="32"/>
      <c r="G1785" s="32"/>
      <c r="H1785" s="28" t="str">
        <f aca="false">IF(COUNTA(C1785:G1785)=0,"",IF(AND(C1785="Yes",D1785="Yes",E1785="Yes",F1785="Yes",G1785="No"),"Yes","No"))</f>
        <v/>
      </c>
      <c r="I1785" s="32"/>
      <c r="J1785" s="32"/>
    </row>
    <row r="1786" customFormat="false" ht="15" hidden="false" customHeight="false" outlineLevel="0" collapsed="false">
      <c r="A1786" s="32"/>
      <c r="B1786" s="32"/>
      <c r="C1786" s="32"/>
      <c r="D1786" s="32"/>
      <c r="E1786" s="32"/>
      <c r="F1786" s="32"/>
      <c r="G1786" s="32"/>
      <c r="H1786" s="28" t="str">
        <f aca="false">IF(COUNTA(C1786:G1786)=0,"",IF(AND(C1786="Yes",D1786="Yes",E1786="Yes",F1786="Yes",G1786="No"),"Yes","No"))</f>
        <v/>
      </c>
      <c r="I1786" s="32"/>
      <c r="J1786" s="32"/>
    </row>
    <row r="1787" customFormat="false" ht="15" hidden="false" customHeight="false" outlineLevel="0" collapsed="false">
      <c r="A1787" s="32"/>
      <c r="B1787" s="32"/>
      <c r="C1787" s="32"/>
      <c r="D1787" s="32"/>
      <c r="E1787" s="32"/>
      <c r="F1787" s="32"/>
      <c r="G1787" s="32"/>
      <c r="H1787" s="28" t="str">
        <f aca="false">IF(COUNTA(C1787:G1787)=0,"",IF(AND(C1787="Yes",D1787="Yes",E1787="Yes",F1787="Yes",G1787="No"),"Yes","No"))</f>
        <v/>
      </c>
      <c r="I1787" s="32"/>
      <c r="J1787" s="32"/>
    </row>
    <row r="1788" customFormat="false" ht="15" hidden="false" customHeight="false" outlineLevel="0" collapsed="false">
      <c r="A1788" s="32"/>
      <c r="B1788" s="32"/>
      <c r="C1788" s="32"/>
      <c r="D1788" s="32"/>
      <c r="E1788" s="32"/>
      <c r="F1788" s="32"/>
      <c r="G1788" s="32"/>
      <c r="H1788" s="28" t="str">
        <f aca="false">IF(COUNTA(C1788:G1788)=0,"",IF(AND(C1788="Yes",D1788="Yes",E1788="Yes",F1788="Yes",G1788="No"),"Yes","No"))</f>
        <v/>
      </c>
      <c r="I1788" s="32"/>
      <c r="J1788" s="32"/>
    </row>
    <row r="1789" customFormat="false" ht="15" hidden="false" customHeight="false" outlineLevel="0" collapsed="false">
      <c r="A1789" s="32"/>
      <c r="B1789" s="32"/>
      <c r="C1789" s="32"/>
      <c r="D1789" s="32"/>
      <c r="E1789" s="32"/>
      <c r="F1789" s="32"/>
      <c r="G1789" s="32"/>
      <c r="H1789" s="28" t="str">
        <f aca="false">IF(COUNTA(C1789:G1789)=0,"",IF(AND(C1789="Yes",D1789="Yes",E1789="Yes",F1789="Yes",G1789="No"),"Yes","No"))</f>
        <v/>
      </c>
      <c r="I1789" s="32"/>
      <c r="J1789" s="32"/>
    </row>
    <row r="1790" customFormat="false" ht="15" hidden="false" customHeight="false" outlineLevel="0" collapsed="false">
      <c r="A1790" s="32"/>
      <c r="B1790" s="32"/>
      <c r="C1790" s="32"/>
      <c r="D1790" s="32"/>
      <c r="E1790" s="32"/>
      <c r="F1790" s="32"/>
      <c r="G1790" s="32"/>
      <c r="H1790" s="28" t="str">
        <f aca="false">IF(COUNTA(C1790:G1790)=0,"",IF(AND(C1790="Yes",D1790="Yes",E1790="Yes",F1790="Yes",G1790="No"),"Yes","No"))</f>
        <v/>
      </c>
      <c r="I1790" s="32"/>
      <c r="J1790" s="32"/>
    </row>
    <row r="1791" customFormat="false" ht="15" hidden="false" customHeight="false" outlineLevel="0" collapsed="false">
      <c r="A1791" s="32"/>
      <c r="B1791" s="32"/>
      <c r="C1791" s="32"/>
      <c r="D1791" s="32"/>
      <c r="E1791" s="32"/>
      <c r="F1791" s="32"/>
      <c r="G1791" s="32"/>
      <c r="H1791" s="28" t="str">
        <f aca="false">IF(COUNTA(C1791:G1791)=0,"",IF(AND(C1791="Yes",D1791="Yes",E1791="Yes",F1791="Yes",G1791="No"),"Yes","No"))</f>
        <v/>
      </c>
      <c r="I1791" s="32"/>
      <c r="J1791" s="32"/>
    </row>
    <row r="1792" customFormat="false" ht="15" hidden="false" customHeight="false" outlineLevel="0" collapsed="false">
      <c r="A1792" s="32"/>
      <c r="B1792" s="32"/>
      <c r="C1792" s="32"/>
      <c r="D1792" s="32"/>
      <c r="E1792" s="32"/>
      <c r="F1792" s="32"/>
      <c r="G1792" s="32"/>
      <c r="H1792" s="28" t="str">
        <f aca="false">IF(COUNTA(C1792:G1792)=0,"",IF(AND(C1792="Yes",D1792="Yes",E1792="Yes",F1792="Yes",G1792="No"),"Yes","No"))</f>
        <v/>
      </c>
      <c r="I1792" s="32"/>
      <c r="J1792" s="32"/>
    </row>
    <row r="1793" customFormat="false" ht="15" hidden="false" customHeight="false" outlineLevel="0" collapsed="false">
      <c r="A1793" s="32"/>
      <c r="B1793" s="32"/>
      <c r="C1793" s="32"/>
      <c r="D1793" s="32"/>
      <c r="E1793" s="32"/>
      <c r="F1793" s="32"/>
      <c r="G1793" s="32"/>
      <c r="H1793" s="28" t="str">
        <f aca="false">IF(COUNTA(C1793:G1793)=0,"",IF(AND(C1793="Yes",D1793="Yes",E1793="Yes",F1793="Yes",G1793="No"),"Yes","No"))</f>
        <v/>
      </c>
      <c r="I1793" s="32"/>
      <c r="J1793" s="32"/>
    </row>
    <row r="1794" customFormat="false" ht="15" hidden="false" customHeight="false" outlineLevel="0" collapsed="false">
      <c r="A1794" s="32"/>
      <c r="B1794" s="32"/>
      <c r="C1794" s="32"/>
      <c r="D1794" s="32"/>
      <c r="E1794" s="32"/>
      <c r="F1794" s="32"/>
      <c r="G1794" s="32"/>
      <c r="H1794" s="28" t="str">
        <f aca="false">IF(COUNTA(C1794:G1794)=0,"",IF(AND(C1794="Yes",D1794="Yes",E1794="Yes",F1794="Yes",G1794="No"),"Yes","No"))</f>
        <v/>
      </c>
      <c r="I1794" s="32"/>
      <c r="J1794" s="32"/>
    </row>
    <row r="1795" customFormat="false" ht="15" hidden="false" customHeight="false" outlineLevel="0" collapsed="false">
      <c r="A1795" s="32"/>
      <c r="B1795" s="32"/>
      <c r="C1795" s="32"/>
      <c r="D1795" s="32"/>
      <c r="E1795" s="32"/>
      <c r="F1795" s="32"/>
      <c r="G1795" s="32"/>
      <c r="H1795" s="28" t="str">
        <f aca="false">IF(COUNTA(C1795:G1795)=0,"",IF(AND(C1795="Yes",D1795="Yes",E1795="Yes",F1795="Yes",G1795="No"),"Yes","No"))</f>
        <v/>
      </c>
      <c r="I1795" s="32"/>
      <c r="J1795" s="32"/>
    </row>
    <row r="1796" customFormat="false" ht="15" hidden="false" customHeight="false" outlineLevel="0" collapsed="false">
      <c r="A1796" s="32"/>
      <c r="B1796" s="32"/>
      <c r="C1796" s="32"/>
      <c r="D1796" s="32"/>
      <c r="E1796" s="32"/>
      <c r="F1796" s="32"/>
      <c r="G1796" s="32"/>
      <c r="H1796" s="28" t="str">
        <f aca="false">IF(COUNTA(C1796:G1796)=0,"",IF(AND(C1796="Yes",D1796="Yes",E1796="Yes",F1796="Yes",G1796="No"),"Yes","No"))</f>
        <v/>
      </c>
      <c r="I1796" s="32"/>
      <c r="J1796" s="32"/>
    </row>
    <row r="1797" customFormat="false" ht="15" hidden="false" customHeight="false" outlineLevel="0" collapsed="false">
      <c r="A1797" s="32"/>
      <c r="B1797" s="32"/>
      <c r="C1797" s="32"/>
      <c r="D1797" s="32"/>
      <c r="E1797" s="32"/>
      <c r="F1797" s="32"/>
      <c r="G1797" s="32"/>
      <c r="H1797" s="28" t="str">
        <f aca="false">IF(COUNTA(C1797:G1797)=0,"",IF(AND(C1797="Yes",D1797="Yes",E1797="Yes",F1797="Yes",G1797="No"),"Yes","No"))</f>
        <v/>
      </c>
      <c r="I1797" s="32"/>
      <c r="J1797" s="32"/>
    </row>
    <row r="1798" customFormat="false" ht="15" hidden="false" customHeight="false" outlineLevel="0" collapsed="false">
      <c r="A1798" s="32"/>
      <c r="B1798" s="32"/>
      <c r="C1798" s="32"/>
      <c r="D1798" s="32"/>
      <c r="E1798" s="32"/>
      <c r="F1798" s="32"/>
      <c r="G1798" s="32"/>
      <c r="H1798" s="28" t="str">
        <f aca="false">IF(COUNTA(C1798:G1798)=0,"",IF(AND(C1798="Yes",D1798="Yes",E1798="Yes",F1798="Yes",G1798="No"),"Yes","No"))</f>
        <v/>
      </c>
      <c r="I1798" s="32"/>
      <c r="J1798" s="32"/>
    </row>
    <row r="1799" customFormat="false" ht="15" hidden="false" customHeight="false" outlineLevel="0" collapsed="false">
      <c r="A1799" s="32"/>
      <c r="B1799" s="32"/>
      <c r="C1799" s="32"/>
      <c r="D1799" s="32"/>
      <c r="E1799" s="32"/>
      <c r="F1799" s="32"/>
      <c r="G1799" s="32"/>
      <c r="H1799" s="28" t="str">
        <f aca="false">IF(COUNTA(C1799:G1799)=0,"",IF(AND(C1799="Yes",D1799="Yes",E1799="Yes",F1799="Yes",G1799="No"),"Yes","No"))</f>
        <v/>
      </c>
      <c r="I1799" s="32"/>
      <c r="J1799" s="32"/>
    </row>
    <row r="1800" customFormat="false" ht="15" hidden="false" customHeight="false" outlineLevel="0" collapsed="false">
      <c r="A1800" s="32"/>
      <c r="B1800" s="32"/>
      <c r="C1800" s="32"/>
      <c r="D1800" s="32"/>
      <c r="E1800" s="32"/>
      <c r="F1800" s="32"/>
      <c r="G1800" s="32"/>
      <c r="H1800" s="28" t="str">
        <f aca="false">IF(COUNTA(C1800:G1800)=0,"",IF(AND(C1800="Yes",D1800="Yes",E1800="Yes",F1800="Yes",G1800="No"),"Yes","No"))</f>
        <v/>
      </c>
      <c r="I1800" s="32"/>
      <c r="J1800" s="32"/>
    </row>
    <row r="1801" customFormat="false" ht="15" hidden="false" customHeight="false" outlineLevel="0" collapsed="false">
      <c r="A1801" s="32"/>
      <c r="B1801" s="32"/>
      <c r="C1801" s="32"/>
      <c r="D1801" s="32"/>
      <c r="E1801" s="32"/>
      <c r="F1801" s="32"/>
      <c r="G1801" s="32"/>
      <c r="H1801" s="28" t="str">
        <f aca="false">IF(COUNTA(C1801:G1801)=0,"",IF(AND(C1801="Yes",D1801="Yes",E1801="Yes",F1801="Yes",G1801="No"),"Yes","No"))</f>
        <v/>
      </c>
      <c r="I1801" s="32"/>
      <c r="J1801" s="32"/>
    </row>
    <row r="1802" customFormat="false" ht="15" hidden="false" customHeight="false" outlineLevel="0" collapsed="false">
      <c r="A1802" s="32"/>
      <c r="B1802" s="32"/>
      <c r="C1802" s="32"/>
      <c r="D1802" s="32"/>
      <c r="E1802" s="32"/>
      <c r="F1802" s="32"/>
      <c r="G1802" s="32"/>
      <c r="H1802" s="28" t="str">
        <f aca="false">IF(COUNTA(C1802:G1802)=0,"",IF(AND(C1802="Yes",D1802="Yes",E1802="Yes",F1802="Yes",G1802="No"),"Yes","No"))</f>
        <v/>
      </c>
      <c r="I1802" s="32"/>
      <c r="J1802" s="32"/>
    </row>
    <row r="1803" customFormat="false" ht="15" hidden="false" customHeight="false" outlineLevel="0" collapsed="false">
      <c r="A1803" s="32"/>
      <c r="B1803" s="32"/>
      <c r="C1803" s="32"/>
      <c r="D1803" s="32"/>
      <c r="E1803" s="32"/>
      <c r="F1803" s="32"/>
      <c r="G1803" s="32"/>
      <c r="H1803" s="28" t="str">
        <f aca="false">IF(COUNTA(C1803:G1803)=0,"",IF(AND(C1803="Yes",D1803="Yes",E1803="Yes",F1803="Yes",G1803="No"),"Yes","No"))</f>
        <v/>
      </c>
      <c r="I1803" s="32"/>
      <c r="J1803" s="32"/>
    </row>
    <row r="1804" customFormat="false" ht="15" hidden="false" customHeight="false" outlineLevel="0" collapsed="false">
      <c r="A1804" s="32"/>
      <c r="B1804" s="32"/>
      <c r="C1804" s="32"/>
      <c r="D1804" s="32"/>
      <c r="E1804" s="32"/>
      <c r="F1804" s="32"/>
      <c r="G1804" s="32"/>
      <c r="H1804" s="28" t="str">
        <f aca="false">IF(COUNTA(C1804:G1804)=0,"",IF(AND(C1804="Yes",D1804="Yes",E1804="Yes",F1804="Yes",G1804="No"),"Yes","No"))</f>
        <v/>
      </c>
      <c r="I1804" s="32"/>
      <c r="J1804" s="32"/>
    </row>
    <row r="1805" customFormat="false" ht="15" hidden="false" customHeight="false" outlineLevel="0" collapsed="false">
      <c r="A1805" s="32"/>
      <c r="B1805" s="32"/>
      <c r="C1805" s="32"/>
      <c r="D1805" s="32"/>
      <c r="E1805" s="32"/>
      <c r="F1805" s="32"/>
      <c r="G1805" s="32"/>
      <c r="H1805" s="28" t="str">
        <f aca="false">IF(COUNTA(C1805:G1805)=0,"",IF(AND(C1805="Yes",D1805="Yes",E1805="Yes",F1805="Yes",G1805="No"),"Yes","No"))</f>
        <v/>
      </c>
      <c r="I1805" s="32"/>
      <c r="J1805" s="32"/>
    </row>
    <row r="1806" customFormat="false" ht="15" hidden="false" customHeight="false" outlineLevel="0" collapsed="false">
      <c r="A1806" s="32"/>
      <c r="B1806" s="32"/>
      <c r="C1806" s="32"/>
      <c r="D1806" s="32"/>
      <c r="E1806" s="32"/>
      <c r="F1806" s="32"/>
      <c r="G1806" s="32"/>
      <c r="H1806" s="28" t="str">
        <f aca="false">IF(COUNTA(C1806:G1806)=0,"",IF(AND(C1806="Yes",D1806="Yes",E1806="Yes",F1806="Yes",G1806="No"),"Yes","No"))</f>
        <v/>
      </c>
      <c r="I1806" s="32"/>
      <c r="J1806" s="32"/>
    </row>
    <row r="1807" customFormat="false" ht="15" hidden="false" customHeight="false" outlineLevel="0" collapsed="false">
      <c r="A1807" s="32"/>
      <c r="B1807" s="32"/>
      <c r="C1807" s="32"/>
      <c r="D1807" s="32"/>
      <c r="E1807" s="32"/>
      <c r="F1807" s="32"/>
      <c r="G1807" s="32"/>
      <c r="H1807" s="28" t="str">
        <f aca="false">IF(COUNTA(C1807:G1807)=0,"",IF(AND(C1807="Yes",D1807="Yes",E1807="Yes",F1807="Yes",G1807="No"),"Yes","No"))</f>
        <v/>
      </c>
      <c r="I1807" s="32"/>
      <c r="J1807" s="32"/>
    </row>
    <row r="1808" customFormat="false" ht="15" hidden="false" customHeight="false" outlineLevel="0" collapsed="false">
      <c r="A1808" s="32"/>
      <c r="B1808" s="32"/>
      <c r="C1808" s="32"/>
      <c r="D1808" s="32"/>
      <c r="E1808" s="32"/>
      <c r="F1808" s="32"/>
      <c r="G1808" s="32"/>
      <c r="H1808" s="28" t="str">
        <f aca="false">IF(COUNTA(C1808:G1808)=0,"",IF(AND(C1808="Yes",D1808="Yes",E1808="Yes",F1808="Yes",G1808="No"),"Yes","No"))</f>
        <v/>
      </c>
      <c r="I1808" s="32"/>
      <c r="J1808" s="32"/>
    </row>
    <row r="1809" customFormat="false" ht="15" hidden="false" customHeight="false" outlineLevel="0" collapsed="false">
      <c r="A1809" s="32"/>
      <c r="B1809" s="32"/>
      <c r="C1809" s="32"/>
      <c r="D1809" s="32"/>
      <c r="E1809" s="32"/>
      <c r="F1809" s="32"/>
      <c r="G1809" s="32"/>
      <c r="H1809" s="28" t="str">
        <f aca="false">IF(COUNTA(C1809:G1809)=0,"",IF(AND(C1809="Yes",D1809="Yes",E1809="Yes",F1809="Yes",G1809="No"),"Yes","No"))</f>
        <v/>
      </c>
      <c r="I1809" s="32"/>
      <c r="J1809" s="32"/>
    </row>
    <row r="1810" customFormat="false" ht="15" hidden="false" customHeight="false" outlineLevel="0" collapsed="false">
      <c r="A1810" s="32"/>
      <c r="B1810" s="32"/>
      <c r="C1810" s="32"/>
      <c r="D1810" s="32"/>
      <c r="E1810" s="32"/>
      <c r="F1810" s="32"/>
      <c r="G1810" s="32"/>
      <c r="H1810" s="28" t="str">
        <f aca="false">IF(COUNTA(C1810:G1810)=0,"",IF(AND(C1810="Yes",D1810="Yes",E1810="Yes",F1810="Yes",G1810="No"),"Yes","No"))</f>
        <v/>
      </c>
      <c r="I1810" s="32"/>
      <c r="J1810" s="32"/>
    </row>
    <row r="1811" customFormat="false" ht="15" hidden="false" customHeight="false" outlineLevel="0" collapsed="false">
      <c r="A1811" s="32"/>
      <c r="B1811" s="32"/>
      <c r="C1811" s="32"/>
      <c r="D1811" s="32"/>
      <c r="E1811" s="32"/>
      <c r="F1811" s="32"/>
      <c r="G1811" s="32"/>
      <c r="H1811" s="28" t="str">
        <f aca="false">IF(COUNTA(C1811:G1811)=0,"",IF(AND(C1811="Yes",D1811="Yes",E1811="Yes",F1811="Yes",G1811="No"),"Yes","No"))</f>
        <v/>
      </c>
      <c r="I1811" s="32"/>
      <c r="J1811" s="32"/>
    </row>
    <row r="1812" customFormat="false" ht="15" hidden="false" customHeight="false" outlineLevel="0" collapsed="false">
      <c r="A1812" s="32"/>
      <c r="B1812" s="32"/>
      <c r="C1812" s="32"/>
      <c r="D1812" s="32"/>
      <c r="E1812" s="32"/>
      <c r="F1812" s="32"/>
      <c r="G1812" s="32"/>
      <c r="H1812" s="28" t="str">
        <f aca="false">IF(COUNTA(C1812:G1812)=0,"",IF(AND(C1812="Yes",D1812="Yes",E1812="Yes",F1812="Yes",G1812="No"),"Yes","No"))</f>
        <v/>
      </c>
      <c r="I1812" s="32"/>
      <c r="J1812" s="32"/>
    </row>
    <row r="1813" customFormat="false" ht="15" hidden="false" customHeight="false" outlineLevel="0" collapsed="false">
      <c r="A1813" s="32"/>
      <c r="B1813" s="32"/>
      <c r="C1813" s="32"/>
      <c r="D1813" s="32"/>
      <c r="E1813" s="32"/>
      <c r="F1813" s="32"/>
      <c r="G1813" s="32"/>
      <c r="H1813" s="28" t="str">
        <f aca="false">IF(COUNTA(C1813:G1813)=0,"",IF(AND(C1813="Yes",D1813="Yes",E1813="Yes",F1813="Yes",G1813="No"),"Yes","No"))</f>
        <v/>
      </c>
      <c r="I1813" s="32"/>
      <c r="J1813" s="32"/>
    </row>
    <row r="1814" customFormat="false" ht="15" hidden="false" customHeight="false" outlineLevel="0" collapsed="false">
      <c r="A1814" s="32"/>
      <c r="B1814" s="32"/>
      <c r="C1814" s="32"/>
      <c r="D1814" s="32"/>
      <c r="E1814" s="32"/>
      <c r="F1814" s="32"/>
      <c r="G1814" s="32"/>
      <c r="H1814" s="28" t="str">
        <f aca="false">IF(COUNTA(C1814:G1814)=0,"",IF(AND(C1814="Yes",D1814="Yes",E1814="Yes",F1814="Yes",G1814="No"),"Yes","No"))</f>
        <v/>
      </c>
      <c r="I1814" s="32"/>
      <c r="J1814" s="32"/>
    </row>
    <row r="1815" customFormat="false" ht="15" hidden="false" customHeight="false" outlineLevel="0" collapsed="false">
      <c r="A1815" s="32"/>
      <c r="B1815" s="32"/>
      <c r="C1815" s="32"/>
      <c r="D1815" s="32"/>
      <c r="E1815" s="32"/>
      <c r="F1815" s="32"/>
      <c r="G1815" s="32"/>
      <c r="H1815" s="28" t="str">
        <f aca="false">IF(COUNTA(C1815:G1815)=0,"",IF(AND(C1815="Yes",D1815="Yes",E1815="Yes",F1815="Yes",G1815="No"),"Yes","No"))</f>
        <v/>
      </c>
      <c r="I1815" s="32"/>
      <c r="J1815" s="32"/>
    </row>
    <row r="1816" customFormat="false" ht="15" hidden="false" customHeight="false" outlineLevel="0" collapsed="false">
      <c r="A1816" s="32"/>
      <c r="B1816" s="32"/>
      <c r="C1816" s="32"/>
      <c r="D1816" s="32"/>
      <c r="E1816" s="32"/>
      <c r="F1816" s="32"/>
      <c r="G1816" s="32"/>
      <c r="H1816" s="28" t="str">
        <f aca="false">IF(COUNTA(C1816:G1816)=0,"",IF(AND(C1816="Yes",D1816="Yes",E1816="Yes",F1816="Yes",G1816="No"),"Yes","No"))</f>
        <v/>
      </c>
      <c r="I1816" s="32"/>
      <c r="J1816" s="32"/>
    </row>
    <row r="1817" customFormat="false" ht="15" hidden="false" customHeight="false" outlineLevel="0" collapsed="false">
      <c r="A1817" s="32"/>
      <c r="B1817" s="32"/>
      <c r="C1817" s="32"/>
      <c r="D1817" s="32"/>
      <c r="E1817" s="32"/>
      <c r="F1817" s="32"/>
      <c r="G1817" s="32"/>
      <c r="H1817" s="28" t="str">
        <f aca="false">IF(COUNTA(C1817:G1817)=0,"",IF(AND(C1817="Yes",D1817="Yes",E1817="Yes",F1817="Yes",G1817="No"),"Yes","No"))</f>
        <v/>
      </c>
      <c r="I1817" s="32"/>
      <c r="J1817" s="32"/>
    </row>
    <row r="1818" customFormat="false" ht="15" hidden="false" customHeight="false" outlineLevel="0" collapsed="false">
      <c r="A1818" s="32"/>
      <c r="B1818" s="32"/>
      <c r="C1818" s="32"/>
      <c r="D1818" s="32"/>
      <c r="E1818" s="32"/>
      <c r="F1818" s="32"/>
      <c r="G1818" s="32"/>
      <c r="H1818" s="28" t="str">
        <f aca="false">IF(COUNTA(C1818:G1818)=0,"",IF(AND(C1818="Yes",D1818="Yes",E1818="Yes",F1818="Yes",G1818="No"),"Yes","No"))</f>
        <v/>
      </c>
      <c r="I1818" s="32"/>
      <c r="J1818" s="32"/>
    </row>
    <row r="1819" customFormat="false" ht="15" hidden="false" customHeight="false" outlineLevel="0" collapsed="false">
      <c r="A1819" s="32"/>
      <c r="B1819" s="32"/>
      <c r="C1819" s="32"/>
      <c r="D1819" s="32"/>
      <c r="E1819" s="32"/>
      <c r="F1819" s="32"/>
      <c r="G1819" s="32"/>
      <c r="H1819" s="28" t="str">
        <f aca="false">IF(COUNTA(C1819:G1819)=0,"",IF(AND(C1819="Yes",D1819="Yes",E1819="Yes",F1819="Yes",G1819="No"),"Yes","No"))</f>
        <v/>
      </c>
      <c r="I1819" s="32"/>
      <c r="J1819" s="32"/>
    </row>
    <row r="1820" customFormat="false" ht="15" hidden="false" customHeight="false" outlineLevel="0" collapsed="false">
      <c r="A1820" s="32"/>
      <c r="B1820" s="32"/>
      <c r="C1820" s="32"/>
      <c r="D1820" s="32"/>
      <c r="E1820" s="32"/>
      <c r="F1820" s="32"/>
      <c r="G1820" s="32"/>
      <c r="H1820" s="28" t="str">
        <f aca="false">IF(COUNTA(C1820:G1820)=0,"",IF(AND(C1820="Yes",D1820="Yes",E1820="Yes",F1820="Yes",G1820="No"),"Yes","No"))</f>
        <v/>
      </c>
      <c r="I1820" s="32"/>
      <c r="J1820" s="32"/>
    </row>
    <row r="1821" customFormat="false" ht="15" hidden="false" customHeight="false" outlineLevel="0" collapsed="false">
      <c r="A1821" s="32"/>
      <c r="B1821" s="32"/>
      <c r="C1821" s="32"/>
      <c r="D1821" s="32"/>
      <c r="E1821" s="32"/>
      <c r="F1821" s="32"/>
      <c r="G1821" s="32"/>
      <c r="H1821" s="28" t="str">
        <f aca="false">IF(COUNTA(C1821:G1821)=0,"",IF(AND(C1821="Yes",D1821="Yes",E1821="Yes",F1821="Yes",G1821="No"),"Yes","No"))</f>
        <v/>
      </c>
      <c r="I1821" s="32"/>
      <c r="J1821" s="32"/>
    </row>
    <row r="1822" customFormat="false" ht="15" hidden="false" customHeight="false" outlineLevel="0" collapsed="false">
      <c r="A1822" s="32"/>
      <c r="B1822" s="32"/>
      <c r="C1822" s="32"/>
      <c r="D1822" s="32"/>
      <c r="E1822" s="32"/>
      <c r="F1822" s="32"/>
      <c r="G1822" s="32"/>
      <c r="H1822" s="28" t="str">
        <f aca="false">IF(COUNTA(C1822:G1822)=0,"",IF(AND(C1822="Yes",D1822="Yes",E1822="Yes",F1822="Yes",G1822="No"),"Yes","No"))</f>
        <v/>
      </c>
      <c r="I1822" s="32"/>
      <c r="J1822" s="32"/>
    </row>
    <row r="1823" customFormat="false" ht="15" hidden="false" customHeight="false" outlineLevel="0" collapsed="false">
      <c r="A1823" s="32"/>
      <c r="B1823" s="32"/>
      <c r="C1823" s="32"/>
      <c r="D1823" s="32"/>
      <c r="E1823" s="32"/>
      <c r="F1823" s="32"/>
      <c r="G1823" s="32"/>
      <c r="H1823" s="28" t="str">
        <f aca="false">IF(COUNTA(C1823:G1823)=0,"",IF(AND(C1823="Yes",D1823="Yes",E1823="Yes",F1823="Yes",G1823="No"),"Yes","No"))</f>
        <v/>
      </c>
      <c r="I1823" s="32"/>
      <c r="J1823" s="32"/>
    </row>
    <row r="1824" customFormat="false" ht="15" hidden="false" customHeight="false" outlineLevel="0" collapsed="false">
      <c r="A1824" s="32"/>
      <c r="B1824" s="32"/>
      <c r="C1824" s="32"/>
      <c r="D1824" s="32"/>
      <c r="E1824" s="32"/>
      <c r="F1824" s="32"/>
      <c r="G1824" s="32"/>
      <c r="H1824" s="28" t="str">
        <f aca="false">IF(COUNTA(C1824:G1824)=0,"",IF(AND(C1824="Yes",D1824="Yes",E1824="Yes",F1824="Yes",G1824="No"),"Yes","No"))</f>
        <v/>
      </c>
      <c r="I1824" s="32"/>
      <c r="J1824" s="32"/>
    </row>
    <row r="1825" customFormat="false" ht="15" hidden="false" customHeight="false" outlineLevel="0" collapsed="false">
      <c r="A1825" s="32"/>
      <c r="B1825" s="32"/>
      <c r="C1825" s="32"/>
      <c r="D1825" s="32"/>
      <c r="E1825" s="32"/>
      <c r="F1825" s="32"/>
      <c r="G1825" s="32"/>
      <c r="H1825" s="28" t="str">
        <f aca="false">IF(COUNTA(C1825:G1825)=0,"",IF(AND(C1825="Yes",D1825="Yes",E1825="Yes",F1825="Yes",G1825="No"),"Yes","No"))</f>
        <v/>
      </c>
      <c r="I1825" s="32"/>
      <c r="J1825" s="32"/>
    </row>
    <row r="1826" customFormat="false" ht="15" hidden="false" customHeight="false" outlineLevel="0" collapsed="false">
      <c r="A1826" s="32"/>
      <c r="B1826" s="32"/>
      <c r="C1826" s="32"/>
      <c r="D1826" s="32"/>
      <c r="E1826" s="32"/>
      <c r="F1826" s="32"/>
      <c r="G1826" s="32"/>
      <c r="H1826" s="28" t="str">
        <f aca="false">IF(COUNTA(C1826:G1826)=0,"",IF(AND(C1826="Yes",D1826="Yes",E1826="Yes",F1826="Yes",G1826="No"),"Yes","No"))</f>
        <v/>
      </c>
      <c r="I1826" s="32"/>
      <c r="J1826" s="32"/>
    </row>
    <row r="1827" customFormat="false" ht="15" hidden="false" customHeight="false" outlineLevel="0" collapsed="false">
      <c r="A1827" s="32"/>
      <c r="B1827" s="32"/>
      <c r="C1827" s="32"/>
      <c r="D1827" s="32"/>
      <c r="E1827" s="32"/>
      <c r="F1827" s="32"/>
      <c r="G1827" s="32"/>
      <c r="H1827" s="28" t="str">
        <f aca="false">IF(COUNTA(C1827:G1827)=0,"",IF(AND(C1827="Yes",D1827="Yes",E1827="Yes",F1827="Yes",G1827="No"),"Yes","No"))</f>
        <v/>
      </c>
      <c r="I1827" s="32"/>
      <c r="J1827" s="32"/>
    </row>
    <row r="1828" customFormat="false" ht="15" hidden="false" customHeight="false" outlineLevel="0" collapsed="false">
      <c r="A1828" s="32"/>
      <c r="B1828" s="32"/>
      <c r="C1828" s="32"/>
      <c r="D1828" s="32"/>
      <c r="E1828" s="32"/>
      <c r="F1828" s="32"/>
      <c r="G1828" s="32"/>
      <c r="H1828" s="28" t="str">
        <f aca="false">IF(COUNTA(C1828:G1828)=0,"",IF(AND(C1828="Yes",D1828="Yes",E1828="Yes",F1828="Yes",G1828="No"),"Yes","No"))</f>
        <v/>
      </c>
      <c r="I1828" s="32"/>
      <c r="J1828" s="32"/>
    </row>
    <row r="1829" customFormat="false" ht="15" hidden="false" customHeight="false" outlineLevel="0" collapsed="false">
      <c r="A1829" s="32"/>
      <c r="B1829" s="32"/>
      <c r="C1829" s="32"/>
      <c r="D1829" s="32"/>
      <c r="E1829" s="32"/>
      <c r="F1829" s="32"/>
      <c r="G1829" s="32"/>
      <c r="H1829" s="28" t="str">
        <f aca="false">IF(COUNTA(C1829:G1829)=0,"",IF(AND(C1829="Yes",D1829="Yes",E1829="Yes",F1829="Yes",G1829="No"),"Yes","No"))</f>
        <v/>
      </c>
      <c r="I1829" s="32"/>
      <c r="J1829" s="32"/>
    </row>
    <row r="1830" customFormat="false" ht="15" hidden="false" customHeight="false" outlineLevel="0" collapsed="false">
      <c r="A1830" s="32"/>
      <c r="B1830" s="32"/>
      <c r="C1830" s="32"/>
      <c r="D1830" s="32"/>
      <c r="E1830" s="32"/>
      <c r="F1830" s="32"/>
      <c r="G1830" s="32"/>
      <c r="H1830" s="28" t="str">
        <f aca="false">IF(COUNTA(C1830:G1830)=0,"",IF(AND(C1830="Yes",D1830="Yes",E1830="Yes",F1830="Yes",G1830="No"),"Yes","No"))</f>
        <v/>
      </c>
      <c r="I1830" s="32"/>
      <c r="J1830" s="32"/>
    </row>
    <row r="1831" customFormat="false" ht="15" hidden="false" customHeight="false" outlineLevel="0" collapsed="false">
      <c r="A1831" s="32"/>
      <c r="B1831" s="32"/>
      <c r="C1831" s="32"/>
      <c r="D1831" s="32"/>
      <c r="E1831" s="32"/>
      <c r="F1831" s="32"/>
      <c r="G1831" s="32"/>
      <c r="H1831" s="28" t="str">
        <f aca="false">IF(COUNTA(C1831:G1831)=0,"",IF(AND(C1831="Yes",D1831="Yes",E1831="Yes",F1831="Yes",G1831="No"),"Yes","No"))</f>
        <v/>
      </c>
      <c r="I1831" s="32"/>
      <c r="J1831" s="32"/>
    </row>
    <row r="1832" customFormat="false" ht="15" hidden="false" customHeight="false" outlineLevel="0" collapsed="false">
      <c r="A1832" s="32"/>
      <c r="B1832" s="32"/>
      <c r="C1832" s="32"/>
      <c r="D1832" s="32"/>
      <c r="E1832" s="32"/>
      <c r="F1832" s="32"/>
      <c r="G1832" s="32"/>
      <c r="H1832" s="28" t="str">
        <f aca="false">IF(COUNTA(C1832:G1832)=0,"",IF(AND(C1832="Yes",D1832="Yes",E1832="Yes",F1832="Yes",G1832="No"),"Yes","No"))</f>
        <v/>
      </c>
      <c r="I1832" s="32"/>
      <c r="J1832" s="32"/>
    </row>
    <row r="1833" customFormat="false" ht="15" hidden="false" customHeight="false" outlineLevel="0" collapsed="false">
      <c r="A1833" s="32"/>
      <c r="B1833" s="32"/>
      <c r="C1833" s="32"/>
      <c r="D1833" s="32"/>
      <c r="E1833" s="32"/>
      <c r="F1833" s="32"/>
      <c r="G1833" s="32"/>
      <c r="H1833" s="28" t="str">
        <f aca="false">IF(COUNTA(C1833:G1833)=0,"",IF(AND(C1833="Yes",D1833="Yes",E1833="Yes",F1833="Yes",G1833="No"),"Yes","No"))</f>
        <v/>
      </c>
      <c r="I1833" s="32"/>
      <c r="J1833" s="32"/>
    </row>
    <row r="1834" customFormat="false" ht="15" hidden="false" customHeight="false" outlineLevel="0" collapsed="false">
      <c r="A1834" s="32"/>
      <c r="B1834" s="32"/>
      <c r="C1834" s="32"/>
      <c r="D1834" s="32"/>
      <c r="E1834" s="32"/>
      <c r="F1834" s="32"/>
      <c r="G1834" s="32"/>
      <c r="H1834" s="28" t="str">
        <f aca="false">IF(COUNTA(C1834:G1834)=0,"",IF(AND(C1834="Yes",D1834="Yes",E1834="Yes",F1834="Yes",G1834="No"),"Yes","No"))</f>
        <v/>
      </c>
      <c r="I1834" s="32"/>
      <c r="J1834" s="32"/>
    </row>
    <row r="1835" customFormat="false" ht="15" hidden="false" customHeight="false" outlineLevel="0" collapsed="false">
      <c r="A1835" s="32"/>
      <c r="B1835" s="32"/>
      <c r="C1835" s="32"/>
      <c r="D1835" s="32"/>
      <c r="E1835" s="32"/>
      <c r="F1835" s="32"/>
      <c r="G1835" s="32"/>
      <c r="H1835" s="28" t="str">
        <f aca="false">IF(COUNTA(C1835:G1835)=0,"",IF(AND(C1835="Yes",D1835="Yes",E1835="Yes",F1835="Yes",G1835="No"),"Yes","No"))</f>
        <v/>
      </c>
      <c r="I1835" s="32"/>
      <c r="J1835" s="32"/>
    </row>
    <row r="1836" customFormat="false" ht="15" hidden="false" customHeight="false" outlineLevel="0" collapsed="false">
      <c r="A1836" s="32"/>
      <c r="B1836" s="32"/>
      <c r="C1836" s="32"/>
      <c r="D1836" s="32"/>
      <c r="E1836" s="32"/>
      <c r="F1836" s="32"/>
      <c r="G1836" s="32"/>
      <c r="H1836" s="28" t="str">
        <f aca="false">IF(COUNTA(C1836:G1836)=0,"",IF(AND(C1836="Yes",D1836="Yes",E1836="Yes",F1836="Yes",G1836="No"),"Yes","No"))</f>
        <v/>
      </c>
      <c r="I1836" s="32"/>
      <c r="J1836" s="32"/>
    </row>
    <row r="1837" customFormat="false" ht="15" hidden="false" customHeight="false" outlineLevel="0" collapsed="false">
      <c r="A1837" s="32"/>
      <c r="B1837" s="32"/>
      <c r="C1837" s="32"/>
      <c r="D1837" s="32"/>
      <c r="E1837" s="32"/>
      <c r="F1837" s="32"/>
      <c r="G1837" s="32"/>
      <c r="H1837" s="28" t="str">
        <f aca="false">IF(COUNTA(C1837:G1837)=0,"",IF(AND(C1837="Yes",D1837="Yes",E1837="Yes",F1837="Yes",G1837="No"),"Yes","No"))</f>
        <v/>
      </c>
      <c r="I1837" s="32"/>
      <c r="J1837" s="32"/>
    </row>
    <row r="1838" customFormat="false" ht="15" hidden="false" customHeight="false" outlineLevel="0" collapsed="false">
      <c r="A1838" s="32"/>
      <c r="B1838" s="32"/>
      <c r="C1838" s="32"/>
      <c r="D1838" s="32"/>
      <c r="E1838" s="32"/>
      <c r="F1838" s="32"/>
      <c r="G1838" s="32"/>
      <c r="H1838" s="28" t="str">
        <f aca="false">IF(COUNTA(C1838:G1838)=0,"",IF(AND(C1838="Yes",D1838="Yes",E1838="Yes",F1838="Yes",G1838="No"),"Yes","No"))</f>
        <v/>
      </c>
      <c r="I1838" s="32"/>
      <c r="J1838" s="32"/>
    </row>
    <row r="1839" customFormat="false" ht="15" hidden="false" customHeight="false" outlineLevel="0" collapsed="false">
      <c r="A1839" s="32"/>
      <c r="B1839" s="32"/>
      <c r="C1839" s="32"/>
      <c r="D1839" s="32"/>
      <c r="E1839" s="32"/>
      <c r="F1839" s="32"/>
      <c r="G1839" s="32"/>
      <c r="H1839" s="28" t="str">
        <f aca="false">IF(COUNTA(C1839:G1839)=0,"",IF(AND(C1839="Yes",D1839="Yes",E1839="Yes",F1839="Yes",G1839="No"),"Yes","No"))</f>
        <v/>
      </c>
      <c r="I1839" s="32"/>
      <c r="J1839" s="32"/>
    </row>
    <row r="1840" customFormat="false" ht="15" hidden="false" customHeight="false" outlineLevel="0" collapsed="false">
      <c r="A1840" s="32"/>
      <c r="B1840" s="32"/>
      <c r="C1840" s="32"/>
      <c r="D1840" s="32"/>
      <c r="E1840" s="32"/>
      <c r="F1840" s="32"/>
      <c r="G1840" s="32"/>
      <c r="H1840" s="28" t="str">
        <f aca="false">IF(COUNTA(C1840:G1840)=0,"",IF(AND(C1840="Yes",D1840="Yes",E1840="Yes",F1840="Yes",G1840="No"),"Yes","No"))</f>
        <v/>
      </c>
      <c r="I1840" s="32"/>
      <c r="J1840" s="32"/>
    </row>
    <row r="1841" customFormat="false" ht="15" hidden="false" customHeight="false" outlineLevel="0" collapsed="false">
      <c r="A1841" s="32"/>
      <c r="B1841" s="32"/>
      <c r="C1841" s="32"/>
      <c r="D1841" s="32"/>
      <c r="E1841" s="32"/>
      <c r="F1841" s="32"/>
      <c r="G1841" s="32"/>
      <c r="H1841" s="28" t="str">
        <f aca="false">IF(COUNTA(C1841:G1841)=0,"",IF(AND(C1841="Yes",D1841="Yes",E1841="Yes",F1841="Yes",G1841="No"),"Yes","No"))</f>
        <v/>
      </c>
      <c r="I1841" s="32"/>
      <c r="J1841" s="32"/>
    </row>
    <row r="1842" customFormat="false" ht="15" hidden="false" customHeight="false" outlineLevel="0" collapsed="false">
      <c r="A1842" s="32"/>
      <c r="B1842" s="32"/>
      <c r="C1842" s="32"/>
      <c r="D1842" s="32"/>
      <c r="E1842" s="32"/>
      <c r="F1842" s="32"/>
      <c r="G1842" s="32"/>
      <c r="H1842" s="28" t="str">
        <f aca="false">IF(COUNTA(C1842:G1842)=0,"",IF(AND(C1842="Yes",D1842="Yes",E1842="Yes",F1842="Yes",G1842="No"),"Yes","No"))</f>
        <v/>
      </c>
      <c r="I1842" s="32"/>
      <c r="J1842" s="32"/>
    </row>
    <row r="1843" customFormat="false" ht="15" hidden="false" customHeight="false" outlineLevel="0" collapsed="false">
      <c r="A1843" s="32"/>
      <c r="B1843" s="32"/>
      <c r="C1843" s="32"/>
      <c r="D1843" s="32"/>
      <c r="E1843" s="32"/>
      <c r="F1843" s="32"/>
      <c r="G1843" s="32"/>
      <c r="H1843" s="28" t="str">
        <f aca="false">IF(COUNTA(C1843:G1843)=0,"",IF(AND(C1843="Yes",D1843="Yes",E1843="Yes",F1843="Yes",G1843="No"),"Yes","No"))</f>
        <v/>
      </c>
      <c r="I1843" s="32"/>
      <c r="J1843" s="32"/>
    </row>
    <row r="1844" customFormat="false" ht="15" hidden="false" customHeight="false" outlineLevel="0" collapsed="false">
      <c r="A1844" s="32"/>
      <c r="B1844" s="32"/>
      <c r="C1844" s="32"/>
      <c r="D1844" s="32"/>
      <c r="E1844" s="32"/>
      <c r="F1844" s="32"/>
      <c r="G1844" s="32"/>
      <c r="H1844" s="28" t="str">
        <f aca="false">IF(COUNTA(C1844:G1844)=0,"",IF(AND(C1844="Yes",D1844="Yes",E1844="Yes",F1844="Yes",G1844="No"),"Yes","No"))</f>
        <v/>
      </c>
      <c r="I1844" s="32"/>
      <c r="J1844" s="32"/>
    </row>
    <row r="1845" customFormat="false" ht="15" hidden="false" customHeight="false" outlineLevel="0" collapsed="false">
      <c r="A1845" s="32"/>
      <c r="B1845" s="32"/>
      <c r="C1845" s="32"/>
      <c r="D1845" s="32"/>
      <c r="E1845" s="32"/>
      <c r="F1845" s="32"/>
      <c r="G1845" s="32"/>
      <c r="H1845" s="28" t="str">
        <f aca="false">IF(COUNTA(C1845:G1845)=0,"",IF(AND(C1845="Yes",D1845="Yes",E1845="Yes",F1845="Yes",G1845="No"),"Yes","No"))</f>
        <v/>
      </c>
      <c r="I1845" s="32"/>
      <c r="J1845" s="32"/>
    </row>
    <row r="1846" customFormat="false" ht="15" hidden="false" customHeight="false" outlineLevel="0" collapsed="false">
      <c r="A1846" s="32"/>
      <c r="B1846" s="32"/>
      <c r="C1846" s="32"/>
      <c r="D1846" s="32"/>
      <c r="E1846" s="32"/>
      <c r="F1846" s="32"/>
      <c r="G1846" s="32"/>
      <c r="H1846" s="28" t="str">
        <f aca="false">IF(COUNTA(C1846:G1846)=0,"",IF(AND(C1846="Yes",D1846="Yes",E1846="Yes",F1846="Yes",G1846="No"),"Yes","No"))</f>
        <v/>
      </c>
      <c r="I1846" s="32"/>
      <c r="J1846" s="32"/>
    </row>
    <row r="1847" customFormat="false" ht="15" hidden="false" customHeight="false" outlineLevel="0" collapsed="false">
      <c r="A1847" s="32"/>
      <c r="B1847" s="32"/>
      <c r="C1847" s="32"/>
      <c r="D1847" s="32"/>
      <c r="E1847" s="32"/>
      <c r="F1847" s="32"/>
      <c r="G1847" s="32"/>
      <c r="H1847" s="28" t="str">
        <f aca="false">IF(COUNTA(C1847:G1847)=0,"",IF(AND(C1847="Yes",D1847="Yes",E1847="Yes",F1847="Yes",G1847="No"),"Yes","No"))</f>
        <v/>
      </c>
      <c r="I1847" s="32"/>
      <c r="J1847" s="32"/>
    </row>
    <row r="1848" customFormat="false" ht="15" hidden="false" customHeight="false" outlineLevel="0" collapsed="false">
      <c r="A1848" s="32"/>
      <c r="B1848" s="32"/>
      <c r="C1848" s="32"/>
      <c r="D1848" s="32"/>
      <c r="E1848" s="32"/>
      <c r="F1848" s="32"/>
      <c r="G1848" s="32"/>
      <c r="H1848" s="28" t="str">
        <f aca="false">IF(COUNTA(C1848:G1848)=0,"",IF(AND(C1848="Yes",D1848="Yes",E1848="Yes",F1848="Yes",G1848="No"),"Yes","No"))</f>
        <v/>
      </c>
      <c r="I1848" s="32"/>
      <c r="J1848" s="32"/>
    </row>
    <row r="1849" customFormat="false" ht="15" hidden="false" customHeight="false" outlineLevel="0" collapsed="false">
      <c r="A1849" s="32"/>
      <c r="B1849" s="32"/>
      <c r="C1849" s="32"/>
      <c r="D1849" s="32"/>
      <c r="E1849" s="32"/>
      <c r="F1849" s="32"/>
      <c r="G1849" s="32"/>
      <c r="H1849" s="28" t="str">
        <f aca="false">IF(COUNTA(C1849:G1849)=0,"",IF(AND(C1849="Yes",D1849="Yes",E1849="Yes",F1849="Yes",G1849="No"),"Yes","No"))</f>
        <v/>
      </c>
      <c r="I1849" s="32"/>
      <c r="J1849" s="32"/>
    </row>
    <row r="1850" customFormat="false" ht="15" hidden="false" customHeight="false" outlineLevel="0" collapsed="false">
      <c r="A1850" s="32"/>
      <c r="B1850" s="32"/>
      <c r="C1850" s="32"/>
      <c r="D1850" s="32"/>
      <c r="E1850" s="32"/>
      <c r="F1850" s="32"/>
      <c r="G1850" s="32"/>
      <c r="H1850" s="28" t="str">
        <f aca="false">IF(COUNTA(C1850:G1850)=0,"",IF(AND(C1850="Yes",D1850="Yes",E1850="Yes",F1850="Yes",G1850="No"),"Yes","No"))</f>
        <v/>
      </c>
      <c r="I1850" s="32"/>
      <c r="J1850" s="32"/>
    </row>
    <row r="1851" customFormat="false" ht="15" hidden="false" customHeight="false" outlineLevel="0" collapsed="false">
      <c r="A1851" s="32"/>
      <c r="B1851" s="32"/>
      <c r="C1851" s="32"/>
      <c r="D1851" s="32"/>
      <c r="E1851" s="32"/>
      <c r="F1851" s="32"/>
      <c r="G1851" s="32"/>
      <c r="H1851" s="28" t="str">
        <f aca="false">IF(COUNTA(C1851:G1851)=0,"",IF(AND(C1851="Yes",D1851="Yes",E1851="Yes",F1851="Yes",G1851="No"),"Yes","No"))</f>
        <v/>
      </c>
      <c r="I1851" s="32"/>
      <c r="J1851" s="32"/>
    </row>
    <row r="1852" customFormat="false" ht="15" hidden="false" customHeight="false" outlineLevel="0" collapsed="false">
      <c r="A1852" s="32"/>
      <c r="B1852" s="32"/>
      <c r="C1852" s="32"/>
      <c r="D1852" s="32"/>
      <c r="E1852" s="32"/>
      <c r="F1852" s="32"/>
      <c r="G1852" s="32"/>
      <c r="H1852" s="28" t="str">
        <f aca="false">IF(COUNTA(C1852:G1852)=0,"",IF(AND(C1852="Yes",D1852="Yes",E1852="Yes",F1852="Yes",G1852="No"),"Yes","No"))</f>
        <v/>
      </c>
      <c r="I1852" s="32"/>
      <c r="J1852" s="32"/>
    </row>
    <row r="1853" customFormat="false" ht="15" hidden="false" customHeight="false" outlineLevel="0" collapsed="false">
      <c r="A1853" s="32"/>
      <c r="B1853" s="32"/>
      <c r="C1853" s="32"/>
      <c r="D1853" s="32"/>
      <c r="E1853" s="32"/>
      <c r="F1853" s="32"/>
      <c r="G1853" s="32"/>
      <c r="H1853" s="28" t="str">
        <f aca="false">IF(COUNTA(C1853:G1853)=0,"",IF(AND(C1853="Yes",D1853="Yes",E1853="Yes",F1853="Yes",G1853="No"),"Yes","No"))</f>
        <v/>
      </c>
      <c r="I1853" s="32"/>
      <c r="J1853" s="32"/>
    </row>
    <row r="1854" customFormat="false" ht="15" hidden="false" customHeight="false" outlineLevel="0" collapsed="false">
      <c r="A1854" s="32"/>
      <c r="B1854" s="32"/>
      <c r="C1854" s="32"/>
      <c r="D1854" s="32"/>
      <c r="E1854" s="32"/>
      <c r="F1854" s="32"/>
      <c r="G1854" s="32"/>
      <c r="H1854" s="28" t="str">
        <f aca="false">IF(COUNTA(C1854:G1854)=0,"",IF(AND(C1854="Yes",D1854="Yes",E1854="Yes",F1854="Yes",G1854="No"),"Yes","No"))</f>
        <v/>
      </c>
      <c r="I1854" s="32"/>
      <c r="J1854" s="32"/>
    </row>
    <row r="1855" customFormat="false" ht="15" hidden="false" customHeight="false" outlineLevel="0" collapsed="false">
      <c r="A1855" s="32"/>
      <c r="B1855" s="32"/>
      <c r="C1855" s="32"/>
      <c r="D1855" s="32"/>
      <c r="E1855" s="32"/>
      <c r="F1855" s="32"/>
      <c r="G1855" s="32"/>
      <c r="H1855" s="28" t="str">
        <f aca="false">IF(COUNTA(C1855:G1855)=0,"",IF(AND(C1855="Yes",D1855="Yes",E1855="Yes",F1855="Yes",G1855="No"),"Yes","No"))</f>
        <v/>
      </c>
      <c r="I1855" s="32"/>
      <c r="J1855" s="32"/>
    </row>
    <row r="1856" customFormat="false" ht="15" hidden="false" customHeight="false" outlineLevel="0" collapsed="false">
      <c r="A1856" s="32"/>
      <c r="B1856" s="32"/>
      <c r="C1856" s="32"/>
      <c r="D1856" s="32"/>
      <c r="E1856" s="32"/>
      <c r="F1856" s="32"/>
      <c r="G1856" s="32"/>
      <c r="H1856" s="28" t="str">
        <f aca="false">IF(COUNTA(C1856:G1856)=0,"",IF(AND(C1856="Yes",D1856="Yes",E1856="Yes",F1856="Yes",G1856="No"),"Yes","No"))</f>
        <v/>
      </c>
      <c r="I1856" s="32"/>
      <c r="J1856" s="32"/>
    </row>
    <row r="1857" customFormat="false" ht="15" hidden="false" customHeight="false" outlineLevel="0" collapsed="false">
      <c r="A1857" s="32"/>
      <c r="B1857" s="32"/>
      <c r="C1857" s="32"/>
      <c r="D1857" s="32"/>
      <c r="E1857" s="32"/>
      <c r="F1857" s="32"/>
      <c r="G1857" s="32"/>
      <c r="H1857" s="28" t="str">
        <f aca="false">IF(COUNTA(C1857:G1857)=0,"",IF(AND(C1857="Yes",D1857="Yes",E1857="Yes",F1857="Yes",G1857="No"),"Yes","No"))</f>
        <v/>
      </c>
      <c r="I1857" s="32"/>
      <c r="J1857" s="32"/>
    </row>
    <row r="1858" customFormat="false" ht="15" hidden="false" customHeight="false" outlineLevel="0" collapsed="false">
      <c r="A1858" s="32"/>
      <c r="B1858" s="32"/>
      <c r="C1858" s="32"/>
      <c r="D1858" s="32"/>
      <c r="E1858" s="32"/>
      <c r="F1858" s="32"/>
      <c r="G1858" s="32"/>
      <c r="H1858" s="28" t="str">
        <f aca="false">IF(COUNTA(C1858:G1858)=0,"",IF(AND(C1858="Yes",D1858="Yes",E1858="Yes",F1858="Yes",G1858="No"),"Yes","No"))</f>
        <v/>
      </c>
      <c r="I1858" s="32"/>
      <c r="J1858" s="32"/>
    </row>
    <row r="1859" customFormat="false" ht="15" hidden="false" customHeight="false" outlineLevel="0" collapsed="false">
      <c r="A1859" s="32"/>
      <c r="B1859" s="32"/>
      <c r="C1859" s="32"/>
      <c r="D1859" s="32"/>
      <c r="E1859" s="32"/>
      <c r="F1859" s="32"/>
      <c r="G1859" s="32"/>
      <c r="H1859" s="28" t="str">
        <f aca="false">IF(COUNTA(C1859:G1859)=0,"",IF(AND(C1859="Yes",D1859="Yes",E1859="Yes",F1859="Yes",G1859="No"),"Yes","No"))</f>
        <v/>
      </c>
      <c r="I1859" s="32"/>
      <c r="J1859" s="32"/>
    </row>
    <row r="1860" customFormat="false" ht="15" hidden="false" customHeight="false" outlineLevel="0" collapsed="false">
      <c r="A1860" s="32"/>
      <c r="B1860" s="32"/>
      <c r="C1860" s="32"/>
      <c r="D1860" s="32"/>
      <c r="E1860" s="32"/>
      <c r="F1860" s="32"/>
      <c r="G1860" s="32"/>
      <c r="H1860" s="28" t="str">
        <f aca="false">IF(COUNTA(C1860:G1860)=0,"",IF(AND(C1860="Yes",D1860="Yes",E1860="Yes",F1860="Yes",G1860="No"),"Yes","No"))</f>
        <v/>
      </c>
      <c r="I1860" s="32"/>
      <c r="J1860" s="32"/>
    </row>
    <row r="1861" customFormat="false" ht="15" hidden="false" customHeight="false" outlineLevel="0" collapsed="false">
      <c r="A1861" s="32"/>
      <c r="B1861" s="32"/>
      <c r="C1861" s="32"/>
      <c r="D1861" s="32"/>
      <c r="E1861" s="32"/>
      <c r="F1861" s="32"/>
      <c r="G1861" s="32"/>
      <c r="H1861" s="28" t="str">
        <f aca="false">IF(COUNTA(C1861:G1861)=0,"",IF(AND(C1861="Yes",D1861="Yes",E1861="Yes",F1861="Yes",G1861="No"),"Yes","No"))</f>
        <v/>
      </c>
      <c r="I1861" s="32"/>
      <c r="J1861" s="32"/>
    </row>
    <row r="1862" customFormat="false" ht="15" hidden="false" customHeight="false" outlineLevel="0" collapsed="false">
      <c r="A1862" s="32"/>
      <c r="B1862" s="32"/>
      <c r="C1862" s="32"/>
      <c r="D1862" s="32"/>
      <c r="E1862" s="32"/>
      <c r="F1862" s="32"/>
      <c r="G1862" s="32"/>
      <c r="H1862" s="28" t="str">
        <f aca="false">IF(COUNTA(C1862:G1862)=0,"",IF(AND(C1862="Yes",D1862="Yes",E1862="Yes",F1862="Yes",G1862="No"),"Yes","No"))</f>
        <v/>
      </c>
      <c r="I1862" s="32"/>
      <c r="J1862" s="32"/>
    </row>
    <row r="1863" customFormat="false" ht="15" hidden="false" customHeight="false" outlineLevel="0" collapsed="false">
      <c r="A1863" s="32"/>
      <c r="B1863" s="32"/>
      <c r="C1863" s="32"/>
      <c r="D1863" s="32"/>
      <c r="E1863" s="32"/>
      <c r="F1863" s="32"/>
      <c r="G1863" s="32"/>
      <c r="H1863" s="28" t="str">
        <f aca="false">IF(COUNTA(C1863:G1863)=0,"",IF(AND(C1863="Yes",D1863="Yes",E1863="Yes",F1863="Yes",G1863="No"),"Yes","No"))</f>
        <v/>
      </c>
      <c r="I1863" s="32"/>
      <c r="J1863" s="32"/>
    </row>
    <row r="1864" customFormat="false" ht="15" hidden="false" customHeight="false" outlineLevel="0" collapsed="false">
      <c r="A1864" s="32"/>
      <c r="B1864" s="32"/>
      <c r="C1864" s="32"/>
      <c r="D1864" s="32"/>
      <c r="E1864" s="32"/>
      <c r="F1864" s="32"/>
      <c r="G1864" s="32"/>
      <c r="H1864" s="28" t="str">
        <f aca="false">IF(COUNTA(C1864:G1864)=0,"",IF(AND(C1864="Yes",D1864="Yes",E1864="Yes",F1864="Yes",G1864="No"),"Yes","No"))</f>
        <v/>
      </c>
      <c r="I1864" s="32"/>
      <c r="J1864" s="32"/>
    </row>
    <row r="1865" customFormat="false" ht="15" hidden="false" customHeight="false" outlineLevel="0" collapsed="false">
      <c r="A1865" s="32"/>
      <c r="B1865" s="32"/>
      <c r="C1865" s="32"/>
      <c r="D1865" s="32"/>
      <c r="E1865" s="32"/>
      <c r="F1865" s="32"/>
      <c r="G1865" s="32"/>
      <c r="H1865" s="28" t="str">
        <f aca="false">IF(COUNTA(C1865:G1865)=0,"",IF(AND(C1865="Yes",D1865="Yes",E1865="Yes",F1865="Yes",G1865="No"),"Yes","No"))</f>
        <v/>
      </c>
      <c r="I1865" s="32"/>
      <c r="J1865" s="32"/>
    </row>
    <row r="1866" customFormat="false" ht="15" hidden="false" customHeight="false" outlineLevel="0" collapsed="false">
      <c r="A1866" s="32"/>
      <c r="B1866" s="32"/>
      <c r="C1866" s="32"/>
      <c r="D1866" s="32"/>
      <c r="E1866" s="32"/>
      <c r="F1866" s="32"/>
      <c r="G1866" s="32"/>
      <c r="H1866" s="28" t="str">
        <f aca="false">IF(COUNTA(C1866:G1866)=0,"",IF(AND(C1866="Yes",D1866="Yes",E1866="Yes",F1866="Yes",G1866="No"),"Yes","No"))</f>
        <v/>
      </c>
      <c r="I1866" s="32"/>
      <c r="J1866" s="32"/>
    </row>
    <row r="1867" customFormat="false" ht="15" hidden="false" customHeight="false" outlineLevel="0" collapsed="false">
      <c r="A1867" s="32"/>
      <c r="B1867" s="32"/>
      <c r="C1867" s="32"/>
      <c r="D1867" s="32"/>
      <c r="E1867" s="32"/>
      <c r="F1867" s="32"/>
      <c r="G1867" s="32"/>
      <c r="H1867" s="28" t="str">
        <f aca="false">IF(COUNTA(C1867:G1867)=0,"",IF(AND(C1867="Yes",D1867="Yes",E1867="Yes",F1867="Yes",G1867="No"),"Yes","No"))</f>
        <v/>
      </c>
      <c r="I1867" s="32"/>
      <c r="J1867" s="32"/>
    </row>
    <row r="1868" customFormat="false" ht="15" hidden="false" customHeight="false" outlineLevel="0" collapsed="false">
      <c r="A1868" s="32"/>
      <c r="B1868" s="32"/>
      <c r="C1868" s="32"/>
      <c r="D1868" s="32"/>
      <c r="E1868" s="32"/>
      <c r="F1868" s="32"/>
      <c r="G1868" s="32"/>
      <c r="H1868" s="28" t="str">
        <f aca="false">IF(COUNTA(C1868:G1868)=0,"",IF(AND(C1868="Yes",D1868="Yes",E1868="Yes",F1868="Yes",G1868="No"),"Yes","No"))</f>
        <v/>
      </c>
      <c r="I1868" s="32"/>
      <c r="J1868" s="32"/>
    </row>
    <row r="1869" customFormat="false" ht="15" hidden="false" customHeight="false" outlineLevel="0" collapsed="false">
      <c r="A1869" s="32"/>
      <c r="B1869" s="32"/>
      <c r="C1869" s="32"/>
      <c r="D1869" s="32"/>
      <c r="E1869" s="32"/>
      <c r="F1869" s="32"/>
      <c r="G1869" s="32"/>
      <c r="H1869" s="28" t="str">
        <f aca="false">IF(COUNTA(C1869:G1869)=0,"",IF(AND(C1869="Yes",D1869="Yes",E1869="Yes",F1869="Yes",G1869="No"),"Yes","No"))</f>
        <v/>
      </c>
      <c r="I1869" s="32"/>
      <c r="J1869" s="32"/>
    </row>
    <row r="1870" customFormat="false" ht="15" hidden="false" customHeight="false" outlineLevel="0" collapsed="false">
      <c r="A1870" s="32"/>
      <c r="B1870" s="32"/>
      <c r="C1870" s="32"/>
      <c r="D1870" s="32"/>
      <c r="E1870" s="32"/>
      <c r="F1870" s="32"/>
      <c r="G1870" s="32"/>
      <c r="H1870" s="28" t="str">
        <f aca="false">IF(COUNTA(C1870:G1870)=0,"",IF(AND(C1870="Yes",D1870="Yes",E1870="Yes",F1870="Yes",G1870="No"),"Yes","No"))</f>
        <v/>
      </c>
      <c r="I1870" s="32"/>
      <c r="J1870" s="32"/>
    </row>
    <row r="1871" customFormat="false" ht="15" hidden="false" customHeight="false" outlineLevel="0" collapsed="false">
      <c r="A1871" s="32"/>
      <c r="B1871" s="32"/>
      <c r="C1871" s="32"/>
      <c r="D1871" s="32"/>
      <c r="E1871" s="32"/>
      <c r="F1871" s="32"/>
      <c r="G1871" s="32"/>
      <c r="H1871" s="28" t="str">
        <f aca="false">IF(COUNTA(C1871:G1871)=0,"",IF(AND(C1871="Yes",D1871="Yes",E1871="Yes",F1871="Yes",G1871="No"),"Yes","No"))</f>
        <v/>
      </c>
      <c r="I1871" s="32"/>
      <c r="J1871" s="32"/>
    </row>
    <row r="1872" customFormat="false" ht="15" hidden="false" customHeight="false" outlineLevel="0" collapsed="false">
      <c r="A1872" s="32"/>
      <c r="B1872" s="32"/>
      <c r="C1872" s="32"/>
      <c r="D1872" s="32"/>
      <c r="E1872" s="32"/>
      <c r="F1872" s="32"/>
      <c r="G1872" s="32"/>
      <c r="H1872" s="28" t="str">
        <f aca="false">IF(COUNTA(C1872:G1872)=0,"",IF(AND(C1872="Yes",D1872="Yes",E1872="Yes",F1872="Yes",G1872="No"),"Yes","No"))</f>
        <v/>
      </c>
      <c r="I1872" s="32"/>
      <c r="J1872" s="32"/>
    </row>
    <row r="1873" customFormat="false" ht="15" hidden="false" customHeight="false" outlineLevel="0" collapsed="false">
      <c r="A1873" s="32"/>
      <c r="B1873" s="32"/>
      <c r="C1873" s="32"/>
      <c r="D1873" s="32"/>
      <c r="E1873" s="32"/>
      <c r="F1873" s="32"/>
      <c r="G1873" s="32"/>
      <c r="H1873" s="28" t="str">
        <f aca="false">IF(COUNTA(C1873:G1873)=0,"",IF(AND(C1873="Yes",D1873="Yes",E1873="Yes",F1873="Yes",G1873="No"),"Yes","No"))</f>
        <v/>
      </c>
      <c r="I1873" s="32"/>
      <c r="J1873" s="32"/>
    </row>
    <row r="1874" customFormat="false" ht="15" hidden="false" customHeight="false" outlineLevel="0" collapsed="false">
      <c r="A1874" s="32"/>
      <c r="B1874" s="32"/>
      <c r="C1874" s="32"/>
      <c r="D1874" s="32"/>
      <c r="E1874" s="32"/>
      <c r="F1874" s="32"/>
      <c r="G1874" s="32"/>
      <c r="H1874" s="28" t="str">
        <f aca="false">IF(COUNTA(C1874:G1874)=0,"",IF(AND(C1874="Yes",D1874="Yes",E1874="Yes",F1874="Yes",G1874="No"),"Yes","No"))</f>
        <v/>
      </c>
      <c r="I1874" s="32"/>
      <c r="J1874" s="32"/>
    </row>
    <row r="1875" customFormat="false" ht="15" hidden="false" customHeight="false" outlineLevel="0" collapsed="false">
      <c r="A1875" s="32"/>
      <c r="B1875" s="32"/>
      <c r="C1875" s="32"/>
      <c r="D1875" s="32"/>
      <c r="E1875" s="32"/>
      <c r="F1875" s="32"/>
      <c r="G1875" s="32"/>
      <c r="H1875" s="28" t="str">
        <f aca="false">IF(COUNTA(C1875:G1875)=0,"",IF(AND(C1875="Yes",D1875="Yes",E1875="Yes",F1875="Yes",G1875="No"),"Yes","No"))</f>
        <v/>
      </c>
      <c r="I1875" s="32"/>
      <c r="J1875" s="32"/>
    </row>
    <row r="1876" customFormat="false" ht="15" hidden="false" customHeight="false" outlineLevel="0" collapsed="false">
      <c r="A1876" s="32"/>
      <c r="B1876" s="32"/>
      <c r="C1876" s="32"/>
      <c r="D1876" s="32"/>
      <c r="E1876" s="32"/>
      <c r="F1876" s="32"/>
      <c r="G1876" s="32"/>
      <c r="H1876" s="28" t="str">
        <f aca="false">IF(COUNTA(C1876:G1876)=0,"",IF(AND(C1876="Yes",D1876="Yes",E1876="Yes",F1876="Yes",G1876="No"),"Yes","No"))</f>
        <v/>
      </c>
      <c r="I1876" s="32"/>
      <c r="J1876" s="32"/>
    </row>
    <row r="1877" customFormat="false" ht="15" hidden="false" customHeight="false" outlineLevel="0" collapsed="false">
      <c r="A1877" s="32"/>
      <c r="B1877" s="32"/>
      <c r="C1877" s="32"/>
      <c r="D1877" s="32"/>
      <c r="E1877" s="32"/>
      <c r="F1877" s="32"/>
      <c r="G1877" s="32"/>
      <c r="H1877" s="28" t="str">
        <f aca="false">IF(COUNTA(C1877:G1877)=0,"",IF(AND(C1877="Yes",D1877="Yes",E1877="Yes",F1877="Yes",G1877="No"),"Yes","No"))</f>
        <v/>
      </c>
      <c r="I1877" s="32"/>
      <c r="J1877" s="32"/>
    </row>
    <row r="1878" customFormat="false" ht="15" hidden="false" customHeight="false" outlineLevel="0" collapsed="false">
      <c r="A1878" s="32"/>
      <c r="B1878" s="32"/>
      <c r="C1878" s="32"/>
      <c r="D1878" s="32"/>
      <c r="E1878" s="32"/>
      <c r="F1878" s="32"/>
      <c r="G1878" s="32"/>
      <c r="H1878" s="28" t="str">
        <f aca="false">IF(COUNTA(C1878:G1878)=0,"",IF(AND(C1878="Yes",D1878="Yes",E1878="Yes",F1878="Yes",G1878="No"),"Yes","No"))</f>
        <v/>
      </c>
      <c r="I1878" s="32"/>
      <c r="J1878" s="32"/>
    </row>
    <row r="1879" customFormat="false" ht="15" hidden="false" customHeight="false" outlineLevel="0" collapsed="false">
      <c r="A1879" s="32"/>
      <c r="B1879" s="32"/>
      <c r="C1879" s="32"/>
      <c r="D1879" s="32"/>
      <c r="E1879" s="32"/>
      <c r="F1879" s="32"/>
      <c r="G1879" s="32"/>
      <c r="H1879" s="28" t="str">
        <f aca="false">IF(COUNTA(C1879:G1879)=0,"",IF(AND(C1879="Yes",D1879="Yes",E1879="Yes",F1879="Yes",G1879="No"),"Yes","No"))</f>
        <v/>
      </c>
      <c r="I1879" s="32"/>
      <c r="J1879" s="32"/>
    </row>
    <row r="1880" customFormat="false" ht="15" hidden="false" customHeight="false" outlineLevel="0" collapsed="false">
      <c r="A1880" s="32"/>
      <c r="B1880" s="32"/>
      <c r="C1880" s="32"/>
      <c r="D1880" s="32"/>
      <c r="E1880" s="32"/>
      <c r="F1880" s="32"/>
      <c r="G1880" s="32"/>
      <c r="H1880" s="28" t="str">
        <f aca="false">IF(COUNTA(C1880:G1880)=0,"",IF(AND(C1880="Yes",D1880="Yes",E1880="Yes",F1880="Yes",G1880="No"),"Yes","No"))</f>
        <v/>
      </c>
      <c r="I1880" s="32"/>
      <c r="J1880" s="32"/>
    </row>
    <row r="1881" customFormat="false" ht="15" hidden="false" customHeight="false" outlineLevel="0" collapsed="false">
      <c r="A1881" s="32"/>
      <c r="B1881" s="32"/>
      <c r="C1881" s="32"/>
      <c r="D1881" s="32"/>
      <c r="E1881" s="32"/>
      <c r="F1881" s="32"/>
      <c r="G1881" s="32"/>
      <c r="H1881" s="28" t="str">
        <f aca="false">IF(COUNTA(C1881:G1881)=0,"",IF(AND(C1881="Yes",D1881="Yes",E1881="Yes",F1881="Yes",G1881="No"),"Yes","No"))</f>
        <v/>
      </c>
      <c r="I1881" s="32"/>
      <c r="J1881" s="32"/>
    </row>
    <row r="1882" customFormat="false" ht="15" hidden="false" customHeight="false" outlineLevel="0" collapsed="false">
      <c r="A1882" s="32"/>
      <c r="B1882" s="32"/>
      <c r="C1882" s="32"/>
      <c r="D1882" s="32"/>
      <c r="E1882" s="32"/>
      <c r="F1882" s="32"/>
      <c r="G1882" s="32"/>
      <c r="H1882" s="28" t="str">
        <f aca="false">IF(COUNTA(C1882:G1882)=0,"",IF(AND(C1882="Yes",D1882="Yes",E1882="Yes",F1882="Yes",G1882="No"),"Yes","No"))</f>
        <v/>
      </c>
      <c r="I1882" s="32"/>
      <c r="J1882" s="32"/>
    </row>
    <row r="1883" customFormat="false" ht="15" hidden="false" customHeight="false" outlineLevel="0" collapsed="false">
      <c r="A1883" s="32"/>
      <c r="B1883" s="32"/>
      <c r="C1883" s="32"/>
      <c r="D1883" s="32"/>
      <c r="E1883" s="32"/>
      <c r="F1883" s="32"/>
      <c r="G1883" s="32"/>
      <c r="H1883" s="28" t="str">
        <f aca="false">IF(COUNTA(C1883:G1883)=0,"",IF(AND(C1883="Yes",D1883="Yes",E1883="Yes",F1883="Yes",G1883="No"),"Yes","No"))</f>
        <v/>
      </c>
      <c r="I1883" s="32"/>
      <c r="J1883" s="32"/>
    </row>
    <row r="1884" customFormat="false" ht="15" hidden="false" customHeight="false" outlineLevel="0" collapsed="false">
      <c r="A1884" s="32"/>
      <c r="B1884" s="32"/>
      <c r="C1884" s="32"/>
      <c r="D1884" s="32"/>
      <c r="E1884" s="32"/>
      <c r="F1884" s="32"/>
      <c r="G1884" s="32"/>
      <c r="H1884" s="28" t="str">
        <f aca="false">IF(COUNTA(C1884:G1884)=0,"",IF(AND(C1884="Yes",D1884="Yes",E1884="Yes",F1884="Yes",G1884="No"),"Yes","No"))</f>
        <v/>
      </c>
      <c r="I1884" s="32"/>
      <c r="J1884" s="32"/>
    </row>
    <row r="1885" customFormat="false" ht="15" hidden="false" customHeight="false" outlineLevel="0" collapsed="false">
      <c r="A1885" s="32"/>
      <c r="B1885" s="32"/>
      <c r="C1885" s="32"/>
      <c r="D1885" s="32"/>
      <c r="E1885" s="32"/>
      <c r="F1885" s="32"/>
      <c r="G1885" s="32"/>
      <c r="H1885" s="28" t="str">
        <f aca="false">IF(COUNTA(C1885:G1885)=0,"",IF(AND(C1885="Yes",D1885="Yes",E1885="Yes",F1885="Yes",G1885="No"),"Yes","No"))</f>
        <v/>
      </c>
      <c r="I1885" s="32"/>
      <c r="J1885" s="32"/>
    </row>
    <row r="1886" customFormat="false" ht="15" hidden="false" customHeight="false" outlineLevel="0" collapsed="false">
      <c r="A1886" s="32"/>
      <c r="B1886" s="32"/>
      <c r="C1886" s="32"/>
      <c r="D1886" s="32"/>
      <c r="E1886" s="32"/>
      <c r="F1886" s="32"/>
      <c r="G1886" s="32"/>
      <c r="H1886" s="28" t="str">
        <f aca="false">IF(COUNTA(C1886:G1886)=0,"",IF(AND(C1886="Yes",D1886="Yes",E1886="Yes",F1886="Yes",G1886="No"),"Yes","No"))</f>
        <v/>
      </c>
      <c r="I1886" s="32"/>
      <c r="J1886" s="32"/>
    </row>
    <row r="1887" customFormat="false" ht="15" hidden="false" customHeight="false" outlineLevel="0" collapsed="false">
      <c r="A1887" s="32"/>
      <c r="B1887" s="32"/>
      <c r="C1887" s="32"/>
      <c r="D1887" s="32"/>
      <c r="E1887" s="32"/>
      <c r="F1887" s="32"/>
      <c r="G1887" s="32"/>
      <c r="H1887" s="28" t="str">
        <f aca="false">IF(COUNTA(C1887:G1887)=0,"",IF(AND(C1887="Yes",D1887="Yes",E1887="Yes",F1887="Yes",G1887="No"),"Yes","No"))</f>
        <v/>
      </c>
      <c r="I1887" s="32"/>
      <c r="J1887" s="32"/>
    </row>
    <row r="1888" customFormat="false" ht="15" hidden="false" customHeight="false" outlineLevel="0" collapsed="false">
      <c r="A1888" s="32"/>
      <c r="B1888" s="32"/>
      <c r="C1888" s="32"/>
      <c r="D1888" s="32"/>
      <c r="E1888" s="32"/>
      <c r="F1888" s="32"/>
      <c r="G1888" s="32"/>
      <c r="H1888" s="28" t="str">
        <f aca="false">IF(COUNTA(C1888:G1888)=0,"",IF(AND(C1888="Yes",D1888="Yes",E1888="Yes",F1888="Yes",G1888="No"),"Yes","No"))</f>
        <v/>
      </c>
      <c r="I1888" s="32"/>
      <c r="J1888" s="32"/>
    </row>
    <row r="1889" customFormat="false" ht="15" hidden="false" customHeight="false" outlineLevel="0" collapsed="false">
      <c r="A1889" s="32"/>
      <c r="B1889" s="32"/>
      <c r="C1889" s="32"/>
      <c r="D1889" s="32"/>
      <c r="E1889" s="32"/>
      <c r="F1889" s="32"/>
      <c r="G1889" s="32"/>
      <c r="H1889" s="28" t="str">
        <f aca="false">IF(COUNTA(C1889:G1889)=0,"",IF(AND(C1889="Yes",D1889="Yes",E1889="Yes",F1889="Yes",G1889="No"),"Yes","No"))</f>
        <v/>
      </c>
      <c r="I1889" s="32"/>
      <c r="J1889" s="32"/>
    </row>
    <row r="1890" customFormat="false" ht="15" hidden="false" customHeight="false" outlineLevel="0" collapsed="false">
      <c r="A1890" s="32"/>
      <c r="B1890" s="32"/>
      <c r="C1890" s="32"/>
      <c r="D1890" s="32"/>
      <c r="E1890" s="32"/>
      <c r="F1890" s="32"/>
      <c r="G1890" s="32"/>
      <c r="H1890" s="28" t="str">
        <f aca="false">IF(COUNTA(C1890:G1890)=0,"",IF(AND(C1890="Yes",D1890="Yes",E1890="Yes",F1890="Yes",G1890="No"),"Yes","No"))</f>
        <v/>
      </c>
      <c r="I1890" s="32"/>
      <c r="J1890" s="32"/>
    </row>
    <row r="1891" customFormat="false" ht="15" hidden="false" customHeight="false" outlineLevel="0" collapsed="false">
      <c r="A1891" s="32"/>
      <c r="B1891" s="32"/>
      <c r="C1891" s="32"/>
      <c r="D1891" s="32"/>
      <c r="E1891" s="32"/>
      <c r="F1891" s="32"/>
      <c r="G1891" s="32"/>
      <c r="H1891" s="28" t="str">
        <f aca="false">IF(COUNTA(C1891:G1891)=0,"",IF(AND(C1891="Yes",D1891="Yes",E1891="Yes",F1891="Yes",G1891="No"),"Yes","No"))</f>
        <v/>
      </c>
      <c r="I1891" s="32"/>
      <c r="J1891" s="32"/>
    </row>
    <row r="1892" customFormat="false" ht="15" hidden="false" customHeight="false" outlineLevel="0" collapsed="false">
      <c r="A1892" s="32"/>
      <c r="B1892" s="32"/>
      <c r="C1892" s="32"/>
      <c r="D1892" s="32"/>
      <c r="E1892" s="32"/>
      <c r="F1892" s="32"/>
      <c r="G1892" s="32"/>
      <c r="H1892" s="28" t="str">
        <f aca="false">IF(COUNTA(C1892:G1892)=0,"",IF(AND(C1892="Yes",D1892="Yes",E1892="Yes",F1892="Yes",G1892="No"),"Yes","No"))</f>
        <v/>
      </c>
      <c r="I1892" s="32"/>
      <c r="J1892" s="32"/>
    </row>
    <row r="1893" customFormat="false" ht="15" hidden="false" customHeight="false" outlineLevel="0" collapsed="false">
      <c r="A1893" s="32"/>
      <c r="B1893" s="32"/>
      <c r="C1893" s="32"/>
      <c r="D1893" s="32"/>
      <c r="E1893" s="32"/>
      <c r="F1893" s="32"/>
      <c r="G1893" s="32"/>
      <c r="H1893" s="28" t="str">
        <f aca="false">IF(COUNTA(C1893:G1893)=0,"",IF(AND(C1893="Yes",D1893="Yes",E1893="Yes",F1893="Yes",G1893="No"),"Yes","No"))</f>
        <v/>
      </c>
      <c r="I1893" s="32"/>
      <c r="J1893" s="32"/>
    </row>
    <row r="1894" customFormat="false" ht="15" hidden="false" customHeight="false" outlineLevel="0" collapsed="false">
      <c r="A1894" s="32"/>
      <c r="B1894" s="32"/>
      <c r="C1894" s="32"/>
      <c r="D1894" s="32"/>
      <c r="E1894" s="32"/>
      <c r="F1894" s="32"/>
      <c r="G1894" s="32"/>
      <c r="H1894" s="28" t="str">
        <f aca="false">IF(COUNTA(C1894:G1894)=0,"",IF(AND(C1894="Yes",D1894="Yes",E1894="Yes",F1894="Yes",G1894="No"),"Yes","No"))</f>
        <v/>
      </c>
      <c r="I1894" s="32"/>
      <c r="J1894" s="32"/>
    </row>
    <row r="1895" customFormat="false" ht="15" hidden="false" customHeight="false" outlineLevel="0" collapsed="false">
      <c r="A1895" s="32"/>
      <c r="B1895" s="32"/>
      <c r="C1895" s="32"/>
      <c r="D1895" s="32"/>
      <c r="E1895" s="32"/>
      <c r="F1895" s="32"/>
      <c r="G1895" s="32"/>
      <c r="H1895" s="28" t="str">
        <f aca="false">IF(COUNTA(C1895:G1895)=0,"",IF(AND(C1895="Yes",D1895="Yes",E1895="Yes",F1895="Yes",G1895="No"),"Yes","No"))</f>
        <v/>
      </c>
      <c r="I1895" s="32"/>
      <c r="J1895" s="32"/>
    </row>
    <row r="1896" customFormat="false" ht="15" hidden="false" customHeight="false" outlineLevel="0" collapsed="false">
      <c r="A1896" s="32"/>
      <c r="B1896" s="32"/>
      <c r="C1896" s="32"/>
      <c r="D1896" s="32"/>
      <c r="E1896" s="32"/>
      <c r="F1896" s="32"/>
      <c r="G1896" s="32"/>
      <c r="H1896" s="28" t="str">
        <f aca="false">IF(COUNTA(C1896:G1896)=0,"",IF(AND(C1896="Yes",D1896="Yes",E1896="Yes",F1896="Yes",G1896="No"),"Yes","No"))</f>
        <v/>
      </c>
      <c r="I1896" s="32"/>
      <c r="J1896" s="32"/>
    </row>
    <row r="1897" customFormat="false" ht="15" hidden="false" customHeight="false" outlineLevel="0" collapsed="false">
      <c r="A1897" s="32"/>
      <c r="B1897" s="32"/>
      <c r="C1897" s="32"/>
      <c r="D1897" s="32"/>
      <c r="E1897" s="32"/>
      <c r="F1897" s="32"/>
      <c r="G1897" s="32"/>
      <c r="H1897" s="28" t="str">
        <f aca="false">IF(COUNTA(C1897:G1897)=0,"",IF(AND(C1897="Yes",D1897="Yes",E1897="Yes",F1897="Yes",G1897="No"),"Yes","No"))</f>
        <v/>
      </c>
      <c r="I1897" s="32"/>
      <c r="J1897" s="32"/>
    </row>
    <row r="1898" customFormat="false" ht="15" hidden="false" customHeight="false" outlineLevel="0" collapsed="false">
      <c r="A1898" s="32"/>
      <c r="B1898" s="32"/>
      <c r="C1898" s="32"/>
      <c r="D1898" s="32"/>
      <c r="E1898" s="32"/>
      <c r="F1898" s="32"/>
      <c r="G1898" s="32"/>
      <c r="H1898" s="28" t="str">
        <f aca="false">IF(COUNTA(C1898:G1898)=0,"",IF(AND(C1898="Yes",D1898="Yes",E1898="Yes",F1898="Yes",G1898="No"),"Yes","No"))</f>
        <v/>
      </c>
      <c r="I1898" s="32"/>
      <c r="J1898" s="32"/>
    </row>
    <row r="1899" customFormat="false" ht="15" hidden="false" customHeight="false" outlineLevel="0" collapsed="false">
      <c r="A1899" s="32"/>
      <c r="B1899" s="32"/>
      <c r="C1899" s="32"/>
      <c r="D1899" s="32"/>
      <c r="E1899" s="32"/>
      <c r="F1899" s="32"/>
      <c r="G1899" s="32"/>
      <c r="H1899" s="28" t="str">
        <f aca="false">IF(COUNTA(C1899:G1899)=0,"",IF(AND(C1899="Yes",D1899="Yes",E1899="Yes",F1899="Yes",G1899="No"),"Yes","No"))</f>
        <v/>
      </c>
      <c r="I1899" s="32"/>
      <c r="J1899" s="32"/>
    </row>
    <row r="1900" customFormat="false" ht="15" hidden="false" customHeight="false" outlineLevel="0" collapsed="false">
      <c r="A1900" s="32"/>
      <c r="B1900" s="32"/>
      <c r="C1900" s="32"/>
      <c r="D1900" s="32"/>
      <c r="E1900" s="32"/>
      <c r="F1900" s="32"/>
      <c r="G1900" s="32"/>
      <c r="H1900" s="28" t="str">
        <f aca="false">IF(COUNTA(C1900:G1900)=0,"",IF(AND(C1900="Yes",D1900="Yes",E1900="Yes",F1900="Yes",G1900="No"),"Yes","No"))</f>
        <v/>
      </c>
      <c r="I1900" s="32"/>
      <c r="J1900" s="32"/>
    </row>
    <row r="1901" customFormat="false" ht="15" hidden="false" customHeight="false" outlineLevel="0" collapsed="false">
      <c r="A1901" s="32"/>
      <c r="B1901" s="32"/>
      <c r="C1901" s="32"/>
      <c r="D1901" s="32"/>
      <c r="E1901" s="32"/>
      <c r="F1901" s="32"/>
      <c r="G1901" s="32"/>
      <c r="H1901" s="28" t="str">
        <f aca="false">IF(COUNTA(C1901:G1901)=0,"",IF(AND(C1901="Yes",D1901="Yes",E1901="Yes",F1901="Yes",G1901="No"),"Yes","No"))</f>
        <v/>
      </c>
      <c r="I1901" s="32"/>
      <c r="J1901" s="32"/>
    </row>
    <row r="1902" customFormat="false" ht="15" hidden="false" customHeight="false" outlineLevel="0" collapsed="false">
      <c r="A1902" s="32"/>
      <c r="B1902" s="32"/>
      <c r="C1902" s="32"/>
      <c r="D1902" s="32"/>
      <c r="E1902" s="32"/>
      <c r="F1902" s="32"/>
      <c r="G1902" s="32"/>
      <c r="H1902" s="28" t="str">
        <f aca="false">IF(COUNTA(C1902:G1902)=0,"",IF(AND(C1902="Yes",D1902="Yes",E1902="Yes",F1902="Yes",G1902="No"),"Yes","No"))</f>
        <v/>
      </c>
      <c r="I1902" s="32"/>
      <c r="J1902" s="32"/>
    </row>
    <row r="1903" customFormat="false" ht="15" hidden="false" customHeight="false" outlineLevel="0" collapsed="false">
      <c r="A1903" s="32"/>
      <c r="B1903" s="32"/>
      <c r="C1903" s="32"/>
      <c r="D1903" s="32"/>
      <c r="E1903" s="32"/>
      <c r="F1903" s="32"/>
      <c r="G1903" s="32"/>
      <c r="H1903" s="28" t="str">
        <f aca="false">IF(COUNTA(C1903:G1903)=0,"",IF(AND(C1903="Yes",D1903="Yes",E1903="Yes",F1903="Yes",G1903="No"),"Yes","No"))</f>
        <v/>
      </c>
      <c r="I1903" s="32"/>
      <c r="J1903" s="32"/>
    </row>
    <row r="1904" customFormat="false" ht="15" hidden="false" customHeight="false" outlineLevel="0" collapsed="false">
      <c r="A1904" s="32"/>
      <c r="B1904" s="32"/>
      <c r="C1904" s="32"/>
      <c r="D1904" s="32"/>
      <c r="E1904" s="32"/>
      <c r="F1904" s="32"/>
      <c r="G1904" s="32"/>
      <c r="H1904" s="28" t="str">
        <f aca="false">IF(COUNTA(C1904:G1904)=0,"",IF(AND(C1904="Yes",D1904="Yes",E1904="Yes",F1904="Yes",G1904="No"),"Yes","No"))</f>
        <v/>
      </c>
      <c r="I1904" s="32"/>
      <c r="J1904" s="32"/>
    </row>
    <row r="1905" customFormat="false" ht="15" hidden="false" customHeight="false" outlineLevel="0" collapsed="false">
      <c r="A1905" s="32"/>
      <c r="B1905" s="32"/>
      <c r="C1905" s="32"/>
      <c r="D1905" s="32"/>
      <c r="E1905" s="32"/>
      <c r="F1905" s="32"/>
      <c r="G1905" s="32"/>
      <c r="H1905" s="28" t="str">
        <f aca="false">IF(COUNTA(C1905:G1905)=0,"",IF(AND(C1905="Yes",D1905="Yes",E1905="Yes",F1905="Yes",G1905="No"),"Yes","No"))</f>
        <v/>
      </c>
      <c r="I1905" s="32"/>
      <c r="J1905" s="32"/>
    </row>
    <row r="1906" customFormat="false" ht="15" hidden="false" customHeight="false" outlineLevel="0" collapsed="false">
      <c r="A1906" s="32"/>
      <c r="B1906" s="32"/>
      <c r="C1906" s="32"/>
      <c r="D1906" s="32"/>
      <c r="E1906" s="32"/>
      <c r="F1906" s="32"/>
      <c r="G1906" s="32"/>
      <c r="H1906" s="28" t="str">
        <f aca="false">IF(COUNTA(C1906:G1906)=0,"",IF(AND(C1906="Yes",D1906="Yes",E1906="Yes",F1906="Yes",G1906="No"),"Yes","No"))</f>
        <v/>
      </c>
      <c r="I1906" s="32"/>
      <c r="J1906" s="32"/>
    </row>
    <row r="1907" customFormat="false" ht="15" hidden="false" customHeight="false" outlineLevel="0" collapsed="false">
      <c r="A1907" s="32"/>
      <c r="B1907" s="32"/>
      <c r="C1907" s="32"/>
      <c r="D1907" s="32"/>
      <c r="E1907" s="32"/>
      <c r="F1907" s="32"/>
      <c r="G1907" s="32"/>
      <c r="H1907" s="28" t="str">
        <f aca="false">IF(COUNTA(C1907:G1907)=0,"",IF(AND(C1907="Yes",D1907="Yes",E1907="Yes",F1907="Yes",G1907="No"),"Yes","No"))</f>
        <v/>
      </c>
      <c r="I1907" s="32"/>
      <c r="J1907" s="32"/>
    </row>
    <row r="1908" customFormat="false" ht="15" hidden="false" customHeight="false" outlineLevel="0" collapsed="false">
      <c r="A1908" s="32"/>
      <c r="B1908" s="32"/>
      <c r="C1908" s="32"/>
      <c r="D1908" s="32"/>
      <c r="E1908" s="32"/>
      <c r="F1908" s="32"/>
      <c r="G1908" s="32"/>
      <c r="H1908" s="28" t="str">
        <f aca="false">IF(COUNTA(C1908:G1908)=0,"",IF(AND(C1908="Yes",D1908="Yes",E1908="Yes",F1908="Yes",G1908="No"),"Yes","No"))</f>
        <v/>
      </c>
      <c r="I1908" s="32"/>
      <c r="J1908" s="32"/>
    </row>
    <row r="1909" customFormat="false" ht="15" hidden="false" customHeight="false" outlineLevel="0" collapsed="false">
      <c r="A1909" s="32"/>
      <c r="B1909" s="32"/>
      <c r="C1909" s="32"/>
      <c r="D1909" s="32"/>
      <c r="E1909" s="32"/>
      <c r="F1909" s="32"/>
      <c r="G1909" s="32"/>
      <c r="H1909" s="28" t="str">
        <f aca="false">IF(COUNTA(C1909:G1909)=0,"",IF(AND(C1909="Yes",D1909="Yes",E1909="Yes",F1909="Yes",G1909="No"),"Yes","No"))</f>
        <v/>
      </c>
      <c r="I1909" s="32"/>
      <c r="J1909" s="32"/>
    </row>
    <row r="1910" customFormat="false" ht="15" hidden="false" customHeight="false" outlineLevel="0" collapsed="false">
      <c r="A1910" s="32"/>
      <c r="B1910" s="32"/>
      <c r="C1910" s="32"/>
      <c r="D1910" s="32"/>
      <c r="E1910" s="32"/>
      <c r="F1910" s="32"/>
      <c r="G1910" s="32"/>
      <c r="H1910" s="28" t="str">
        <f aca="false">IF(COUNTA(C1910:G1910)=0,"",IF(AND(C1910="Yes",D1910="Yes",E1910="Yes",F1910="Yes",G1910="No"),"Yes","No"))</f>
        <v/>
      </c>
      <c r="I1910" s="32"/>
      <c r="J1910" s="32"/>
    </row>
    <row r="1911" customFormat="false" ht="15" hidden="false" customHeight="false" outlineLevel="0" collapsed="false">
      <c r="A1911" s="32"/>
      <c r="B1911" s="32"/>
      <c r="C1911" s="32"/>
      <c r="D1911" s="32"/>
      <c r="E1911" s="32"/>
      <c r="F1911" s="32"/>
      <c r="G1911" s="32"/>
      <c r="H1911" s="28" t="str">
        <f aca="false">IF(COUNTA(C1911:G1911)=0,"",IF(AND(C1911="Yes",D1911="Yes",E1911="Yes",F1911="Yes",G1911="No"),"Yes","No"))</f>
        <v/>
      </c>
      <c r="I1911" s="32"/>
      <c r="J1911" s="32"/>
    </row>
    <row r="1912" customFormat="false" ht="15" hidden="false" customHeight="false" outlineLevel="0" collapsed="false">
      <c r="A1912" s="32"/>
      <c r="B1912" s="32"/>
      <c r="C1912" s="32"/>
      <c r="D1912" s="32"/>
      <c r="E1912" s="32"/>
      <c r="F1912" s="32"/>
      <c r="G1912" s="32"/>
      <c r="H1912" s="28" t="str">
        <f aca="false">IF(COUNTA(C1912:G1912)=0,"",IF(AND(C1912="Yes",D1912="Yes",E1912="Yes",F1912="Yes",G1912="No"),"Yes","No"))</f>
        <v/>
      </c>
      <c r="I1912" s="32"/>
      <c r="J1912" s="32"/>
    </row>
    <row r="1913" customFormat="false" ht="15" hidden="false" customHeight="false" outlineLevel="0" collapsed="false">
      <c r="A1913" s="32"/>
      <c r="B1913" s="32"/>
      <c r="C1913" s="32"/>
      <c r="D1913" s="32"/>
      <c r="E1913" s="32"/>
      <c r="F1913" s="32"/>
      <c r="G1913" s="32"/>
      <c r="H1913" s="28" t="str">
        <f aca="false">IF(COUNTA(C1913:G1913)=0,"",IF(AND(C1913="Yes",D1913="Yes",E1913="Yes",F1913="Yes",G1913="No"),"Yes","No"))</f>
        <v/>
      </c>
      <c r="I1913" s="32"/>
      <c r="J1913" s="32"/>
    </row>
    <row r="1914" customFormat="false" ht="15" hidden="false" customHeight="false" outlineLevel="0" collapsed="false">
      <c r="A1914" s="32"/>
      <c r="B1914" s="32"/>
      <c r="C1914" s="32"/>
      <c r="D1914" s="32"/>
      <c r="E1914" s="32"/>
      <c r="F1914" s="32"/>
      <c r="G1914" s="32"/>
      <c r="H1914" s="28" t="str">
        <f aca="false">IF(COUNTA(C1914:G1914)=0,"",IF(AND(C1914="Yes",D1914="Yes",E1914="Yes",F1914="Yes",G1914="No"),"Yes","No"))</f>
        <v/>
      </c>
      <c r="I1914" s="32"/>
      <c r="J1914" s="32"/>
    </row>
    <row r="1915" customFormat="false" ht="15" hidden="false" customHeight="false" outlineLevel="0" collapsed="false">
      <c r="A1915" s="32"/>
      <c r="B1915" s="32"/>
      <c r="C1915" s="32"/>
      <c r="D1915" s="32"/>
      <c r="E1915" s="32"/>
      <c r="F1915" s="32"/>
      <c r="G1915" s="32"/>
      <c r="H1915" s="28" t="str">
        <f aca="false">IF(COUNTA(C1915:G1915)=0,"",IF(AND(C1915="Yes",D1915="Yes",E1915="Yes",F1915="Yes",G1915="No"),"Yes","No"))</f>
        <v/>
      </c>
      <c r="I1915" s="32"/>
      <c r="J1915" s="32"/>
    </row>
    <row r="1916" customFormat="false" ht="15" hidden="false" customHeight="false" outlineLevel="0" collapsed="false">
      <c r="A1916" s="32"/>
      <c r="B1916" s="32"/>
      <c r="C1916" s="32"/>
      <c r="D1916" s="32"/>
      <c r="E1916" s="32"/>
      <c r="F1916" s="32"/>
      <c r="G1916" s="32"/>
      <c r="H1916" s="28" t="str">
        <f aca="false">IF(COUNTA(C1916:G1916)=0,"",IF(AND(C1916="Yes",D1916="Yes",E1916="Yes",F1916="Yes",G1916="No"),"Yes","No"))</f>
        <v/>
      </c>
      <c r="I1916" s="32"/>
      <c r="J1916" s="32"/>
    </row>
    <row r="1917" customFormat="false" ht="15" hidden="false" customHeight="false" outlineLevel="0" collapsed="false">
      <c r="A1917" s="32"/>
      <c r="B1917" s="32"/>
      <c r="C1917" s="32"/>
      <c r="D1917" s="32"/>
      <c r="E1917" s="32"/>
      <c r="F1917" s="32"/>
      <c r="G1917" s="32"/>
      <c r="H1917" s="28" t="str">
        <f aca="false">IF(COUNTA(C1917:G1917)=0,"",IF(AND(C1917="Yes",D1917="Yes",E1917="Yes",F1917="Yes",G1917="No"),"Yes","No"))</f>
        <v/>
      </c>
      <c r="I1917" s="32"/>
      <c r="J1917" s="32"/>
    </row>
    <row r="1918" customFormat="false" ht="15" hidden="false" customHeight="false" outlineLevel="0" collapsed="false">
      <c r="A1918" s="32"/>
      <c r="B1918" s="32"/>
      <c r="C1918" s="32"/>
      <c r="D1918" s="32"/>
      <c r="E1918" s="32"/>
      <c r="F1918" s="32"/>
      <c r="G1918" s="32"/>
      <c r="H1918" s="28" t="str">
        <f aca="false">IF(COUNTA(C1918:G1918)=0,"",IF(AND(C1918="Yes",D1918="Yes",E1918="Yes",F1918="Yes",G1918="No"),"Yes","No"))</f>
        <v/>
      </c>
      <c r="I1918" s="32"/>
      <c r="J1918" s="32"/>
    </row>
    <row r="1919" customFormat="false" ht="15" hidden="false" customHeight="false" outlineLevel="0" collapsed="false">
      <c r="A1919" s="32"/>
      <c r="B1919" s="32"/>
      <c r="C1919" s="32"/>
      <c r="D1919" s="32"/>
      <c r="E1919" s="32"/>
      <c r="F1919" s="32"/>
      <c r="G1919" s="32"/>
      <c r="H1919" s="28" t="str">
        <f aca="false">IF(COUNTA(C1919:G1919)=0,"",IF(AND(C1919="Yes",D1919="Yes",E1919="Yes",F1919="Yes",G1919="No"),"Yes","No"))</f>
        <v/>
      </c>
      <c r="I1919" s="32"/>
      <c r="J1919" s="32"/>
    </row>
    <row r="1920" customFormat="false" ht="15" hidden="false" customHeight="false" outlineLevel="0" collapsed="false">
      <c r="A1920" s="32"/>
      <c r="B1920" s="32"/>
      <c r="C1920" s="32"/>
      <c r="D1920" s="32"/>
      <c r="E1920" s="32"/>
      <c r="F1920" s="32"/>
      <c r="G1920" s="32"/>
      <c r="H1920" s="28" t="str">
        <f aca="false">IF(COUNTA(C1920:G1920)=0,"",IF(AND(C1920="Yes",D1920="Yes",E1920="Yes",F1920="Yes",G1920="No"),"Yes","No"))</f>
        <v/>
      </c>
      <c r="I1920" s="32"/>
      <c r="J1920" s="32"/>
    </row>
    <row r="1921" customFormat="false" ht="15" hidden="false" customHeight="false" outlineLevel="0" collapsed="false">
      <c r="A1921" s="32"/>
      <c r="B1921" s="32"/>
      <c r="C1921" s="32"/>
      <c r="D1921" s="32"/>
      <c r="E1921" s="32"/>
      <c r="F1921" s="32"/>
      <c r="G1921" s="32"/>
      <c r="H1921" s="28" t="str">
        <f aca="false">IF(COUNTA(C1921:G1921)=0,"",IF(AND(C1921="Yes",D1921="Yes",E1921="Yes",F1921="Yes",G1921="No"),"Yes","No"))</f>
        <v/>
      </c>
      <c r="I1921" s="32"/>
      <c r="J1921" s="32"/>
    </row>
    <row r="1922" customFormat="false" ht="15" hidden="false" customHeight="false" outlineLevel="0" collapsed="false">
      <c r="A1922" s="32"/>
      <c r="B1922" s="32"/>
      <c r="C1922" s="32"/>
      <c r="D1922" s="32"/>
      <c r="E1922" s="32"/>
      <c r="F1922" s="32"/>
      <c r="G1922" s="32"/>
      <c r="H1922" s="28" t="str">
        <f aca="false">IF(COUNTA(C1922:G1922)=0,"",IF(AND(C1922="Yes",D1922="Yes",E1922="Yes",F1922="Yes",G1922="No"),"Yes","No"))</f>
        <v/>
      </c>
      <c r="I1922" s="32"/>
      <c r="J1922" s="32"/>
    </row>
    <row r="1923" customFormat="false" ht="15" hidden="false" customHeight="false" outlineLevel="0" collapsed="false">
      <c r="A1923" s="32"/>
      <c r="B1923" s="32"/>
      <c r="C1923" s="32"/>
      <c r="D1923" s="32"/>
      <c r="E1923" s="32"/>
      <c r="F1923" s="32"/>
      <c r="G1923" s="32"/>
      <c r="H1923" s="28" t="str">
        <f aca="false">IF(COUNTA(C1923:G1923)=0,"",IF(AND(C1923="Yes",D1923="Yes",E1923="Yes",F1923="Yes",G1923="No"),"Yes","No"))</f>
        <v/>
      </c>
      <c r="I1923" s="32"/>
      <c r="J1923" s="32"/>
    </row>
    <row r="1924" customFormat="false" ht="15" hidden="false" customHeight="false" outlineLevel="0" collapsed="false">
      <c r="A1924" s="32"/>
      <c r="B1924" s="32"/>
      <c r="C1924" s="32"/>
      <c r="D1924" s="32"/>
      <c r="E1924" s="32"/>
      <c r="F1924" s="32"/>
      <c r="G1924" s="32"/>
      <c r="H1924" s="28" t="str">
        <f aca="false">IF(COUNTA(C1924:G1924)=0,"",IF(AND(C1924="Yes",D1924="Yes",E1924="Yes",F1924="Yes",G1924="No"),"Yes","No"))</f>
        <v/>
      </c>
      <c r="I1924" s="32"/>
      <c r="J1924" s="32"/>
    </row>
    <row r="1925" customFormat="false" ht="15" hidden="false" customHeight="false" outlineLevel="0" collapsed="false">
      <c r="A1925" s="32"/>
      <c r="B1925" s="32"/>
      <c r="C1925" s="32"/>
      <c r="D1925" s="32"/>
      <c r="E1925" s="32"/>
      <c r="F1925" s="32"/>
      <c r="G1925" s="32"/>
      <c r="H1925" s="28" t="str">
        <f aca="false">IF(COUNTA(C1925:G1925)=0,"",IF(AND(C1925="Yes",D1925="Yes",E1925="Yes",F1925="Yes",G1925="No"),"Yes","No"))</f>
        <v/>
      </c>
      <c r="I1925" s="32"/>
      <c r="J1925" s="32"/>
    </row>
    <row r="1926" customFormat="false" ht="15" hidden="false" customHeight="false" outlineLevel="0" collapsed="false">
      <c r="A1926" s="32"/>
      <c r="B1926" s="32"/>
      <c r="C1926" s="32"/>
      <c r="D1926" s="32"/>
      <c r="E1926" s="32"/>
      <c r="F1926" s="32"/>
      <c r="G1926" s="32"/>
      <c r="H1926" s="28" t="str">
        <f aca="false">IF(COUNTA(C1926:G1926)=0,"",IF(AND(C1926="Yes",D1926="Yes",E1926="Yes",F1926="Yes",G1926="No"),"Yes","No"))</f>
        <v/>
      </c>
      <c r="I1926" s="32"/>
      <c r="J1926" s="32"/>
    </row>
    <row r="1927" customFormat="false" ht="15" hidden="false" customHeight="false" outlineLevel="0" collapsed="false">
      <c r="A1927" s="32"/>
      <c r="B1927" s="32"/>
      <c r="C1927" s="32"/>
      <c r="D1927" s="32"/>
      <c r="E1927" s="32"/>
      <c r="F1927" s="32"/>
      <c r="G1927" s="32"/>
      <c r="H1927" s="28" t="str">
        <f aca="false">IF(COUNTA(C1927:G1927)=0,"",IF(AND(C1927="Yes",D1927="Yes",E1927="Yes",F1927="Yes",G1927="No"),"Yes","No"))</f>
        <v/>
      </c>
      <c r="I1927" s="32"/>
      <c r="J1927" s="32"/>
    </row>
    <row r="1928" customFormat="false" ht="15" hidden="false" customHeight="false" outlineLevel="0" collapsed="false">
      <c r="A1928" s="32"/>
      <c r="B1928" s="32"/>
      <c r="C1928" s="32"/>
      <c r="D1928" s="32"/>
      <c r="E1928" s="32"/>
      <c r="F1928" s="32"/>
      <c r="G1928" s="32"/>
      <c r="H1928" s="28" t="str">
        <f aca="false">IF(COUNTA(C1928:G1928)=0,"",IF(AND(C1928="Yes",D1928="Yes",E1928="Yes",F1928="Yes",G1928="No"),"Yes","No"))</f>
        <v/>
      </c>
      <c r="I1928" s="32"/>
      <c r="J1928" s="32"/>
    </row>
    <row r="1929" customFormat="false" ht="15" hidden="false" customHeight="false" outlineLevel="0" collapsed="false">
      <c r="A1929" s="32"/>
      <c r="B1929" s="32"/>
      <c r="C1929" s="32"/>
      <c r="D1929" s="32"/>
      <c r="E1929" s="32"/>
      <c r="F1929" s="32"/>
      <c r="G1929" s="32"/>
      <c r="H1929" s="28" t="str">
        <f aca="false">IF(COUNTA(C1929:G1929)=0,"",IF(AND(C1929="Yes",D1929="Yes",E1929="Yes",F1929="Yes",G1929="No"),"Yes","No"))</f>
        <v/>
      </c>
      <c r="I1929" s="32"/>
      <c r="J1929" s="32"/>
    </row>
    <row r="1930" customFormat="false" ht="15" hidden="false" customHeight="false" outlineLevel="0" collapsed="false">
      <c r="A1930" s="32"/>
      <c r="B1930" s="32"/>
      <c r="C1930" s="32"/>
      <c r="D1930" s="32"/>
      <c r="E1930" s="32"/>
      <c r="F1930" s="32"/>
      <c r="G1930" s="32"/>
      <c r="H1930" s="28" t="str">
        <f aca="false">IF(COUNTA(C1930:G1930)=0,"",IF(AND(C1930="Yes",D1930="Yes",E1930="Yes",F1930="Yes",G1930="No"),"Yes","No"))</f>
        <v/>
      </c>
      <c r="I1930" s="32"/>
      <c r="J1930" s="32"/>
    </row>
    <row r="1931" customFormat="false" ht="15" hidden="false" customHeight="false" outlineLevel="0" collapsed="false">
      <c r="A1931" s="32"/>
      <c r="B1931" s="32"/>
      <c r="C1931" s="32"/>
      <c r="D1931" s="32"/>
      <c r="E1931" s="32"/>
      <c r="F1931" s="32"/>
      <c r="G1931" s="32"/>
      <c r="H1931" s="28" t="str">
        <f aca="false">IF(COUNTA(C1931:G1931)=0,"",IF(AND(C1931="Yes",D1931="Yes",E1931="Yes",F1931="Yes",G1931="No"),"Yes","No"))</f>
        <v/>
      </c>
      <c r="I1931" s="32"/>
      <c r="J1931" s="32"/>
    </row>
    <row r="1932" customFormat="false" ht="15" hidden="false" customHeight="false" outlineLevel="0" collapsed="false">
      <c r="A1932" s="32"/>
      <c r="B1932" s="32"/>
      <c r="C1932" s="32"/>
      <c r="D1932" s="32"/>
      <c r="E1932" s="32"/>
      <c r="F1932" s="32"/>
      <c r="G1932" s="32"/>
      <c r="H1932" s="28" t="str">
        <f aca="false">IF(COUNTA(C1932:G1932)=0,"",IF(AND(C1932="Yes",D1932="Yes",E1932="Yes",F1932="Yes",G1932="No"),"Yes","No"))</f>
        <v/>
      </c>
      <c r="I1932" s="32"/>
      <c r="J1932" s="32"/>
    </row>
    <row r="1933" customFormat="false" ht="15" hidden="false" customHeight="false" outlineLevel="0" collapsed="false">
      <c r="A1933" s="32"/>
      <c r="B1933" s="32"/>
      <c r="C1933" s="32"/>
      <c r="D1933" s="32"/>
      <c r="E1933" s="32"/>
      <c r="F1933" s="32"/>
      <c r="G1933" s="32"/>
      <c r="H1933" s="28" t="str">
        <f aca="false">IF(COUNTA(C1933:G1933)=0,"",IF(AND(C1933="Yes",D1933="Yes",E1933="Yes",F1933="Yes",G1933="No"),"Yes","No"))</f>
        <v/>
      </c>
      <c r="I1933" s="32"/>
      <c r="J1933" s="32"/>
    </row>
    <row r="1934" customFormat="false" ht="15" hidden="false" customHeight="false" outlineLevel="0" collapsed="false">
      <c r="A1934" s="32"/>
      <c r="B1934" s="32"/>
      <c r="C1934" s="32"/>
      <c r="D1934" s="32"/>
      <c r="E1934" s="32"/>
      <c r="F1934" s="32"/>
      <c r="G1934" s="32"/>
      <c r="H1934" s="28" t="str">
        <f aca="false">IF(COUNTA(C1934:G1934)=0,"",IF(AND(C1934="Yes",D1934="Yes",E1934="Yes",F1934="Yes",G1934="No"),"Yes","No"))</f>
        <v/>
      </c>
      <c r="I1934" s="32"/>
      <c r="J1934" s="32"/>
    </row>
    <row r="1935" customFormat="false" ht="15" hidden="false" customHeight="false" outlineLevel="0" collapsed="false">
      <c r="A1935" s="32"/>
      <c r="B1935" s="32"/>
      <c r="C1935" s="32"/>
      <c r="D1935" s="32"/>
      <c r="E1935" s="32"/>
      <c r="F1935" s="32"/>
      <c r="G1935" s="32"/>
      <c r="H1935" s="28" t="str">
        <f aca="false">IF(COUNTA(C1935:G1935)=0,"",IF(AND(C1935="Yes",D1935="Yes",E1935="Yes",F1935="Yes",G1935="No"),"Yes","No"))</f>
        <v/>
      </c>
      <c r="I1935" s="32"/>
      <c r="J1935" s="32"/>
    </row>
    <row r="1936" customFormat="false" ht="15" hidden="false" customHeight="false" outlineLevel="0" collapsed="false">
      <c r="A1936" s="32"/>
      <c r="B1936" s="32"/>
      <c r="C1936" s="32"/>
      <c r="D1936" s="32"/>
      <c r="E1936" s="32"/>
      <c r="F1936" s="32"/>
      <c r="G1936" s="32"/>
      <c r="H1936" s="28" t="str">
        <f aca="false">IF(COUNTA(C1936:G1936)=0,"",IF(AND(C1936="Yes",D1936="Yes",E1936="Yes",F1936="Yes",G1936="No"),"Yes","No"))</f>
        <v/>
      </c>
      <c r="I1936" s="32"/>
      <c r="J1936" s="32"/>
    </row>
    <row r="1937" customFormat="false" ht="15" hidden="false" customHeight="false" outlineLevel="0" collapsed="false">
      <c r="A1937" s="32"/>
      <c r="B1937" s="32"/>
      <c r="C1937" s="32"/>
      <c r="D1937" s="32"/>
      <c r="E1937" s="32"/>
      <c r="F1937" s="32"/>
      <c r="G1937" s="32"/>
      <c r="H1937" s="28" t="str">
        <f aca="false">IF(COUNTA(C1937:G1937)=0,"",IF(AND(C1937="Yes",D1937="Yes",E1937="Yes",F1937="Yes",G1937="No"),"Yes","No"))</f>
        <v/>
      </c>
      <c r="I1937" s="32"/>
      <c r="J1937" s="32"/>
    </row>
    <row r="1938" customFormat="false" ht="15" hidden="false" customHeight="false" outlineLevel="0" collapsed="false">
      <c r="A1938" s="32"/>
      <c r="B1938" s="32"/>
      <c r="C1938" s="32"/>
      <c r="D1938" s="32"/>
      <c r="E1938" s="32"/>
      <c r="F1938" s="32"/>
      <c r="G1938" s="32"/>
      <c r="H1938" s="28" t="str">
        <f aca="false">IF(COUNTA(C1938:G1938)=0,"",IF(AND(C1938="Yes",D1938="Yes",E1938="Yes",F1938="Yes",G1938="No"),"Yes","No"))</f>
        <v/>
      </c>
      <c r="I1938" s="32"/>
      <c r="J1938" s="32"/>
    </row>
    <row r="1939" customFormat="false" ht="15" hidden="false" customHeight="false" outlineLevel="0" collapsed="false">
      <c r="A1939" s="32"/>
      <c r="B1939" s="32"/>
      <c r="C1939" s="32"/>
      <c r="D1939" s="32"/>
      <c r="E1939" s="32"/>
      <c r="F1939" s="32"/>
      <c r="G1939" s="32"/>
      <c r="H1939" s="28" t="str">
        <f aca="false">IF(COUNTA(C1939:G1939)=0,"",IF(AND(C1939="Yes",D1939="Yes",E1939="Yes",F1939="Yes",G1939="No"),"Yes","No"))</f>
        <v/>
      </c>
      <c r="I1939" s="32"/>
      <c r="J1939" s="32"/>
    </row>
    <row r="1940" customFormat="false" ht="15" hidden="false" customHeight="false" outlineLevel="0" collapsed="false">
      <c r="A1940" s="32"/>
      <c r="B1940" s="32"/>
      <c r="C1940" s="32"/>
      <c r="D1940" s="32"/>
      <c r="E1940" s="32"/>
      <c r="F1940" s="32"/>
      <c r="G1940" s="32"/>
      <c r="H1940" s="28" t="str">
        <f aca="false">IF(COUNTA(C1940:G1940)=0,"",IF(AND(C1940="Yes",D1940="Yes",E1940="Yes",F1940="Yes",G1940="No"),"Yes","No"))</f>
        <v/>
      </c>
      <c r="I1940" s="32"/>
      <c r="J1940" s="32"/>
    </row>
    <row r="1941" customFormat="false" ht="15" hidden="false" customHeight="false" outlineLevel="0" collapsed="false">
      <c r="A1941" s="32"/>
      <c r="B1941" s="32"/>
      <c r="C1941" s="32"/>
      <c r="D1941" s="32"/>
      <c r="E1941" s="32"/>
      <c r="F1941" s="32"/>
      <c r="G1941" s="32"/>
      <c r="H1941" s="28" t="str">
        <f aca="false">IF(COUNTA(C1941:G1941)=0,"",IF(AND(C1941="Yes",D1941="Yes",E1941="Yes",F1941="Yes",G1941="No"),"Yes","No"))</f>
        <v/>
      </c>
      <c r="I1941" s="32"/>
      <c r="J1941" s="32"/>
    </row>
    <row r="1942" customFormat="false" ht="15" hidden="false" customHeight="false" outlineLevel="0" collapsed="false">
      <c r="A1942" s="32"/>
      <c r="B1942" s="32"/>
      <c r="C1942" s="32"/>
      <c r="D1942" s="32"/>
      <c r="E1942" s="32"/>
      <c r="F1942" s="32"/>
      <c r="G1942" s="32"/>
      <c r="H1942" s="28" t="str">
        <f aca="false">IF(COUNTA(C1942:G1942)=0,"",IF(AND(C1942="Yes",D1942="Yes",E1942="Yes",F1942="Yes",G1942="No"),"Yes","No"))</f>
        <v/>
      </c>
      <c r="I1942" s="32"/>
      <c r="J1942" s="32"/>
    </row>
    <row r="1943" customFormat="false" ht="15" hidden="false" customHeight="false" outlineLevel="0" collapsed="false">
      <c r="A1943" s="32"/>
      <c r="B1943" s="32"/>
      <c r="C1943" s="32"/>
      <c r="D1943" s="32"/>
      <c r="E1943" s="32"/>
      <c r="F1943" s="32"/>
      <c r="G1943" s="32"/>
      <c r="H1943" s="28" t="str">
        <f aca="false">IF(COUNTA(C1943:G1943)=0,"",IF(AND(C1943="Yes",D1943="Yes",E1943="Yes",F1943="Yes",G1943="No"),"Yes","No"))</f>
        <v/>
      </c>
      <c r="I1943" s="32"/>
      <c r="J1943" s="32"/>
    </row>
    <row r="1944" customFormat="false" ht="15" hidden="false" customHeight="false" outlineLevel="0" collapsed="false">
      <c r="A1944" s="32"/>
      <c r="B1944" s="32"/>
      <c r="C1944" s="32"/>
      <c r="D1944" s="32"/>
      <c r="E1944" s="32"/>
      <c r="F1944" s="32"/>
      <c r="G1944" s="32"/>
      <c r="H1944" s="28" t="str">
        <f aca="false">IF(COUNTA(C1944:G1944)=0,"",IF(AND(C1944="Yes",D1944="Yes",E1944="Yes",F1944="Yes",G1944="No"),"Yes","No"))</f>
        <v/>
      </c>
      <c r="I1944" s="32"/>
      <c r="J1944" s="32"/>
    </row>
    <row r="1945" customFormat="false" ht="15" hidden="false" customHeight="false" outlineLevel="0" collapsed="false">
      <c r="A1945" s="32"/>
      <c r="B1945" s="32"/>
      <c r="C1945" s="32"/>
      <c r="D1945" s="32"/>
      <c r="E1945" s="32"/>
      <c r="F1945" s="32"/>
      <c r="G1945" s="32"/>
      <c r="H1945" s="28" t="str">
        <f aca="false">IF(COUNTA(C1945:G1945)=0,"",IF(AND(C1945="Yes",D1945="Yes",E1945="Yes",F1945="Yes",G1945="No"),"Yes","No"))</f>
        <v/>
      </c>
      <c r="I1945" s="32"/>
      <c r="J1945" s="32"/>
    </row>
    <row r="1946" customFormat="false" ht="15" hidden="false" customHeight="false" outlineLevel="0" collapsed="false">
      <c r="A1946" s="32"/>
      <c r="B1946" s="32"/>
      <c r="C1946" s="32"/>
      <c r="D1946" s="32"/>
      <c r="E1946" s="32"/>
      <c r="F1946" s="32"/>
      <c r="G1946" s="32"/>
      <c r="H1946" s="28" t="str">
        <f aca="false">IF(COUNTA(C1946:G1946)=0,"",IF(AND(C1946="Yes",D1946="Yes",E1946="Yes",F1946="Yes",G1946="No"),"Yes","No"))</f>
        <v/>
      </c>
      <c r="I1946" s="32"/>
      <c r="J1946" s="32"/>
    </row>
    <row r="1947" customFormat="false" ht="15" hidden="false" customHeight="false" outlineLevel="0" collapsed="false">
      <c r="A1947" s="32"/>
      <c r="B1947" s="32"/>
      <c r="C1947" s="32"/>
      <c r="D1947" s="32"/>
      <c r="E1947" s="32"/>
      <c r="F1947" s="32"/>
      <c r="G1947" s="32"/>
      <c r="H1947" s="28" t="str">
        <f aca="false">IF(COUNTA(C1947:G1947)=0,"",IF(AND(C1947="Yes",D1947="Yes",E1947="Yes",F1947="Yes",G1947="No"),"Yes","No"))</f>
        <v/>
      </c>
      <c r="I1947" s="32"/>
      <c r="J1947" s="32"/>
    </row>
    <row r="1948" customFormat="false" ht="15" hidden="false" customHeight="false" outlineLevel="0" collapsed="false">
      <c r="A1948" s="32"/>
      <c r="B1948" s="32"/>
      <c r="C1948" s="32"/>
      <c r="D1948" s="32"/>
      <c r="E1948" s="32"/>
      <c r="F1948" s="32"/>
      <c r="G1948" s="32"/>
      <c r="H1948" s="28" t="str">
        <f aca="false">IF(COUNTA(C1948:G1948)=0,"",IF(AND(C1948="Yes",D1948="Yes",E1948="Yes",F1948="Yes",G1948="No"),"Yes","No"))</f>
        <v/>
      </c>
      <c r="I1948" s="32"/>
      <c r="J1948" s="32"/>
    </row>
    <row r="1949" customFormat="false" ht="15" hidden="false" customHeight="false" outlineLevel="0" collapsed="false">
      <c r="A1949" s="32"/>
      <c r="B1949" s="32"/>
      <c r="C1949" s="32"/>
      <c r="D1949" s="32"/>
      <c r="E1949" s="32"/>
      <c r="F1949" s="32"/>
      <c r="G1949" s="32"/>
      <c r="H1949" s="28" t="str">
        <f aca="false">IF(COUNTA(C1949:G1949)=0,"",IF(AND(C1949="Yes",D1949="Yes",E1949="Yes",F1949="Yes",G1949="No"),"Yes","No"))</f>
        <v/>
      </c>
      <c r="I1949" s="32"/>
      <c r="J1949" s="32"/>
    </row>
    <row r="1950" customFormat="false" ht="15" hidden="false" customHeight="false" outlineLevel="0" collapsed="false">
      <c r="A1950" s="32"/>
      <c r="B1950" s="32"/>
      <c r="C1950" s="32"/>
      <c r="D1950" s="32"/>
      <c r="E1950" s="32"/>
      <c r="F1950" s="32"/>
      <c r="G1950" s="32"/>
      <c r="H1950" s="28" t="str">
        <f aca="false">IF(COUNTA(C1950:G1950)=0,"",IF(AND(C1950="Yes",D1950="Yes",E1950="Yes",F1950="Yes",G1950="No"),"Yes","No"))</f>
        <v/>
      </c>
      <c r="I1950" s="32"/>
      <c r="J1950" s="32"/>
    </row>
    <row r="1951" customFormat="false" ht="15" hidden="false" customHeight="false" outlineLevel="0" collapsed="false">
      <c r="A1951" s="32"/>
      <c r="B1951" s="32"/>
      <c r="C1951" s="32"/>
      <c r="D1951" s="32"/>
      <c r="E1951" s="32"/>
      <c r="F1951" s="32"/>
      <c r="G1951" s="32"/>
      <c r="H1951" s="28" t="str">
        <f aca="false">IF(COUNTA(C1951:G1951)=0,"",IF(AND(C1951="Yes",D1951="Yes",E1951="Yes",F1951="Yes",G1951="No"),"Yes","No"))</f>
        <v/>
      </c>
      <c r="I1951" s="32"/>
      <c r="J1951" s="32"/>
    </row>
    <row r="1952" customFormat="false" ht="15" hidden="false" customHeight="false" outlineLevel="0" collapsed="false">
      <c r="A1952" s="32"/>
      <c r="B1952" s="32"/>
      <c r="C1952" s="32"/>
      <c r="D1952" s="32"/>
      <c r="E1952" s="32"/>
      <c r="F1952" s="32"/>
      <c r="G1952" s="32"/>
      <c r="H1952" s="28" t="str">
        <f aca="false">IF(COUNTA(C1952:G1952)=0,"",IF(AND(C1952="Yes",D1952="Yes",E1952="Yes",F1952="Yes",G1952="No"),"Yes","No"))</f>
        <v/>
      </c>
      <c r="I1952" s="32"/>
      <c r="J1952" s="32"/>
    </row>
    <row r="1953" customFormat="false" ht="15" hidden="false" customHeight="false" outlineLevel="0" collapsed="false">
      <c r="A1953" s="32"/>
      <c r="B1953" s="32"/>
      <c r="C1953" s="32"/>
      <c r="D1953" s="32"/>
      <c r="E1953" s="32"/>
      <c r="F1953" s="32"/>
      <c r="G1953" s="32"/>
      <c r="H1953" s="28" t="str">
        <f aca="false">IF(COUNTA(C1953:G1953)=0,"",IF(AND(C1953="Yes",D1953="Yes",E1953="Yes",F1953="Yes",G1953="No"),"Yes","No"))</f>
        <v/>
      </c>
      <c r="I1953" s="32"/>
      <c r="J1953" s="32"/>
    </row>
    <row r="1954" customFormat="false" ht="15" hidden="false" customHeight="false" outlineLevel="0" collapsed="false">
      <c r="A1954" s="32"/>
      <c r="B1954" s="32"/>
      <c r="C1954" s="32"/>
      <c r="D1954" s="32"/>
      <c r="E1954" s="32"/>
      <c r="F1954" s="32"/>
      <c r="G1954" s="32"/>
      <c r="H1954" s="28" t="str">
        <f aca="false">IF(COUNTA(C1954:G1954)=0,"",IF(AND(C1954="Yes",D1954="Yes",E1954="Yes",F1954="Yes",G1954="No"),"Yes","No"))</f>
        <v/>
      </c>
      <c r="I1954" s="32"/>
      <c r="J1954" s="32"/>
    </row>
    <row r="1955" customFormat="false" ht="15" hidden="false" customHeight="false" outlineLevel="0" collapsed="false">
      <c r="A1955" s="32"/>
      <c r="B1955" s="32"/>
      <c r="C1955" s="32"/>
      <c r="D1955" s="32"/>
      <c r="E1955" s="32"/>
      <c r="F1955" s="32"/>
      <c r="G1955" s="32"/>
      <c r="H1955" s="28" t="str">
        <f aca="false">IF(COUNTA(C1955:G1955)=0,"",IF(AND(C1955="Yes",D1955="Yes",E1955="Yes",F1955="Yes",G1955="No"),"Yes","No"))</f>
        <v/>
      </c>
      <c r="I1955" s="32"/>
      <c r="J1955" s="32"/>
    </row>
    <row r="1956" customFormat="false" ht="15" hidden="false" customHeight="false" outlineLevel="0" collapsed="false">
      <c r="A1956" s="32"/>
      <c r="B1956" s="32"/>
      <c r="C1956" s="32"/>
      <c r="D1956" s="32"/>
      <c r="E1956" s="32"/>
      <c r="F1956" s="32"/>
      <c r="G1956" s="32"/>
      <c r="H1956" s="28" t="str">
        <f aca="false">IF(COUNTA(C1956:G1956)=0,"",IF(AND(C1956="Yes",D1956="Yes",E1956="Yes",F1956="Yes",G1956="No"),"Yes","No"))</f>
        <v/>
      </c>
      <c r="I1956" s="32"/>
      <c r="J1956" s="32"/>
    </row>
    <row r="1957" customFormat="false" ht="15" hidden="false" customHeight="false" outlineLevel="0" collapsed="false">
      <c r="A1957" s="32"/>
      <c r="B1957" s="32"/>
      <c r="C1957" s="32"/>
      <c r="D1957" s="32"/>
      <c r="E1957" s="32"/>
      <c r="F1957" s="32"/>
      <c r="G1957" s="32"/>
      <c r="H1957" s="28" t="str">
        <f aca="false">IF(COUNTA(C1957:G1957)=0,"",IF(AND(C1957="Yes",D1957="Yes",E1957="Yes",F1957="Yes",G1957="No"),"Yes","No"))</f>
        <v/>
      </c>
      <c r="I1957" s="32"/>
      <c r="J1957" s="32"/>
    </row>
    <row r="1958" customFormat="false" ht="15" hidden="false" customHeight="false" outlineLevel="0" collapsed="false">
      <c r="A1958" s="32"/>
      <c r="B1958" s="32"/>
      <c r="C1958" s="32"/>
      <c r="D1958" s="32"/>
      <c r="E1958" s="32"/>
      <c r="F1958" s="32"/>
      <c r="G1958" s="32"/>
      <c r="H1958" s="28" t="str">
        <f aca="false">IF(COUNTA(C1958:G1958)=0,"",IF(AND(C1958="Yes",D1958="Yes",E1958="Yes",F1958="Yes",G1958="No"),"Yes","No"))</f>
        <v/>
      </c>
      <c r="I1958" s="32"/>
      <c r="J1958" s="32"/>
    </row>
    <row r="1959" customFormat="false" ht="15" hidden="false" customHeight="false" outlineLevel="0" collapsed="false">
      <c r="A1959" s="32"/>
      <c r="B1959" s="32"/>
      <c r="C1959" s="32"/>
      <c r="D1959" s="32"/>
      <c r="E1959" s="32"/>
      <c r="F1959" s="32"/>
      <c r="G1959" s="32"/>
      <c r="H1959" s="28" t="str">
        <f aca="false">IF(COUNTA(C1959:G1959)=0,"",IF(AND(C1959="Yes",D1959="Yes",E1959="Yes",F1959="Yes",G1959="No"),"Yes","No"))</f>
        <v/>
      </c>
      <c r="I1959" s="32"/>
      <c r="J1959" s="32"/>
    </row>
    <row r="1960" customFormat="false" ht="15" hidden="false" customHeight="false" outlineLevel="0" collapsed="false">
      <c r="A1960" s="32"/>
      <c r="B1960" s="32"/>
      <c r="C1960" s="32"/>
      <c r="D1960" s="32"/>
      <c r="E1960" s="32"/>
      <c r="F1960" s="32"/>
      <c r="G1960" s="32"/>
      <c r="H1960" s="28" t="str">
        <f aca="false">IF(COUNTA(C1960:G1960)=0,"",IF(AND(C1960="Yes",D1960="Yes",E1960="Yes",F1960="Yes",G1960="No"),"Yes","No"))</f>
        <v/>
      </c>
      <c r="I1960" s="32"/>
      <c r="J1960" s="32"/>
    </row>
    <row r="1961" customFormat="false" ht="15" hidden="false" customHeight="false" outlineLevel="0" collapsed="false">
      <c r="A1961" s="32"/>
      <c r="B1961" s="32"/>
      <c r="C1961" s="32"/>
      <c r="D1961" s="32"/>
      <c r="E1961" s="32"/>
      <c r="F1961" s="32"/>
      <c r="G1961" s="32"/>
      <c r="H1961" s="28" t="str">
        <f aca="false">IF(COUNTA(C1961:G1961)=0,"",IF(AND(C1961="Yes",D1961="Yes",E1961="Yes",F1961="Yes",G1961="No"),"Yes","No"))</f>
        <v/>
      </c>
      <c r="I1961" s="32"/>
      <c r="J1961" s="32"/>
    </row>
    <row r="1962" customFormat="false" ht="15" hidden="false" customHeight="false" outlineLevel="0" collapsed="false">
      <c r="A1962" s="32"/>
      <c r="B1962" s="32"/>
      <c r="C1962" s="32"/>
      <c r="D1962" s="32"/>
      <c r="E1962" s="32"/>
      <c r="F1962" s="32"/>
      <c r="G1962" s="32"/>
      <c r="H1962" s="28" t="str">
        <f aca="false">IF(COUNTA(C1962:G1962)=0,"",IF(AND(C1962="Yes",D1962="Yes",E1962="Yes",F1962="Yes",G1962="No"),"Yes","No"))</f>
        <v/>
      </c>
      <c r="I1962" s="32"/>
      <c r="J1962" s="32"/>
    </row>
    <row r="1963" customFormat="false" ht="15" hidden="false" customHeight="false" outlineLevel="0" collapsed="false">
      <c r="A1963" s="32"/>
      <c r="B1963" s="32"/>
      <c r="C1963" s="32"/>
      <c r="D1963" s="32"/>
      <c r="E1963" s="32"/>
      <c r="F1963" s="32"/>
      <c r="G1963" s="32"/>
      <c r="H1963" s="28" t="str">
        <f aca="false">IF(COUNTA(C1963:G1963)=0,"",IF(AND(C1963="Yes",D1963="Yes",E1963="Yes",F1963="Yes",G1963="No"),"Yes","No"))</f>
        <v/>
      </c>
      <c r="I1963" s="32"/>
      <c r="J1963" s="32"/>
    </row>
    <row r="1964" customFormat="false" ht="15" hidden="false" customHeight="false" outlineLevel="0" collapsed="false">
      <c r="A1964" s="32"/>
      <c r="B1964" s="32"/>
      <c r="C1964" s="32"/>
      <c r="D1964" s="32"/>
      <c r="E1964" s="32"/>
      <c r="F1964" s="32"/>
      <c r="G1964" s="32"/>
      <c r="H1964" s="28" t="str">
        <f aca="false">IF(COUNTA(C1964:G1964)=0,"",IF(AND(C1964="Yes",D1964="Yes",E1964="Yes",F1964="Yes",G1964="No"),"Yes","No"))</f>
        <v/>
      </c>
      <c r="I1964" s="32"/>
      <c r="J1964" s="32"/>
    </row>
    <row r="1965" customFormat="false" ht="15" hidden="false" customHeight="false" outlineLevel="0" collapsed="false">
      <c r="A1965" s="32"/>
      <c r="B1965" s="32"/>
      <c r="C1965" s="32"/>
      <c r="D1965" s="32"/>
      <c r="E1965" s="32"/>
      <c r="F1965" s="32"/>
      <c r="G1965" s="32"/>
      <c r="H1965" s="28" t="str">
        <f aca="false">IF(COUNTA(C1965:G1965)=0,"",IF(AND(C1965="Yes",D1965="Yes",E1965="Yes",F1965="Yes",G1965="No"),"Yes","No"))</f>
        <v/>
      </c>
      <c r="I1965" s="32"/>
      <c r="J1965" s="32"/>
    </row>
    <row r="1966" customFormat="false" ht="15" hidden="false" customHeight="false" outlineLevel="0" collapsed="false">
      <c r="A1966" s="32"/>
      <c r="B1966" s="32"/>
      <c r="C1966" s="32"/>
      <c r="D1966" s="32"/>
      <c r="E1966" s="32"/>
      <c r="F1966" s="32"/>
      <c r="G1966" s="32"/>
      <c r="H1966" s="28" t="str">
        <f aca="false">IF(COUNTA(C1966:G1966)=0,"",IF(AND(C1966="Yes",D1966="Yes",E1966="Yes",F1966="Yes",G1966="No"),"Yes","No"))</f>
        <v/>
      </c>
      <c r="I1966" s="32"/>
      <c r="J1966" s="32"/>
    </row>
    <row r="1967" customFormat="false" ht="15" hidden="false" customHeight="false" outlineLevel="0" collapsed="false">
      <c r="A1967" s="32"/>
      <c r="B1967" s="32"/>
      <c r="C1967" s="32"/>
      <c r="D1967" s="32"/>
      <c r="E1967" s="32"/>
      <c r="F1967" s="32"/>
      <c r="G1967" s="32"/>
      <c r="H1967" s="28" t="str">
        <f aca="false">IF(COUNTA(C1967:G1967)=0,"",IF(AND(C1967="Yes",D1967="Yes",E1967="Yes",F1967="Yes",G1967="No"),"Yes","No"))</f>
        <v/>
      </c>
      <c r="I1967" s="32"/>
      <c r="J1967" s="32"/>
    </row>
    <row r="1968" customFormat="false" ht="15" hidden="false" customHeight="false" outlineLevel="0" collapsed="false">
      <c r="A1968" s="32"/>
      <c r="B1968" s="32"/>
      <c r="C1968" s="32"/>
      <c r="D1968" s="32"/>
      <c r="E1968" s="32"/>
      <c r="F1968" s="32"/>
      <c r="G1968" s="32"/>
      <c r="H1968" s="28" t="str">
        <f aca="false">IF(COUNTA(C1968:G1968)=0,"",IF(AND(C1968="Yes",D1968="Yes",E1968="Yes",F1968="Yes",G1968="No"),"Yes","No"))</f>
        <v/>
      </c>
      <c r="I1968" s="32"/>
      <c r="J1968" s="32"/>
    </row>
    <row r="1969" customFormat="false" ht="15" hidden="false" customHeight="false" outlineLevel="0" collapsed="false">
      <c r="A1969" s="32"/>
      <c r="B1969" s="32"/>
      <c r="C1969" s="32"/>
      <c r="D1969" s="32"/>
      <c r="E1969" s="32"/>
      <c r="F1969" s="32"/>
      <c r="G1969" s="32"/>
      <c r="H1969" s="28" t="str">
        <f aca="false">IF(COUNTA(C1969:G1969)=0,"",IF(AND(C1969="Yes",D1969="Yes",E1969="Yes",F1969="Yes",G1969="No"),"Yes","No"))</f>
        <v/>
      </c>
      <c r="I1969" s="32"/>
      <c r="J1969" s="32"/>
    </row>
    <row r="1970" customFormat="false" ht="15" hidden="false" customHeight="false" outlineLevel="0" collapsed="false">
      <c r="A1970" s="32"/>
      <c r="B1970" s="32"/>
      <c r="C1970" s="32"/>
      <c r="D1970" s="32"/>
      <c r="E1970" s="32"/>
      <c r="F1970" s="32"/>
      <c r="G1970" s="32"/>
      <c r="H1970" s="28" t="str">
        <f aca="false">IF(COUNTA(C1970:G1970)=0,"",IF(AND(C1970="Yes",D1970="Yes",E1970="Yes",F1970="Yes",G1970="No"),"Yes","No"))</f>
        <v/>
      </c>
      <c r="I1970" s="32"/>
      <c r="J1970" s="32"/>
    </row>
    <row r="1971" customFormat="false" ht="15" hidden="false" customHeight="false" outlineLevel="0" collapsed="false">
      <c r="A1971" s="32"/>
      <c r="B1971" s="32"/>
      <c r="C1971" s="32"/>
      <c r="D1971" s="32"/>
      <c r="E1971" s="32"/>
      <c r="F1971" s="32"/>
      <c r="G1971" s="32"/>
      <c r="H1971" s="28" t="str">
        <f aca="false">IF(COUNTA(C1971:G1971)=0,"",IF(AND(C1971="Yes",D1971="Yes",E1971="Yes",F1971="Yes",G1971="No"),"Yes","No"))</f>
        <v/>
      </c>
      <c r="I1971" s="32"/>
      <c r="J1971" s="32"/>
    </row>
    <row r="1972" customFormat="false" ht="15" hidden="false" customHeight="false" outlineLevel="0" collapsed="false">
      <c r="A1972" s="32"/>
      <c r="B1972" s="32"/>
      <c r="C1972" s="32"/>
      <c r="D1972" s="32"/>
      <c r="E1972" s="32"/>
      <c r="F1972" s="32"/>
      <c r="G1972" s="32"/>
      <c r="H1972" s="28" t="str">
        <f aca="false">IF(COUNTA(C1972:G1972)=0,"",IF(AND(C1972="Yes",D1972="Yes",E1972="Yes",F1972="Yes",G1972="No"),"Yes","No"))</f>
        <v/>
      </c>
      <c r="I1972" s="32"/>
      <c r="J1972" s="32"/>
    </row>
    <row r="1973" customFormat="false" ht="15" hidden="false" customHeight="false" outlineLevel="0" collapsed="false">
      <c r="A1973" s="32"/>
      <c r="B1973" s="32"/>
      <c r="C1973" s="32"/>
      <c r="D1973" s="32"/>
      <c r="E1973" s="32"/>
      <c r="F1973" s="32"/>
      <c r="G1973" s="32"/>
      <c r="H1973" s="28" t="str">
        <f aca="false">IF(COUNTA(C1973:G1973)=0,"",IF(AND(C1973="Yes",D1973="Yes",E1973="Yes",F1973="Yes",G1973="No"),"Yes","No"))</f>
        <v/>
      </c>
      <c r="I1973" s="32"/>
      <c r="J1973" s="32"/>
    </row>
    <row r="1974" customFormat="false" ht="15" hidden="false" customHeight="false" outlineLevel="0" collapsed="false">
      <c r="A1974" s="32"/>
      <c r="B1974" s="32"/>
      <c r="C1974" s="32"/>
      <c r="D1974" s="32"/>
      <c r="E1974" s="32"/>
      <c r="F1974" s="32"/>
      <c r="G1974" s="32"/>
      <c r="H1974" s="28" t="str">
        <f aca="false">IF(COUNTA(C1974:G1974)=0,"",IF(AND(C1974="Yes",D1974="Yes",E1974="Yes",F1974="Yes",G1974="No"),"Yes","No"))</f>
        <v/>
      </c>
      <c r="I1974" s="32"/>
      <c r="J1974" s="32"/>
    </row>
    <row r="1975" customFormat="false" ht="15" hidden="false" customHeight="false" outlineLevel="0" collapsed="false">
      <c r="A1975" s="32"/>
      <c r="B1975" s="32"/>
      <c r="C1975" s="32"/>
      <c r="D1975" s="32"/>
      <c r="E1975" s="32"/>
      <c r="F1975" s="32"/>
      <c r="G1975" s="32"/>
      <c r="H1975" s="28" t="str">
        <f aca="false">IF(COUNTA(C1975:G1975)=0,"",IF(AND(C1975="Yes",D1975="Yes",E1975="Yes",F1975="Yes",G1975="No"),"Yes","No"))</f>
        <v/>
      </c>
      <c r="I1975" s="32"/>
      <c r="J1975" s="32"/>
    </row>
    <row r="1976" customFormat="false" ht="15" hidden="false" customHeight="false" outlineLevel="0" collapsed="false">
      <c r="A1976" s="32"/>
      <c r="B1976" s="32"/>
      <c r="C1976" s="32"/>
      <c r="D1976" s="32"/>
      <c r="E1976" s="32"/>
      <c r="F1976" s="32"/>
      <c r="G1976" s="32"/>
      <c r="H1976" s="28" t="str">
        <f aca="false">IF(COUNTA(C1976:G1976)=0,"",IF(AND(C1976="Yes",D1976="Yes",E1976="Yes",F1976="Yes",G1976="No"),"Yes","No"))</f>
        <v/>
      </c>
      <c r="I1976" s="32"/>
      <c r="J1976" s="32"/>
    </row>
    <row r="1977" customFormat="false" ht="15" hidden="false" customHeight="false" outlineLevel="0" collapsed="false">
      <c r="A1977" s="32"/>
      <c r="B1977" s="32"/>
      <c r="C1977" s="32"/>
      <c r="D1977" s="32"/>
      <c r="E1977" s="32"/>
      <c r="F1977" s="32"/>
      <c r="G1977" s="32"/>
      <c r="H1977" s="28" t="str">
        <f aca="false">IF(COUNTA(C1977:G1977)=0,"",IF(AND(C1977="Yes",D1977="Yes",E1977="Yes",F1977="Yes",G1977="No"),"Yes","No"))</f>
        <v/>
      </c>
      <c r="I1977" s="32"/>
      <c r="J1977" s="32"/>
    </row>
    <row r="1978" customFormat="false" ht="15" hidden="false" customHeight="false" outlineLevel="0" collapsed="false">
      <c r="A1978" s="32"/>
      <c r="B1978" s="32"/>
      <c r="C1978" s="32"/>
      <c r="D1978" s="32"/>
      <c r="E1978" s="32"/>
      <c r="F1978" s="32"/>
      <c r="G1978" s="32"/>
      <c r="H1978" s="28" t="str">
        <f aca="false">IF(COUNTA(C1978:G1978)=0,"",IF(AND(C1978="Yes",D1978="Yes",E1978="Yes",F1978="Yes",G1978="No"),"Yes","No"))</f>
        <v/>
      </c>
      <c r="I1978" s="32"/>
      <c r="J1978" s="32"/>
    </row>
    <row r="1979" customFormat="false" ht="15" hidden="false" customHeight="false" outlineLevel="0" collapsed="false">
      <c r="A1979" s="32"/>
      <c r="B1979" s="32"/>
      <c r="C1979" s="32"/>
      <c r="D1979" s="32"/>
      <c r="E1979" s="32"/>
      <c r="F1979" s="32"/>
      <c r="G1979" s="32"/>
      <c r="H1979" s="28" t="str">
        <f aca="false">IF(COUNTA(C1979:G1979)=0,"",IF(AND(C1979="Yes",D1979="Yes",E1979="Yes",F1979="Yes",G1979="No"),"Yes","No"))</f>
        <v/>
      </c>
      <c r="I1979" s="32"/>
      <c r="J1979" s="32"/>
    </row>
    <row r="1980" customFormat="false" ht="15" hidden="false" customHeight="false" outlineLevel="0" collapsed="false">
      <c r="A1980" s="32"/>
      <c r="B1980" s="32"/>
      <c r="C1980" s="32"/>
      <c r="D1980" s="32"/>
      <c r="E1980" s="32"/>
      <c r="F1980" s="32"/>
      <c r="G1980" s="32"/>
      <c r="H1980" s="28" t="str">
        <f aca="false">IF(COUNTA(C1980:G1980)=0,"",IF(AND(C1980="Yes",D1980="Yes",E1980="Yes",F1980="Yes",G1980="No"),"Yes","No"))</f>
        <v/>
      </c>
      <c r="I1980" s="32"/>
      <c r="J1980" s="32"/>
    </row>
    <row r="1981" customFormat="false" ht="15" hidden="false" customHeight="false" outlineLevel="0" collapsed="false">
      <c r="A1981" s="32"/>
      <c r="B1981" s="32"/>
      <c r="C1981" s="32"/>
      <c r="D1981" s="32"/>
      <c r="E1981" s="32"/>
      <c r="F1981" s="32"/>
      <c r="G1981" s="32"/>
      <c r="H1981" s="28" t="str">
        <f aca="false">IF(COUNTA(C1981:G1981)=0,"",IF(AND(C1981="Yes",D1981="Yes",E1981="Yes",F1981="Yes",G1981="No"),"Yes","No"))</f>
        <v/>
      </c>
      <c r="I1981" s="32"/>
      <c r="J1981" s="32"/>
    </row>
    <row r="1982" customFormat="false" ht="15" hidden="false" customHeight="false" outlineLevel="0" collapsed="false">
      <c r="A1982" s="32"/>
      <c r="B1982" s="32"/>
      <c r="C1982" s="32"/>
      <c r="D1982" s="32"/>
      <c r="E1982" s="32"/>
      <c r="F1982" s="32"/>
      <c r="G1982" s="32"/>
      <c r="H1982" s="28" t="str">
        <f aca="false">IF(COUNTA(C1982:G1982)=0,"",IF(AND(C1982="Yes",D1982="Yes",E1982="Yes",F1982="Yes",G1982="No"),"Yes","No"))</f>
        <v/>
      </c>
      <c r="I1982" s="32"/>
      <c r="J1982" s="32"/>
    </row>
    <row r="1983" customFormat="false" ht="15" hidden="false" customHeight="false" outlineLevel="0" collapsed="false">
      <c r="A1983" s="32"/>
      <c r="B1983" s="32"/>
      <c r="C1983" s="32"/>
      <c r="D1983" s="32"/>
      <c r="E1983" s="32"/>
      <c r="F1983" s="32"/>
      <c r="G1983" s="32"/>
      <c r="H1983" s="28" t="str">
        <f aca="false">IF(COUNTA(C1983:G1983)=0,"",IF(AND(C1983="Yes",D1983="Yes",E1983="Yes",F1983="Yes",G1983="No"),"Yes","No"))</f>
        <v/>
      </c>
      <c r="I1983" s="32"/>
      <c r="J1983" s="32"/>
    </row>
    <row r="1984" customFormat="false" ht="15" hidden="false" customHeight="false" outlineLevel="0" collapsed="false">
      <c r="A1984" s="32"/>
      <c r="B1984" s="32"/>
      <c r="C1984" s="32"/>
      <c r="D1984" s="32"/>
      <c r="E1984" s="32"/>
      <c r="F1984" s="32"/>
      <c r="G1984" s="32"/>
      <c r="H1984" s="28" t="str">
        <f aca="false">IF(COUNTA(C1984:G1984)=0,"",IF(AND(C1984="Yes",D1984="Yes",E1984="Yes",F1984="Yes",G1984="No"),"Yes","No"))</f>
        <v/>
      </c>
      <c r="I1984" s="32"/>
      <c r="J1984" s="32"/>
    </row>
    <row r="1985" customFormat="false" ht="15" hidden="false" customHeight="false" outlineLevel="0" collapsed="false">
      <c r="A1985" s="32"/>
      <c r="B1985" s="32"/>
      <c r="C1985" s="32"/>
      <c r="D1985" s="32"/>
      <c r="E1985" s="32"/>
      <c r="F1985" s="32"/>
      <c r="G1985" s="32"/>
      <c r="H1985" s="28" t="str">
        <f aca="false">IF(COUNTA(C1985:G1985)=0,"",IF(AND(C1985="Yes",D1985="Yes",E1985="Yes",F1985="Yes",G1985="No"),"Yes","No"))</f>
        <v/>
      </c>
      <c r="I1985" s="32"/>
      <c r="J1985" s="32"/>
    </row>
    <row r="1986" customFormat="false" ht="15" hidden="false" customHeight="false" outlineLevel="0" collapsed="false">
      <c r="A1986" s="32"/>
      <c r="B1986" s="32"/>
      <c r="C1986" s="32"/>
      <c r="D1986" s="32"/>
      <c r="E1986" s="32"/>
      <c r="F1986" s="32"/>
      <c r="G1986" s="32"/>
      <c r="H1986" s="28" t="str">
        <f aca="false">IF(COUNTA(C1986:G1986)=0,"",IF(AND(C1986="Yes",D1986="Yes",E1986="Yes",F1986="Yes",G1986="No"),"Yes","No"))</f>
        <v/>
      </c>
      <c r="I1986" s="32"/>
      <c r="J1986" s="32"/>
    </row>
    <row r="1987" customFormat="false" ht="15" hidden="false" customHeight="false" outlineLevel="0" collapsed="false">
      <c r="A1987" s="32"/>
      <c r="B1987" s="32"/>
      <c r="C1987" s="32"/>
      <c r="D1987" s="32"/>
      <c r="E1987" s="32"/>
      <c r="F1987" s="32"/>
      <c r="G1987" s="32"/>
      <c r="H1987" s="28" t="str">
        <f aca="false">IF(COUNTA(C1987:G1987)=0,"",IF(AND(C1987="Yes",D1987="Yes",E1987="Yes",F1987="Yes",G1987="No"),"Yes","No"))</f>
        <v/>
      </c>
      <c r="I1987" s="32"/>
      <c r="J1987" s="32"/>
    </row>
    <row r="1988" customFormat="false" ht="15" hidden="false" customHeight="false" outlineLevel="0" collapsed="false">
      <c r="A1988" s="32"/>
      <c r="B1988" s="32"/>
      <c r="C1988" s="32"/>
      <c r="D1988" s="32"/>
      <c r="E1988" s="32"/>
      <c r="F1988" s="32"/>
      <c r="G1988" s="32"/>
      <c r="H1988" s="28" t="str">
        <f aca="false">IF(COUNTA(C1988:G1988)=0,"",IF(AND(C1988="Yes",D1988="Yes",E1988="Yes",F1988="Yes",G1988="No"),"Yes","No"))</f>
        <v/>
      </c>
      <c r="I1988" s="32"/>
      <c r="J1988" s="32"/>
    </row>
    <row r="1989" customFormat="false" ht="15" hidden="false" customHeight="false" outlineLevel="0" collapsed="false">
      <c r="A1989" s="32"/>
      <c r="B1989" s="32"/>
      <c r="C1989" s="32"/>
      <c r="D1989" s="32"/>
      <c r="E1989" s="32"/>
      <c r="F1989" s="32"/>
      <c r="G1989" s="32"/>
      <c r="H1989" s="28" t="str">
        <f aca="false">IF(COUNTA(C1989:G1989)=0,"",IF(AND(C1989="Yes",D1989="Yes",E1989="Yes",F1989="Yes",G1989="No"),"Yes","No"))</f>
        <v/>
      </c>
      <c r="I1989" s="32"/>
      <c r="J1989" s="32"/>
    </row>
    <row r="1990" customFormat="false" ht="15" hidden="false" customHeight="false" outlineLevel="0" collapsed="false">
      <c r="A1990" s="32"/>
      <c r="B1990" s="32"/>
      <c r="C1990" s="32"/>
      <c r="D1990" s="32"/>
      <c r="E1990" s="32"/>
      <c r="F1990" s="32"/>
      <c r="G1990" s="32"/>
      <c r="H1990" s="28" t="str">
        <f aca="false">IF(COUNTA(C1990:G1990)=0,"",IF(AND(C1990="Yes",D1990="Yes",E1990="Yes",F1990="Yes",G1990="No"),"Yes","No"))</f>
        <v/>
      </c>
      <c r="I1990" s="32"/>
      <c r="J1990" s="32"/>
    </row>
    <row r="1991" customFormat="false" ht="15" hidden="false" customHeight="false" outlineLevel="0" collapsed="false">
      <c r="A1991" s="32"/>
      <c r="B1991" s="32"/>
      <c r="C1991" s="32"/>
      <c r="D1991" s="32"/>
      <c r="E1991" s="32"/>
      <c r="F1991" s="32"/>
      <c r="G1991" s="32"/>
      <c r="H1991" s="28" t="str">
        <f aca="false">IF(COUNTA(C1991:G1991)=0,"",IF(AND(C1991="Yes",D1991="Yes",E1991="Yes",F1991="Yes",G1991="No"),"Yes","No"))</f>
        <v/>
      </c>
      <c r="I1991" s="32"/>
      <c r="J1991" s="32"/>
    </row>
    <row r="1992" customFormat="false" ht="15" hidden="false" customHeight="false" outlineLevel="0" collapsed="false">
      <c r="A1992" s="32"/>
      <c r="B1992" s="32"/>
      <c r="C1992" s="32"/>
      <c r="D1992" s="32"/>
      <c r="E1992" s="32"/>
      <c r="F1992" s="32"/>
      <c r="G1992" s="32"/>
      <c r="H1992" s="28" t="str">
        <f aca="false">IF(COUNTA(C1992:G1992)=0,"",IF(AND(C1992="Yes",D1992="Yes",E1992="Yes",F1992="Yes",G1992="No"),"Yes","No"))</f>
        <v/>
      </c>
      <c r="I1992" s="32"/>
      <c r="J1992" s="32"/>
    </row>
    <row r="1993" customFormat="false" ht="15" hidden="false" customHeight="false" outlineLevel="0" collapsed="false">
      <c r="A1993" s="32"/>
      <c r="B1993" s="32"/>
      <c r="C1993" s="32"/>
      <c r="D1993" s="32"/>
      <c r="E1993" s="32"/>
      <c r="F1993" s="32"/>
      <c r="G1993" s="32"/>
      <c r="H1993" s="28" t="str">
        <f aca="false">IF(COUNTA(C1993:G1993)=0,"",IF(AND(C1993="Yes",D1993="Yes",E1993="Yes",F1993="Yes",G1993="No"),"Yes","No"))</f>
        <v/>
      </c>
      <c r="I1993" s="32"/>
      <c r="J1993" s="32"/>
    </row>
    <row r="1994" customFormat="false" ht="15" hidden="false" customHeight="false" outlineLevel="0" collapsed="false">
      <c r="A1994" s="32"/>
      <c r="B1994" s="32"/>
      <c r="C1994" s="32"/>
      <c r="D1994" s="32"/>
      <c r="E1994" s="32"/>
      <c r="F1994" s="32"/>
      <c r="G1994" s="32"/>
      <c r="H1994" s="28" t="str">
        <f aca="false">IF(COUNTA(C1994:G1994)=0,"",IF(AND(C1994="Yes",D1994="Yes",E1994="Yes",F1994="Yes",G1994="No"),"Yes","No"))</f>
        <v/>
      </c>
      <c r="I1994" s="32"/>
      <c r="J1994" s="32"/>
    </row>
    <row r="1995" customFormat="false" ht="15" hidden="false" customHeight="false" outlineLevel="0" collapsed="false">
      <c r="A1995" s="32"/>
      <c r="B1995" s="32"/>
      <c r="C1995" s="32"/>
      <c r="D1995" s="32"/>
      <c r="E1995" s="32"/>
      <c r="F1995" s="32"/>
      <c r="G1995" s="32"/>
      <c r="H1995" s="28" t="str">
        <f aca="false">IF(COUNTA(C1995:G1995)=0,"",IF(AND(C1995="Yes",D1995="Yes",E1995="Yes",F1995="Yes",G1995="No"),"Yes","No"))</f>
        <v/>
      </c>
      <c r="I1995" s="32"/>
      <c r="J1995" s="32"/>
    </row>
    <row r="1996" customFormat="false" ht="15" hidden="false" customHeight="false" outlineLevel="0" collapsed="false">
      <c r="A1996" s="32"/>
      <c r="B1996" s="32"/>
      <c r="C1996" s="32"/>
      <c r="D1996" s="32"/>
      <c r="E1996" s="32"/>
      <c r="F1996" s="32"/>
      <c r="G1996" s="32"/>
      <c r="H1996" s="28" t="str">
        <f aca="false">IF(COUNTA(C1996:G1996)=0,"",IF(AND(C1996="Yes",D1996="Yes",E1996="Yes",F1996="Yes",G1996="No"),"Yes","No"))</f>
        <v/>
      </c>
      <c r="I1996" s="32"/>
      <c r="J1996" s="32"/>
    </row>
    <row r="1997" customFormat="false" ht="15" hidden="false" customHeight="false" outlineLevel="0" collapsed="false">
      <c r="A1997" s="32"/>
      <c r="B1997" s="32"/>
      <c r="C1997" s="32"/>
      <c r="D1997" s="32"/>
      <c r="E1997" s="32"/>
      <c r="F1997" s="32"/>
      <c r="G1997" s="32"/>
      <c r="H1997" s="28" t="str">
        <f aca="false">IF(COUNTA(C1997:G1997)=0,"",IF(AND(C1997="Yes",D1997="Yes",E1997="Yes",F1997="Yes",G1997="No"),"Yes","No"))</f>
        <v/>
      </c>
      <c r="I1997" s="32"/>
      <c r="J1997" s="32"/>
    </row>
    <row r="1998" customFormat="false" ht="15" hidden="false" customHeight="false" outlineLevel="0" collapsed="false">
      <c r="A1998" s="32"/>
      <c r="B1998" s="32"/>
      <c r="C1998" s="32"/>
      <c r="D1998" s="32"/>
      <c r="E1998" s="32"/>
      <c r="F1998" s="32"/>
      <c r="G1998" s="32"/>
      <c r="H1998" s="28" t="str">
        <f aca="false">IF(COUNTA(C1998:G1998)=0,"",IF(AND(C1998="Yes",D1998="Yes",E1998="Yes",F1998="Yes",G1998="No"),"Yes","No"))</f>
        <v/>
      </c>
      <c r="I1998" s="32"/>
      <c r="J1998" s="32"/>
    </row>
    <row r="1999" customFormat="false" ht="15" hidden="false" customHeight="false" outlineLevel="0" collapsed="false">
      <c r="A1999" s="32"/>
      <c r="B1999" s="32"/>
      <c r="C1999" s="32"/>
      <c r="D1999" s="32"/>
      <c r="E1999" s="32"/>
      <c r="F1999" s="32"/>
      <c r="G1999" s="32"/>
      <c r="H1999" s="28" t="str">
        <f aca="false">IF(COUNTA(C1999:G1999)=0,"",IF(AND(C1999="Yes",D1999="Yes",E1999="Yes",F1999="Yes",G1999="No"),"Yes","No"))</f>
        <v/>
      </c>
      <c r="I1999" s="32"/>
      <c r="J1999" s="32"/>
    </row>
    <row r="2000" customFormat="false" ht="15" hidden="false" customHeight="false" outlineLevel="0" collapsed="false">
      <c r="A2000" s="32"/>
      <c r="B2000" s="32"/>
      <c r="C2000" s="32"/>
      <c r="D2000" s="32"/>
      <c r="E2000" s="32"/>
      <c r="F2000" s="32"/>
      <c r="G2000" s="32"/>
      <c r="H2000" s="28" t="str">
        <f aca="false">IF(COUNTA(C2000:G2000)=0,"",IF(AND(C2000="Yes",D2000="Yes",E2000="Yes",F2000="Yes",G2000="No"),"Yes","No"))</f>
        <v/>
      </c>
      <c r="I2000" s="32"/>
      <c r="J2000" s="32"/>
    </row>
    <row r="2001" customFormat="false" ht="15" hidden="false" customHeight="false" outlineLevel="0" collapsed="false">
      <c r="A2001" s="32"/>
      <c r="B2001" s="32"/>
      <c r="C2001" s="32"/>
      <c r="D2001" s="32"/>
      <c r="E2001" s="32"/>
      <c r="F2001" s="32"/>
      <c r="G2001" s="32"/>
      <c r="H2001" s="28" t="str">
        <f aca="false">IF(COUNTA(C2001:G2001)=0,"",IF(AND(C2001="Yes",D2001="Yes",E2001="Yes",F2001="Yes",G2001="No"),"Yes","No"))</f>
        <v/>
      </c>
      <c r="I2001" s="32"/>
      <c r="J2001" s="32"/>
    </row>
  </sheetData>
  <autoFilter ref="A1:J2001"/>
  <dataValidations count="2">
    <dataValidation allowBlank="true" errorStyle="stop" operator="between" showDropDown="false" showErrorMessage="false" showInputMessage="false" sqref="B2:B2001" type="list">
      <formula1>Lists!$C$2:$C$3</formula1>
      <formula2>0</formula2>
    </dataValidation>
    <dataValidation allowBlank="true" errorStyle="stop" operator="between" showDropDown="false" showErrorMessage="false" showInputMessage="false" sqref="C2:G2001" type="list">
      <formula1>Lists!$A$2:$A$3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18"/>
    <col collapsed="false" customWidth="true" hidden="false" outlineLevel="0" max="5" min="5" style="0" width="45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33" t="s">
        <v>157</v>
      </c>
      <c r="B1" s="33" t="s">
        <v>158</v>
      </c>
      <c r="C1" s="33" t="s">
        <v>159</v>
      </c>
      <c r="D1" s="33" t="s">
        <v>160</v>
      </c>
      <c r="E1" s="33" t="s">
        <v>161</v>
      </c>
      <c r="F1" s="33" t="s">
        <v>162</v>
      </c>
      <c r="G1" s="33" t="s">
        <v>163</v>
      </c>
      <c r="H1" s="33" t="s">
        <v>129</v>
      </c>
    </row>
    <row r="2" customFormat="false" ht="23.85" hidden="false" customHeight="false" outlineLevel="0" collapsed="false">
      <c r="A2" s="34" t="s">
        <v>47</v>
      </c>
      <c r="B2" s="34" t="s">
        <v>41</v>
      </c>
      <c r="C2" s="34" t="s">
        <v>164</v>
      </c>
      <c r="D2" s="34" t="s">
        <v>165</v>
      </c>
      <c r="E2" s="34" t="s">
        <v>166</v>
      </c>
      <c r="F2" s="34" t="s">
        <v>167</v>
      </c>
      <c r="G2" s="34" t="s">
        <v>168</v>
      </c>
      <c r="H2" s="34"/>
    </row>
    <row r="3" customFormat="false" ht="15" hidden="false" customHeight="false" outlineLevel="0" collapsed="false">
      <c r="A3" s="34" t="s">
        <v>48</v>
      </c>
      <c r="B3" s="34" t="s">
        <v>41</v>
      </c>
      <c r="C3" s="34" t="s">
        <v>169</v>
      </c>
      <c r="D3" s="34" t="s">
        <v>170</v>
      </c>
      <c r="E3" s="34" t="s">
        <v>171</v>
      </c>
      <c r="F3" s="34" t="s">
        <v>167</v>
      </c>
      <c r="G3" s="34" t="s">
        <v>168</v>
      </c>
      <c r="H3" s="34"/>
    </row>
    <row r="4" customFormat="false" ht="15" hidden="false" customHeight="false" outlineLevel="0" collapsed="false">
      <c r="A4" s="34" t="s">
        <v>49</v>
      </c>
      <c r="B4" s="34" t="s">
        <v>41</v>
      </c>
      <c r="C4" s="34" t="s">
        <v>172</v>
      </c>
      <c r="D4" s="34" t="s">
        <v>170</v>
      </c>
      <c r="E4" s="34" t="s">
        <v>173</v>
      </c>
      <c r="F4" s="34" t="s">
        <v>167</v>
      </c>
      <c r="G4" s="34" t="s">
        <v>168</v>
      </c>
      <c r="H4" s="34"/>
    </row>
    <row r="5" customFormat="false" ht="15" hidden="false" customHeight="false" outlineLevel="0" collapsed="false">
      <c r="A5" s="34" t="s">
        <v>50</v>
      </c>
      <c r="B5" s="34" t="s">
        <v>41</v>
      </c>
      <c r="C5" s="34" t="s">
        <v>174</v>
      </c>
      <c r="D5" s="34" t="s">
        <v>165</v>
      </c>
      <c r="E5" s="34" t="s">
        <v>166</v>
      </c>
      <c r="F5" s="34" t="s">
        <v>167</v>
      </c>
      <c r="G5" s="34" t="s">
        <v>168</v>
      </c>
      <c r="H5" s="34"/>
    </row>
    <row r="6" customFormat="false" ht="15" hidden="false" customHeight="false" outlineLevel="0" collapsed="false">
      <c r="A6" s="34" t="s">
        <v>51</v>
      </c>
      <c r="B6" s="34" t="s">
        <v>41</v>
      </c>
      <c r="C6" s="34" t="s">
        <v>175</v>
      </c>
      <c r="D6" s="34" t="s">
        <v>176</v>
      </c>
      <c r="E6" s="34" t="s">
        <v>177</v>
      </c>
      <c r="F6" s="34" t="s">
        <v>167</v>
      </c>
      <c r="G6" s="34" t="s">
        <v>168</v>
      </c>
      <c r="H6" s="34"/>
    </row>
    <row r="7" customFormat="false" ht="15" hidden="false" customHeight="false" outlineLevel="0" collapsed="false">
      <c r="A7" s="34" t="s">
        <v>52</v>
      </c>
      <c r="B7" s="34" t="s">
        <v>41</v>
      </c>
      <c r="C7" s="34" t="s">
        <v>178</v>
      </c>
      <c r="D7" s="34" t="s">
        <v>170</v>
      </c>
      <c r="E7" s="34" t="s">
        <v>179</v>
      </c>
      <c r="F7" s="34" t="s">
        <v>167</v>
      </c>
      <c r="G7" s="34" t="s">
        <v>168</v>
      </c>
      <c r="H7" s="34"/>
    </row>
    <row r="8" customFormat="false" ht="15" hidden="false" customHeight="false" outlineLevel="0" collapsed="false">
      <c r="A8" s="34" t="s">
        <v>53</v>
      </c>
      <c r="B8" s="34" t="s">
        <v>41</v>
      </c>
      <c r="C8" s="34" t="s">
        <v>180</v>
      </c>
      <c r="D8" s="34" t="s">
        <v>165</v>
      </c>
      <c r="E8" s="34" t="s">
        <v>166</v>
      </c>
      <c r="F8" s="34" t="s">
        <v>167</v>
      </c>
      <c r="G8" s="34" t="s">
        <v>168</v>
      </c>
      <c r="H8" s="34"/>
    </row>
    <row r="9" customFormat="false" ht="15" hidden="false" customHeight="false" outlineLevel="0" collapsed="false">
      <c r="A9" s="34" t="s">
        <v>54</v>
      </c>
      <c r="B9" s="34" t="s">
        <v>41</v>
      </c>
      <c r="C9" s="34" t="s">
        <v>181</v>
      </c>
      <c r="D9" s="34" t="s">
        <v>176</v>
      </c>
      <c r="E9" s="34" t="s">
        <v>182</v>
      </c>
      <c r="F9" s="34" t="s">
        <v>167</v>
      </c>
      <c r="G9" s="34" t="s">
        <v>168</v>
      </c>
      <c r="H9" s="34"/>
    </row>
    <row r="10" customFormat="false" ht="15" hidden="false" customHeight="false" outlineLevel="0" collapsed="false">
      <c r="A10" s="34" t="s">
        <v>55</v>
      </c>
      <c r="B10" s="34" t="s">
        <v>41</v>
      </c>
      <c r="C10" s="34" t="s">
        <v>183</v>
      </c>
      <c r="D10" s="34" t="s">
        <v>176</v>
      </c>
      <c r="E10" s="34" t="s">
        <v>184</v>
      </c>
      <c r="F10" s="34" t="s">
        <v>167</v>
      </c>
      <c r="G10" s="34" t="s">
        <v>168</v>
      </c>
      <c r="H10" s="34"/>
    </row>
    <row r="11" customFormat="false" ht="23.85" hidden="false" customHeight="false" outlineLevel="0" collapsed="false">
      <c r="A11" s="34" t="s">
        <v>56</v>
      </c>
      <c r="B11" s="34" t="s">
        <v>41</v>
      </c>
      <c r="C11" s="34" t="s">
        <v>185</v>
      </c>
      <c r="D11" s="34" t="s">
        <v>186</v>
      </c>
      <c r="E11" s="34" t="s">
        <v>187</v>
      </c>
      <c r="F11" s="34" t="s">
        <v>188</v>
      </c>
      <c r="G11" s="34" t="s">
        <v>189</v>
      </c>
      <c r="H11" s="34" t="s">
        <v>190</v>
      </c>
    </row>
    <row r="12" customFormat="false" ht="15" hidden="false" customHeight="false" outlineLevel="0" collapsed="false">
      <c r="A12" s="34" t="s">
        <v>57</v>
      </c>
      <c r="B12" s="34" t="s">
        <v>41</v>
      </c>
      <c r="C12" s="34" t="s">
        <v>191</v>
      </c>
      <c r="D12" s="34" t="s">
        <v>170</v>
      </c>
      <c r="E12" s="34" t="s">
        <v>192</v>
      </c>
      <c r="F12" s="34" t="s">
        <v>167</v>
      </c>
      <c r="G12" s="34" t="s">
        <v>141</v>
      </c>
      <c r="H12" s="34"/>
    </row>
    <row r="13" customFormat="false" ht="15" hidden="false" customHeight="false" outlineLevel="0" collapsed="false">
      <c r="A13" s="34" t="s">
        <v>58</v>
      </c>
      <c r="B13" s="34" t="s">
        <v>41</v>
      </c>
      <c r="C13" s="34" t="s">
        <v>193</v>
      </c>
      <c r="D13" s="34" t="s">
        <v>170</v>
      </c>
      <c r="E13" s="34" t="s">
        <v>194</v>
      </c>
      <c r="F13" s="34" t="s">
        <v>167</v>
      </c>
      <c r="G13" s="34" t="s">
        <v>141</v>
      </c>
      <c r="H13" s="34"/>
    </row>
    <row r="14" customFormat="false" ht="35.05" hidden="false" customHeight="false" outlineLevel="0" collapsed="false">
      <c r="A14" s="34" t="s">
        <v>59</v>
      </c>
      <c r="B14" s="34" t="s">
        <v>42</v>
      </c>
      <c r="C14" s="34" t="s">
        <v>195</v>
      </c>
      <c r="D14" s="34" t="s">
        <v>170</v>
      </c>
      <c r="E14" s="34" t="s">
        <v>194</v>
      </c>
      <c r="F14" s="34" t="s">
        <v>196</v>
      </c>
      <c r="G14" s="34" t="s">
        <v>141</v>
      </c>
      <c r="H14" s="34"/>
    </row>
    <row r="15" customFormat="false" ht="35.05" hidden="false" customHeight="false" outlineLevel="0" collapsed="false">
      <c r="A15" s="34" t="s">
        <v>60</v>
      </c>
      <c r="B15" s="34" t="s">
        <v>42</v>
      </c>
      <c r="C15" s="34" t="s">
        <v>197</v>
      </c>
      <c r="D15" s="34" t="s">
        <v>165</v>
      </c>
      <c r="E15" s="34" t="s">
        <v>166</v>
      </c>
      <c r="F15" s="34" t="s">
        <v>196</v>
      </c>
      <c r="G15" s="34" t="s">
        <v>168</v>
      </c>
      <c r="H15" s="34"/>
    </row>
    <row r="16" customFormat="false" ht="35.05" hidden="false" customHeight="false" outlineLevel="0" collapsed="false">
      <c r="A16" s="34" t="s">
        <v>61</v>
      </c>
      <c r="B16" s="34" t="s">
        <v>42</v>
      </c>
      <c r="C16" s="34" t="s">
        <v>198</v>
      </c>
      <c r="D16" s="34" t="s">
        <v>170</v>
      </c>
      <c r="E16" s="34" t="s">
        <v>199</v>
      </c>
      <c r="F16" s="34" t="s">
        <v>196</v>
      </c>
      <c r="G16" s="34" t="s">
        <v>141</v>
      </c>
      <c r="H16" s="34"/>
    </row>
    <row r="17" customFormat="false" ht="35.05" hidden="false" customHeight="false" outlineLevel="0" collapsed="false">
      <c r="A17" s="34" t="s">
        <v>62</v>
      </c>
      <c r="B17" s="34" t="s">
        <v>42</v>
      </c>
      <c r="C17" s="34" t="s">
        <v>200</v>
      </c>
      <c r="D17" s="34" t="s">
        <v>170</v>
      </c>
      <c r="E17" s="34" t="s">
        <v>201</v>
      </c>
      <c r="F17" s="34" t="s">
        <v>196</v>
      </c>
      <c r="G17" s="34" t="s">
        <v>168</v>
      </c>
      <c r="H17" s="34" t="s">
        <v>202</v>
      </c>
    </row>
    <row r="18" customFormat="false" ht="35.05" hidden="false" customHeight="false" outlineLevel="0" collapsed="false">
      <c r="A18" s="34" t="s">
        <v>63</v>
      </c>
      <c r="B18" s="34" t="s">
        <v>42</v>
      </c>
      <c r="C18" s="34" t="s">
        <v>203</v>
      </c>
      <c r="D18" s="34" t="s">
        <v>170</v>
      </c>
      <c r="E18" s="34" t="s">
        <v>204</v>
      </c>
      <c r="F18" s="34" t="s">
        <v>196</v>
      </c>
      <c r="G18" s="34" t="s">
        <v>168</v>
      </c>
      <c r="H18" s="34"/>
    </row>
    <row r="19" customFormat="false" ht="35.05" hidden="false" customHeight="false" outlineLevel="0" collapsed="false">
      <c r="A19" s="34" t="s">
        <v>64</v>
      </c>
      <c r="B19" s="34" t="s">
        <v>42</v>
      </c>
      <c r="C19" s="34" t="s">
        <v>205</v>
      </c>
      <c r="D19" s="34" t="s">
        <v>206</v>
      </c>
      <c r="E19" s="34" t="s">
        <v>207</v>
      </c>
      <c r="F19" s="34" t="s">
        <v>196</v>
      </c>
      <c r="G19" s="34" t="s">
        <v>168</v>
      </c>
      <c r="H19" s="34"/>
    </row>
    <row r="20" customFormat="false" ht="35.05" hidden="false" customHeight="false" outlineLevel="0" collapsed="false">
      <c r="A20" s="34" t="s">
        <v>65</v>
      </c>
      <c r="B20" s="34" t="s">
        <v>42</v>
      </c>
      <c r="C20" s="34" t="s">
        <v>208</v>
      </c>
      <c r="D20" s="34" t="s">
        <v>206</v>
      </c>
      <c r="E20" s="34" t="s">
        <v>207</v>
      </c>
      <c r="F20" s="34" t="s">
        <v>196</v>
      </c>
      <c r="G20" s="34" t="s">
        <v>168</v>
      </c>
      <c r="H20" s="34"/>
    </row>
    <row r="21" customFormat="false" ht="35.05" hidden="false" customHeight="false" outlineLevel="0" collapsed="false">
      <c r="A21" s="34" t="s">
        <v>66</v>
      </c>
      <c r="B21" s="34" t="s">
        <v>42</v>
      </c>
      <c r="C21" s="34" t="s">
        <v>209</v>
      </c>
      <c r="D21" s="34" t="s">
        <v>176</v>
      </c>
      <c r="E21" s="34" t="s">
        <v>210</v>
      </c>
      <c r="F21" s="34" t="s">
        <v>196</v>
      </c>
      <c r="G21" s="34" t="s">
        <v>168</v>
      </c>
      <c r="H21" s="34"/>
    </row>
    <row r="22" customFormat="false" ht="23.85" hidden="false" customHeight="false" outlineLevel="0" collapsed="false">
      <c r="A22" s="34" t="s">
        <v>67</v>
      </c>
      <c r="B22" s="34" t="s">
        <v>42</v>
      </c>
      <c r="C22" s="34" t="s">
        <v>211</v>
      </c>
      <c r="D22" s="34" t="s">
        <v>186</v>
      </c>
      <c r="E22" s="34"/>
      <c r="F22" s="34" t="s">
        <v>188</v>
      </c>
      <c r="G22" s="34" t="s">
        <v>189</v>
      </c>
      <c r="H22" s="34" t="s">
        <v>190</v>
      </c>
    </row>
    <row r="23" customFormat="false" ht="35.05" hidden="false" customHeight="false" outlineLevel="0" collapsed="false">
      <c r="A23" s="34" t="s">
        <v>68</v>
      </c>
      <c r="B23" s="34" t="s">
        <v>42</v>
      </c>
      <c r="C23" s="34" t="s">
        <v>212</v>
      </c>
      <c r="D23" s="34" t="s">
        <v>165</v>
      </c>
      <c r="E23" s="34" t="s">
        <v>166</v>
      </c>
      <c r="F23" s="34" t="s">
        <v>196</v>
      </c>
      <c r="G23" s="34" t="s">
        <v>168</v>
      </c>
      <c r="H23" s="34"/>
    </row>
    <row r="24" customFormat="false" ht="35.05" hidden="false" customHeight="false" outlineLevel="0" collapsed="false">
      <c r="A24" s="34" t="s">
        <v>69</v>
      </c>
      <c r="B24" s="34" t="s">
        <v>42</v>
      </c>
      <c r="C24" s="34" t="s">
        <v>213</v>
      </c>
      <c r="D24" s="34" t="s">
        <v>176</v>
      </c>
      <c r="E24" s="34" t="s">
        <v>214</v>
      </c>
      <c r="F24" s="34" t="s">
        <v>196</v>
      </c>
      <c r="G24" s="34" t="s">
        <v>168</v>
      </c>
      <c r="H24" s="34"/>
    </row>
    <row r="25" customFormat="false" ht="35.05" hidden="false" customHeight="false" outlineLevel="0" collapsed="false">
      <c r="A25" s="34" t="s">
        <v>70</v>
      </c>
      <c r="B25" s="34" t="s">
        <v>42</v>
      </c>
      <c r="C25" s="34" t="s">
        <v>172</v>
      </c>
      <c r="D25" s="34" t="s">
        <v>170</v>
      </c>
      <c r="E25" s="34" t="s">
        <v>173</v>
      </c>
      <c r="F25" s="34" t="s">
        <v>196</v>
      </c>
      <c r="G25" s="34" t="s">
        <v>168</v>
      </c>
      <c r="H25" s="34"/>
    </row>
    <row r="26" customFormat="false" ht="35.05" hidden="false" customHeight="false" outlineLevel="0" collapsed="false">
      <c r="A26" s="34" t="s">
        <v>71</v>
      </c>
      <c r="B26" s="34" t="s">
        <v>42</v>
      </c>
      <c r="C26" s="34" t="s">
        <v>215</v>
      </c>
      <c r="D26" s="34" t="s">
        <v>165</v>
      </c>
      <c r="E26" s="34" t="s">
        <v>166</v>
      </c>
      <c r="F26" s="34" t="s">
        <v>196</v>
      </c>
      <c r="G26" s="34" t="s">
        <v>168</v>
      </c>
      <c r="H26" s="34"/>
    </row>
    <row r="27" customFormat="false" ht="35.05" hidden="false" customHeight="false" outlineLevel="0" collapsed="false">
      <c r="A27" s="34" t="s">
        <v>72</v>
      </c>
      <c r="B27" s="34" t="s">
        <v>42</v>
      </c>
      <c r="C27" s="34" t="s">
        <v>216</v>
      </c>
      <c r="D27" s="34" t="s">
        <v>165</v>
      </c>
      <c r="E27" s="34" t="s">
        <v>166</v>
      </c>
      <c r="F27" s="34" t="s">
        <v>196</v>
      </c>
      <c r="G27" s="34" t="s">
        <v>168</v>
      </c>
      <c r="H27" s="34"/>
    </row>
    <row r="28" customFormat="false" ht="23.85" hidden="false" customHeight="false" outlineLevel="0" collapsed="false">
      <c r="A28" s="34" t="s">
        <v>73</v>
      </c>
      <c r="B28" s="34" t="s">
        <v>43</v>
      </c>
      <c r="C28" s="34" t="s">
        <v>217</v>
      </c>
      <c r="D28" s="34" t="s">
        <v>170</v>
      </c>
      <c r="E28" s="34" t="s">
        <v>194</v>
      </c>
      <c r="F28" s="34" t="s">
        <v>218</v>
      </c>
      <c r="G28" s="34" t="s">
        <v>141</v>
      </c>
      <c r="H28" s="34"/>
    </row>
    <row r="29" customFormat="false" ht="23.85" hidden="false" customHeight="false" outlineLevel="0" collapsed="false">
      <c r="A29" s="34" t="s">
        <v>74</v>
      </c>
      <c r="B29" s="34" t="s">
        <v>43</v>
      </c>
      <c r="C29" s="34" t="s">
        <v>219</v>
      </c>
      <c r="D29" s="34" t="s">
        <v>165</v>
      </c>
      <c r="E29" s="34" t="s">
        <v>166</v>
      </c>
      <c r="F29" s="34" t="s">
        <v>218</v>
      </c>
      <c r="G29" s="34" t="s">
        <v>168</v>
      </c>
      <c r="H29" s="34" t="s">
        <v>220</v>
      </c>
    </row>
    <row r="30" customFormat="false" ht="23.85" hidden="false" customHeight="false" outlineLevel="0" collapsed="false">
      <c r="A30" s="34" t="s">
        <v>75</v>
      </c>
      <c r="B30" s="34" t="s">
        <v>43</v>
      </c>
      <c r="C30" s="34" t="s">
        <v>195</v>
      </c>
      <c r="D30" s="34" t="s">
        <v>170</v>
      </c>
      <c r="E30" s="34" t="s">
        <v>194</v>
      </c>
      <c r="F30" s="34" t="s">
        <v>218</v>
      </c>
      <c r="G30" s="34" t="s">
        <v>141</v>
      </c>
      <c r="H30" s="34"/>
    </row>
    <row r="31" customFormat="false" ht="23.85" hidden="false" customHeight="false" outlineLevel="0" collapsed="false">
      <c r="A31" s="34" t="s">
        <v>76</v>
      </c>
      <c r="B31" s="34" t="s">
        <v>43</v>
      </c>
      <c r="C31" s="34" t="s">
        <v>195</v>
      </c>
      <c r="D31" s="34" t="s">
        <v>170</v>
      </c>
      <c r="E31" s="34" t="s">
        <v>194</v>
      </c>
      <c r="F31" s="34" t="s">
        <v>218</v>
      </c>
      <c r="G31" s="34" t="s">
        <v>141</v>
      </c>
      <c r="H31" s="34"/>
    </row>
    <row r="32" customFormat="false" ht="23.85" hidden="false" customHeight="false" outlineLevel="0" collapsed="false">
      <c r="A32" s="34" t="s">
        <v>77</v>
      </c>
      <c r="B32" s="34" t="s">
        <v>43</v>
      </c>
      <c r="C32" s="34" t="s">
        <v>195</v>
      </c>
      <c r="D32" s="34" t="s">
        <v>170</v>
      </c>
      <c r="E32" s="34" t="s">
        <v>194</v>
      </c>
      <c r="F32" s="34" t="s">
        <v>218</v>
      </c>
      <c r="G32" s="34" t="s">
        <v>141</v>
      </c>
      <c r="H32" s="34"/>
    </row>
    <row r="33" customFormat="false" ht="23.85" hidden="false" customHeight="false" outlineLevel="0" collapsed="false">
      <c r="A33" s="34" t="s">
        <v>78</v>
      </c>
      <c r="B33" s="34" t="s">
        <v>43</v>
      </c>
      <c r="C33" s="34" t="s">
        <v>195</v>
      </c>
      <c r="D33" s="34" t="s">
        <v>170</v>
      </c>
      <c r="E33" s="34" t="s">
        <v>194</v>
      </c>
      <c r="F33" s="34" t="s">
        <v>218</v>
      </c>
      <c r="G33" s="34" t="s">
        <v>141</v>
      </c>
      <c r="H33" s="34"/>
    </row>
    <row r="34" customFormat="false" ht="23.85" hidden="false" customHeight="false" outlineLevel="0" collapsed="false">
      <c r="A34" s="34" t="s">
        <v>79</v>
      </c>
      <c r="B34" s="34" t="s">
        <v>43</v>
      </c>
      <c r="C34" s="34" t="s">
        <v>195</v>
      </c>
      <c r="D34" s="34" t="s">
        <v>170</v>
      </c>
      <c r="E34" s="34" t="s">
        <v>194</v>
      </c>
      <c r="F34" s="34" t="s">
        <v>218</v>
      </c>
      <c r="G34" s="34" t="s">
        <v>141</v>
      </c>
      <c r="H34" s="34"/>
    </row>
    <row r="35" customFormat="false" ht="23.85" hidden="false" customHeight="false" outlineLevel="0" collapsed="false">
      <c r="A35" s="34" t="s">
        <v>80</v>
      </c>
      <c r="B35" s="34" t="s">
        <v>43</v>
      </c>
      <c r="C35" s="34" t="s">
        <v>195</v>
      </c>
      <c r="D35" s="34" t="s">
        <v>170</v>
      </c>
      <c r="E35" s="34" t="s">
        <v>194</v>
      </c>
      <c r="F35" s="34" t="s">
        <v>218</v>
      </c>
      <c r="G35" s="34" t="s">
        <v>141</v>
      </c>
      <c r="H35" s="34"/>
    </row>
    <row r="36" customFormat="false" ht="23.85" hidden="false" customHeight="false" outlineLevel="0" collapsed="false">
      <c r="A36" s="34" t="s">
        <v>81</v>
      </c>
      <c r="B36" s="34" t="s">
        <v>43</v>
      </c>
      <c r="C36" s="34" t="s">
        <v>221</v>
      </c>
      <c r="D36" s="34" t="s">
        <v>165</v>
      </c>
      <c r="E36" s="34" t="s">
        <v>166</v>
      </c>
      <c r="F36" s="34" t="s">
        <v>218</v>
      </c>
      <c r="G36" s="34" t="s">
        <v>168</v>
      </c>
      <c r="H36" s="34"/>
    </row>
    <row r="37" customFormat="false" ht="23.85" hidden="false" customHeight="false" outlineLevel="0" collapsed="false">
      <c r="A37" s="34" t="s">
        <v>82</v>
      </c>
      <c r="B37" s="34" t="s">
        <v>43</v>
      </c>
      <c r="C37" s="34" t="s">
        <v>222</v>
      </c>
      <c r="D37" s="34" t="s">
        <v>165</v>
      </c>
      <c r="E37" s="34" t="s">
        <v>166</v>
      </c>
      <c r="F37" s="34" t="s">
        <v>218</v>
      </c>
      <c r="G37" s="34" t="s">
        <v>168</v>
      </c>
      <c r="H37" s="34"/>
    </row>
    <row r="38" customFormat="false" ht="23.85" hidden="false" customHeight="false" outlineLevel="0" collapsed="false">
      <c r="A38" s="34" t="s">
        <v>83</v>
      </c>
      <c r="B38" s="34" t="s">
        <v>43</v>
      </c>
      <c r="C38" s="34" t="s">
        <v>195</v>
      </c>
      <c r="D38" s="34" t="s">
        <v>170</v>
      </c>
      <c r="E38" s="34" t="s">
        <v>194</v>
      </c>
      <c r="F38" s="34" t="s">
        <v>218</v>
      </c>
      <c r="G38" s="34" t="s">
        <v>141</v>
      </c>
      <c r="H38" s="34"/>
    </row>
    <row r="39" customFormat="false" ht="23.85" hidden="false" customHeight="false" outlineLevel="0" collapsed="false">
      <c r="A39" s="34" t="s">
        <v>84</v>
      </c>
      <c r="B39" s="34" t="s">
        <v>43</v>
      </c>
      <c r="C39" s="34" t="s">
        <v>223</v>
      </c>
      <c r="D39" s="34" t="s">
        <v>165</v>
      </c>
      <c r="E39" s="34" t="s">
        <v>166</v>
      </c>
      <c r="F39" s="34" t="s">
        <v>218</v>
      </c>
      <c r="G39" s="34" t="s">
        <v>168</v>
      </c>
      <c r="H39" s="34"/>
    </row>
    <row r="40" customFormat="false" ht="23.85" hidden="false" customHeight="false" outlineLevel="0" collapsed="false">
      <c r="A40" s="34" t="s">
        <v>85</v>
      </c>
      <c r="B40" s="34" t="s">
        <v>43</v>
      </c>
      <c r="C40" s="34" t="s">
        <v>224</v>
      </c>
      <c r="D40" s="34" t="s">
        <v>170</v>
      </c>
      <c r="E40" s="34" t="s">
        <v>194</v>
      </c>
      <c r="F40" s="34" t="s">
        <v>218</v>
      </c>
      <c r="G40" s="34" t="s">
        <v>141</v>
      </c>
      <c r="H40" s="34"/>
    </row>
    <row r="41" customFormat="false" ht="23.85" hidden="false" customHeight="false" outlineLevel="0" collapsed="false">
      <c r="A41" s="34" t="s">
        <v>86</v>
      </c>
      <c r="B41" s="34" t="s">
        <v>43</v>
      </c>
      <c r="C41" s="34" t="s">
        <v>224</v>
      </c>
      <c r="D41" s="34" t="s">
        <v>170</v>
      </c>
      <c r="E41" s="34" t="s">
        <v>194</v>
      </c>
      <c r="F41" s="34" t="s">
        <v>218</v>
      </c>
      <c r="G41" s="34" t="s">
        <v>141</v>
      </c>
      <c r="H41" s="34"/>
    </row>
    <row r="42" customFormat="false" ht="23.85" hidden="false" customHeight="false" outlineLevel="0" collapsed="false">
      <c r="A42" s="34" t="s">
        <v>87</v>
      </c>
      <c r="B42" s="34" t="s">
        <v>43</v>
      </c>
      <c r="C42" s="34" t="s">
        <v>225</v>
      </c>
      <c r="D42" s="34" t="s">
        <v>165</v>
      </c>
      <c r="E42" s="34" t="s">
        <v>166</v>
      </c>
      <c r="F42" s="34" t="s">
        <v>218</v>
      </c>
      <c r="G42" s="34" t="s">
        <v>168</v>
      </c>
      <c r="H42" s="34"/>
    </row>
    <row r="43" customFormat="false" ht="23.85" hidden="false" customHeight="false" outlineLevel="0" collapsed="false">
      <c r="A43" s="34" t="s">
        <v>88</v>
      </c>
      <c r="B43" s="34" t="s">
        <v>43</v>
      </c>
      <c r="C43" s="34" t="s">
        <v>226</v>
      </c>
      <c r="D43" s="34" t="s">
        <v>165</v>
      </c>
      <c r="E43" s="34" t="s">
        <v>166</v>
      </c>
      <c r="F43" s="34" t="s">
        <v>218</v>
      </c>
      <c r="G43" s="34" t="s">
        <v>168</v>
      </c>
      <c r="H43" s="34"/>
    </row>
    <row r="44" customFormat="false" ht="23.85" hidden="false" customHeight="false" outlineLevel="0" collapsed="false">
      <c r="A44" s="34" t="s">
        <v>89</v>
      </c>
      <c r="B44" s="34" t="s">
        <v>43</v>
      </c>
      <c r="C44" s="34" t="s">
        <v>227</v>
      </c>
      <c r="D44" s="34" t="s">
        <v>170</v>
      </c>
      <c r="E44" s="34" t="s">
        <v>194</v>
      </c>
      <c r="F44" s="34" t="s">
        <v>218</v>
      </c>
      <c r="G44" s="34" t="s">
        <v>141</v>
      </c>
      <c r="H44" s="34"/>
    </row>
    <row r="45" customFormat="false" ht="23.85" hidden="false" customHeight="false" outlineLevel="0" collapsed="false">
      <c r="A45" s="34" t="s">
        <v>90</v>
      </c>
      <c r="B45" s="34" t="s">
        <v>44</v>
      </c>
      <c r="C45" s="34" t="s">
        <v>172</v>
      </c>
      <c r="D45" s="34" t="s">
        <v>170</v>
      </c>
      <c r="E45" s="34" t="s">
        <v>173</v>
      </c>
      <c r="F45" s="34" t="s">
        <v>228</v>
      </c>
      <c r="G45" s="34" t="s">
        <v>168</v>
      </c>
      <c r="H45" s="34"/>
    </row>
    <row r="46" customFormat="false" ht="23.85" hidden="false" customHeight="false" outlineLevel="0" collapsed="false">
      <c r="A46" s="34" t="s">
        <v>91</v>
      </c>
      <c r="B46" s="34" t="s">
        <v>44</v>
      </c>
      <c r="C46" s="34" t="s">
        <v>229</v>
      </c>
      <c r="D46" s="34" t="s">
        <v>206</v>
      </c>
      <c r="E46" s="34" t="s">
        <v>207</v>
      </c>
      <c r="F46" s="34" t="s">
        <v>228</v>
      </c>
      <c r="G46" s="34" t="s">
        <v>168</v>
      </c>
      <c r="H46" s="34"/>
    </row>
    <row r="47" customFormat="false" ht="23.85" hidden="false" customHeight="false" outlineLevel="0" collapsed="false">
      <c r="A47" s="34" t="s">
        <v>92</v>
      </c>
      <c r="B47" s="34" t="s">
        <v>44</v>
      </c>
      <c r="C47" s="34" t="s">
        <v>230</v>
      </c>
      <c r="D47" s="34" t="s">
        <v>176</v>
      </c>
      <c r="E47" s="34" t="s">
        <v>231</v>
      </c>
      <c r="F47" s="34" t="s">
        <v>228</v>
      </c>
      <c r="G47" s="34" t="s">
        <v>168</v>
      </c>
      <c r="H47" s="34"/>
    </row>
    <row r="48" customFormat="false" ht="23.85" hidden="false" customHeight="false" outlineLevel="0" collapsed="false">
      <c r="A48" s="34" t="s">
        <v>93</v>
      </c>
      <c r="B48" s="34" t="s">
        <v>44</v>
      </c>
      <c r="C48" s="34" t="s">
        <v>230</v>
      </c>
      <c r="D48" s="34" t="s">
        <v>176</v>
      </c>
      <c r="E48" s="34" t="s">
        <v>231</v>
      </c>
      <c r="F48" s="34" t="s">
        <v>228</v>
      </c>
      <c r="G48" s="34" t="s">
        <v>168</v>
      </c>
      <c r="H48" s="34"/>
    </row>
    <row r="49" customFormat="false" ht="23.85" hidden="false" customHeight="false" outlineLevel="0" collapsed="false">
      <c r="A49" s="34" t="s">
        <v>94</v>
      </c>
      <c r="B49" s="34" t="s">
        <v>44</v>
      </c>
      <c r="C49" s="34" t="s">
        <v>230</v>
      </c>
      <c r="D49" s="34" t="s">
        <v>176</v>
      </c>
      <c r="E49" s="34" t="s">
        <v>231</v>
      </c>
      <c r="F49" s="34" t="s">
        <v>228</v>
      </c>
      <c r="G49" s="34" t="s">
        <v>168</v>
      </c>
      <c r="H49" s="34"/>
    </row>
    <row r="50" customFormat="false" ht="23.85" hidden="false" customHeight="false" outlineLevel="0" collapsed="false">
      <c r="A50" s="34" t="s">
        <v>95</v>
      </c>
      <c r="B50" s="34" t="s">
        <v>44</v>
      </c>
      <c r="C50" s="34" t="s">
        <v>232</v>
      </c>
      <c r="D50" s="34" t="s">
        <v>165</v>
      </c>
      <c r="E50" s="34" t="s">
        <v>166</v>
      </c>
      <c r="F50" s="34" t="s">
        <v>228</v>
      </c>
      <c r="G50" s="34" t="s">
        <v>168</v>
      </c>
      <c r="H50" s="34"/>
    </row>
    <row r="51" customFormat="false" ht="23.85" hidden="false" customHeight="false" outlineLevel="0" collapsed="false">
      <c r="A51" s="34" t="s">
        <v>96</v>
      </c>
      <c r="B51" s="34" t="s">
        <v>44</v>
      </c>
      <c r="C51" s="34" t="s">
        <v>233</v>
      </c>
      <c r="D51" s="34" t="s">
        <v>170</v>
      </c>
      <c r="E51" s="34" t="s">
        <v>194</v>
      </c>
      <c r="F51" s="34" t="s">
        <v>228</v>
      </c>
      <c r="G51" s="34" t="s">
        <v>141</v>
      </c>
      <c r="H51" s="34"/>
    </row>
    <row r="52" customFormat="false" ht="23.85" hidden="false" customHeight="false" outlineLevel="0" collapsed="false">
      <c r="A52" s="34" t="s">
        <v>97</v>
      </c>
      <c r="B52" s="34" t="s">
        <v>44</v>
      </c>
      <c r="C52" s="34" t="s">
        <v>234</v>
      </c>
      <c r="D52" s="34" t="s">
        <v>206</v>
      </c>
      <c r="E52" s="34" t="s">
        <v>207</v>
      </c>
      <c r="F52" s="34" t="s">
        <v>228</v>
      </c>
      <c r="G52" s="34" t="s">
        <v>168</v>
      </c>
      <c r="H52" s="34"/>
    </row>
    <row r="53" customFormat="false" ht="23.85" hidden="false" customHeight="false" outlineLevel="0" collapsed="false">
      <c r="A53" s="34" t="s">
        <v>98</v>
      </c>
      <c r="B53" s="34" t="s">
        <v>44</v>
      </c>
      <c r="C53" s="34" t="s">
        <v>235</v>
      </c>
      <c r="D53" s="34" t="s">
        <v>170</v>
      </c>
      <c r="E53" s="34" t="s">
        <v>236</v>
      </c>
      <c r="F53" s="34" t="s">
        <v>228</v>
      </c>
      <c r="G53" s="34" t="s">
        <v>168</v>
      </c>
      <c r="H53" s="34"/>
    </row>
    <row r="54" customFormat="false" ht="23.85" hidden="false" customHeight="false" outlineLevel="0" collapsed="false">
      <c r="A54" s="34" t="s">
        <v>99</v>
      </c>
      <c r="B54" s="34" t="s">
        <v>44</v>
      </c>
      <c r="C54" s="34" t="s">
        <v>237</v>
      </c>
      <c r="D54" s="34" t="s">
        <v>165</v>
      </c>
      <c r="E54" s="34" t="s">
        <v>166</v>
      </c>
      <c r="F54" s="34" t="s">
        <v>228</v>
      </c>
      <c r="G54" s="34" t="s">
        <v>168</v>
      </c>
      <c r="H54" s="34"/>
    </row>
    <row r="55" customFormat="false" ht="23.85" hidden="false" customHeight="false" outlineLevel="0" collapsed="false">
      <c r="A55" s="34" t="s">
        <v>100</v>
      </c>
      <c r="B55" s="34" t="s">
        <v>44</v>
      </c>
      <c r="C55" s="34" t="s">
        <v>229</v>
      </c>
      <c r="D55" s="34" t="s">
        <v>206</v>
      </c>
      <c r="E55" s="34" t="s">
        <v>207</v>
      </c>
      <c r="F55" s="34" t="s">
        <v>228</v>
      </c>
      <c r="G55" s="34" t="s">
        <v>168</v>
      </c>
      <c r="H55" s="34"/>
    </row>
    <row r="56" customFormat="false" ht="23.85" hidden="false" customHeight="false" outlineLevel="0" collapsed="false">
      <c r="A56" s="34" t="s">
        <v>101</v>
      </c>
      <c r="B56" s="34" t="s">
        <v>44</v>
      </c>
      <c r="C56" s="34" t="s">
        <v>230</v>
      </c>
      <c r="D56" s="34" t="s">
        <v>176</v>
      </c>
      <c r="E56" s="34" t="s">
        <v>231</v>
      </c>
      <c r="F56" s="34" t="s">
        <v>228</v>
      </c>
      <c r="G56" s="34" t="s">
        <v>168</v>
      </c>
      <c r="H56" s="34"/>
    </row>
    <row r="57" customFormat="false" ht="23.85" hidden="false" customHeight="false" outlineLevel="0" collapsed="false">
      <c r="A57" s="34" t="s">
        <v>102</v>
      </c>
      <c r="B57" s="34" t="s">
        <v>44</v>
      </c>
      <c r="C57" s="34" t="s">
        <v>230</v>
      </c>
      <c r="D57" s="34" t="s">
        <v>176</v>
      </c>
      <c r="E57" s="34" t="s">
        <v>231</v>
      </c>
      <c r="F57" s="34" t="s">
        <v>228</v>
      </c>
      <c r="G57" s="34" t="s">
        <v>168</v>
      </c>
      <c r="H57" s="34"/>
    </row>
    <row r="58" customFormat="false" ht="23.85" hidden="false" customHeight="false" outlineLevel="0" collapsed="false">
      <c r="A58" s="34" t="s">
        <v>103</v>
      </c>
      <c r="B58" s="34" t="s">
        <v>44</v>
      </c>
      <c r="C58" s="34" t="s">
        <v>230</v>
      </c>
      <c r="D58" s="34" t="s">
        <v>176</v>
      </c>
      <c r="E58" s="34" t="s">
        <v>231</v>
      </c>
      <c r="F58" s="34" t="s">
        <v>228</v>
      </c>
      <c r="G58" s="34" t="s">
        <v>168</v>
      </c>
      <c r="H58" s="34"/>
    </row>
    <row r="59" customFormat="false" ht="23.85" hidden="false" customHeight="false" outlineLevel="0" collapsed="false">
      <c r="A59" s="34" t="s">
        <v>104</v>
      </c>
      <c r="B59" s="34" t="s">
        <v>44</v>
      </c>
      <c r="C59" s="34" t="s">
        <v>232</v>
      </c>
      <c r="D59" s="34" t="s">
        <v>165</v>
      </c>
      <c r="E59" s="34" t="s">
        <v>166</v>
      </c>
      <c r="F59" s="34" t="s">
        <v>228</v>
      </c>
      <c r="G59" s="34" t="s">
        <v>168</v>
      </c>
      <c r="H59" s="34"/>
    </row>
    <row r="60" customFormat="false" ht="23.85" hidden="false" customHeight="false" outlineLevel="0" collapsed="false">
      <c r="A60" s="34" t="s">
        <v>105</v>
      </c>
      <c r="B60" s="34" t="s">
        <v>44</v>
      </c>
      <c r="C60" s="34" t="s">
        <v>238</v>
      </c>
      <c r="D60" s="34" t="s">
        <v>165</v>
      </c>
      <c r="E60" s="34" t="s">
        <v>166</v>
      </c>
      <c r="F60" s="34" t="s">
        <v>228</v>
      </c>
      <c r="G60" s="34" t="s">
        <v>168</v>
      </c>
      <c r="H60" s="34"/>
    </row>
    <row r="61" customFormat="false" ht="23.85" hidden="false" customHeight="false" outlineLevel="0" collapsed="false">
      <c r="A61" s="34" t="s">
        <v>106</v>
      </c>
      <c r="B61" s="34" t="s">
        <v>44</v>
      </c>
      <c r="C61" s="34" t="s">
        <v>239</v>
      </c>
      <c r="D61" s="34" t="s">
        <v>186</v>
      </c>
      <c r="E61" s="34" t="s">
        <v>231</v>
      </c>
      <c r="F61" s="34" t="s">
        <v>188</v>
      </c>
      <c r="G61" s="34" t="s">
        <v>189</v>
      </c>
      <c r="H61" s="34" t="s">
        <v>190</v>
      </c>
    </row>
    <row r="62" customFormat="false" ht="23.85" hidden="false" customHeight="false" outlineLevel="0" collapsed="false">
      <c r="A62" s="34" t="s">
        <v>107</v>
      </c>
      <c r="B62" s="34" t="s">
        <v>45</v>
      </c>
      <c r="C62" s="34" t="s">
        <v>240</v>
      </c>
      <c r="D62" s="34" t="s">
        <v>170</v>
      </c>
      <c r="E62" s="34" t="s">
        <v>194</v>
      </c>
      <c r="F62" s="34" t="s">
        <v>241</v>
      </c>
      <c r="G62" s="34" t="s">
        <v>141</v>
      </c>
      <c r="H62" s="34"/>
    </row>
    <row r="63" customFormat="false" ht="23.85" hidden="false" customHeight="false" outlineLevel="0" collapsed="false">
      <c r="A63" s="34" t="s">
        <v>108</v>
      </c>
      <c r="B63" s="34" t="s">
        <v>45</v>
      </c>
      <c r="C63" s="34" t="s">
        <v>242</v>
      </c>
      <c r="D63" s="34" t="s">
        <v>206</v>
      </c>
      <c r="E63" s="34" t="s">
        <v>207</v>
      </c>
      <c r="F63" s="34" t="s">
        <v>241</v>
      </c>
      <c r="G63" s="34" t="s">
        <v>168</v>
      </c>
      <c r="H63" s="34"/>
    </row>
    <row r="64" customFormat="false" ht="23.85" hidden="false" customHeight="false" outlineLevel="0" collapsed="false">
      <c r="A64" s="34" t="s">
        <v>109</v>
      </c>
      <c r="B64" s="34" t="s">
        <v>45</v>
      </c>
      <c r="C64" s="34" t="s">
        <v>243</v>
      </c>
      <c r="D64" s="34" t="s">
        <v>170</v>
      </c>
      <c r="E64" s="34" t="s">
        <v>244</v>
      </c>
      <c r="F64" s="34" t="s">
        <v>241</v>
      </c>
      <c r="G64" s="34" t="s">
        <v>168</v>
      </c>
      <c r="H64" s="34"/>
    </row>
    <row r="65" customFormat="false" ht="23.85" hidden="false" customHeight="false" outlineLevel="0" collapsed="false">
      <c r="A65" s="34" t="s">
        <v>110</v>
      </c>
      <c r="B65" s="34" t="s">
        <v>45</v>
      </c>
      <c r="C65" s="34" t="s">
        <v>245</v>
      </c>
      <c r="D65" s="34" t="s">
        <v>170</v>
      </c>
      <c r="E65" s="34" t="s">
        <v>246</v>
      </c>
      <c r="F65" s="34" t="s">
        <v>241</v>
      </c>
      <c r="G65" s="34" t="s">
        <v>168</v>
      </c>
      <c r="H65" s="34"/>
    </row>
    <row r="66" customFormat="false" ht="23.85" hidden="false" customHeight="false" outlineLevel="0" collapsed="false">
      <c r="A66" s="34" t="s">
        <v>111</v>
      </c>
      <c r="B66" s="34" t="s">
        <v>45</v>
      </c>
      <c r="C66" s="34" t="s">
        <v>247</v>
      </c>
      <c r="D66" s="34" t="s">
        <v>170</v>
      </c>
      <c r="E66" s="34" t="s">
        <v>248</v>
      </c>
      <c r="F66" s="34" t="s">
        <v>241</v>
      </c>
      <c r="G66" s="34" t="s">
        <v>168</v>
      </c>
      <c r="H66" s="34"/>
    </row>
    <row r="67" customFormat="false" ht="23.85" hidden="false" customHeight="false" outlineLevel="0" collapsed="false">
      <c r="A67" s="34" t="s">
        <v>112</v>
      </c>
      <c r="B67" s="34" t="s">
        <v>45</v>
      </c>
      <c r="C67" s="34" t="s">
        <v>249</v>
      </c>
      <c r="D67" s="34" t="s">
        <v>186</v>
      </c>
      <c r="E67" s="34"/>
      <c r="F67" s="34" t="s">
        <v>188</v>
      </c>
      <c r="G67" s="34" t="s">
        <v>189</v>
      </c>
      <c r="H67" s="34" t="s">
        <v>190</v>
      </c>
    </row>
    <row r="68" customFormat="false" ht="23.85" hidden="false" customHeight="false" outlineLevel="0" collapsed="false">
      <c r="A68" s="34" t="s">
        <v>113</v>
      </c>
      <c r="B68" s="34" t="s">
        <v>45</v>
      </c>
      <c r="C68" s="34" t="s">
        <v>250</v>
      </c>
      <c r="D68" s="34" t="s">
        <v>186</v>
      </c>
      <c r="E68" s="34"/>
      <c r="F68" s="34" t="s">
        <v>188</v>
      </c>
      <c r="G68" s="34" t="s">
        <v>189</v>
      </c>
      <c r="H68" s="34" t="s">
        <v>190</v>
      </c>
    </row>
    <row r="69" customFormat="false" ht="15" hidden="false" customHeight="false" outlineLevel="0" collapsed="false">
      <c r="A69" s="34" t="s">
        <v>114</v>
      </c>
      <c r="B69" s="34" t="s">
        <v>46</v>
      </c>
      <c r="C69" s="34" t="s">
        <v>251</v>
      </c>
      <c r="D69" s="34" t="s">
        <v>206</v>
      </c>
      <c r="E69" s="34" t="s">
        <v>207</v>
      </c>
      <c r="F69" s="34" t="s">
        <v>252</v>
      </c>
      <c r="G69" s="34" t="s">
        <v>168</v>
      </c>
      <c r="H69" s="34"/>
    </row>
    <row r="70" customFormat="false" ht="15" hidden="false" customHeight="false" outlineLevel="0" collapsed="false">
      <c r="A70" s="34" t="s">
        <v>115</v>
      </c>
      <c r="B70" s="34" t="s">
        <v>46</v>
      </c>
      <c r="C70" s="34" t="s">
        <v>253</v>
      </c>
      <c r="D70" s="34" t="s">
        <v>206</v>
      </c>
      <c r="E70" s="34" t="s">
        <v>207</v>
      </c>
      <c r="F70" s="34" t="s">
        <v>252</v>
      </c>
      <c r="G70" s="34" t="s">
        <v>168</v>
      </c>
      <c r="H70" s="34"/>
    </row>
    <row r="71" customFormat="false" ht="23.85" hidden="false" customHeight="false" outlineLevel="0" collapsed="false">
      <c r="A71" s="34" t="s">
        <v>116</v>
      </c>
      <c r="B71" s="34" t="s">
        <v>46</v>
      </c>
      <c r="C71" s="34" t="s">
        <v>254</v>
      </c>
      <c r="D71" s="34" t="s">
        <v>206</v>
      </c>
      <c r="E71" s="34" t="s">
        <v>207</v>
      </c>
      <c r="F71" s="34" t="s">
        <v>252</v>
      </c>
      <c r="G71" s="34" t="s">
        <v>168</v>
      </c>
      <c r="H71" s="34"/>
    </row>
    <row r="72" customFormat="false" ht="23.85" hidden="false" customHeight="false" outlineLevel="0" collapsed="false">
      <c r="A72" s="34" t="s">
        <v>117</v>
      </c>
      <c r="B72" s="34" t="s">
        <v>46</v>
      </c>
      <c r="C72" s="34" t="s">
        <v>255</v>
      </c>
      <c r="D72" s="34" t="s">
        <v>186</v>
      </c>
      <c r="E72" s="34" t="s">
        <v>256</v>
      </c>
      <c r="F72" s="34" t="s">
        <v>188</v>
      </c>
      <c r="G72" s="34" t="s">
        <v>189</v>
      </c>
      <c r="H72" s="34" t="s">
        <v>190</v>
      </c>
    </row>
    <row r="73" customFormat="false" ht="23.85" hidden="false" customHeight="false" outlineLevel="0" collapsed="false">
      <c r="A73" s="34" t="s">
        <v>118</v>
      </c>
      <c r="B73" s="34" t="s">
        <v>46</v>
      </c>
      <c r="C73" s="34" t="s">
        <v>257</v>
      </c>
      <c r="D73" s="34" t="s">
        <v>186</v>
      </c>
      <c r="E73" s="34" t="s">
        <v>258</v>
      </c>
      <c r="F73" s="34" t="s">
        <v>188</v>
      </c>
      <c r="G73" s="34" t="s">
        <v>189</v>
      </c>
      <c r="H73" s="34" t="s">
        <v>190</v>
      </c>
    </row>
    <row r="74" customFormat="false" ht="23.85" hidden="false" customHeight="false" outlineLevel="0" collapsed="false">
      <c r="A74" s="34" t="s">
        <v>119</v>
      </c>
      <c r="B74" s="34" t="s">
        <v>46</v>
      </c>
      <c r="C74" s="34" t="s">
        <v>259</v>
      </c>
      <c r="D74" s="34" t="s">
        <v>186</v>
      </c>
      <c r="E74" s="34"/>
      <c r="F74" s="34" t="s">
        <v>188</v>
      </c>
      <c r="G74" s="34" t="s">
        <v>189</v>
      </c>
      <c r="H74" s="34" t="s">
        <v>190</v>
      </c>
    </row>
    <row r="75" customFormat="false" ht="15" hidden="false" customHeight="false" outlineLevel="0" collapsed="false">
      <c r="A75" s="34" t="s">
        <v>120</v>
      </c>
      <c r="B75" s="34" t="s">
        <v>46</v>
      </c>
      <c r="C75" s="34" t="s">
        <v>195</v>
      </c>
      <c r="D75" s="34" t="s">
        <v>170</v>
      </c>
      <c r="E75" s="34" t="s">
        <v>194</v>
      </c>
      <c r="F75" s="34" t="s">
        <v>252</v>
      </c>
      <c r="G75" s="34" t="s">
        <v>141</v>
      </c>
      <c r="H75" s="34"/>
    </row>
    <row r="76" customFormat="false" ht="15" hidden="false" customHeight="false" outlineLevel="0" collapsed="false">
      <c r="A76" s="34" t="s">
        <v>121</v>
      </c>
      <c r="B76" s="34" t="s">
        <v>46</v>
      </c>
      <c r="C76" s="34" t="s">
        <v>260</v>
      </c>
      <c r="D76" s="34" t="s">
        <v>206</v>
      </c>
      <c r="E76" s="34" t="s">
        <v>207</v>
      </c>
      <c r="F76" s="34" t="s">
        <v>252</v>
      </c>
      <c r="G76" s="34" t="s">
        <v>168</v>
      </c>
      <c r="H76" s="34"/>
    </row>
    <row r="77" customFormat="false" ht="15" hidden="false" customHeight="false" outlineLevel="0" collapsed="false">
      <c r="A77" s="34" t="s">
        <v>122</v>
      </c>
      <c r="B77" s="34" t="s">
        <v>46</v>
      </c>
      <c r="C77" s="34" t="s">
        <v>261</v>
      </c>
      <c r="D77" s="34" t="s">
        <v>170</v>
      </c>
      <c r="E77" s="34" t="s">
        <v>194</v>
      </c>
      <c r="F77" s="34" t="s">
        <v>252</v>
      </c>
      <c r="G77" s="34" t="s">
        <v>141</v>
      </c>
      <c r="H77" s="34"/>
    </row>
    <row r="78" customFormat="false" ht="23.85" hidden="false" customHeight="false" outlineLevel="0" collapsed="false">
      <c r="A78" s="34" t="s">
        <v>123</v>
      </c>
      <c r="B78" s="34" t="s">
        <v>46</v>
      </c>
      <c r="C78" s="34" t="s">
        <v>262</v>
      </c>
      <c r="D78" s="34" t="s">
        <v>170</v>
      </c>
      <c r="E78" s="34" t="s">
        <v>263</v>
      </c>
      <c r="F78" s="34" t="s">
        <v>252</v>
      </c>
      <c r="G78" s="34" t="s">
        <v>168</v>
      </c>
      <c r="H78" s="34"/>
    </row>
    <row r="79" customFormat="false" ht="23.85" hidden="false" customHeight="false" outlineLevel="0" collapsed="false">
      <c r="A79" s="34" t="s">
        <v>124</v>
      </c>
      <c r="B79" s="34" t="s">
        <v>46</v>
      </c>
      <c r="C79" s="34" t="s">
        <v>264</v>
      </c>
      <c r="D79" s="34" t="s">
        <v>186</v>
      </c>
      <c r="E79" s="34"/>
      <c r="F79" s="34" t="s">
        <v>188</v>
      </c>
      <c r="G79" s="34" t="s">
        <v>189</v>
      </c>
      <c r="H79" s="34" t="s">
        <v>190</v>
      </c>
    </row>
    <row r="80" customFormat="false" ht="23.85" hidden="false" customHeight="false" outlineLevel="0" collapsed="false">
      <c r="A80" s="34" t="s">
        <v>125</v>
      </c>
      <c r="B80" s="34" t="s">
        <v>46</v>
      </c>
      <c r="C80" s="34" t="s">
        <v>265</v>
      </c>
      <c r="D80" s="34" t="s">
        <v>186</v>
      </c>
      <c r="E80" s="34"/>
      <c r="F80" s="34" t="s">
        <v>188</v>
      </c>
      <c r="G80" s="34" t="s">
        <v>189</v>
      </c>
      <c r="H80" s="34" t="s">
        <v>190</v>
      </c>
    </row>
    <row r="81" customFormat="false" ht="23.85" hidden="false" customHeight="false" outlineLevel="0" collapsed="false">
      <c r="A81" s="34" t="s">
        <v>126</v>
      </c>
      <c r="B81" s="34" t="s">
        <v>46</v>
      </c>
      <c r="C81" s="34" t="s">
        <v>266</v>
      </c>
      <c r="D81" s="34" t="s">
        <v>186</v>
      </c>
      <c r="E81" s="34"/>
      <c r="F81" s="34" t="s">
        <v>188</v>
      </c>
      <c r="G81" s="34" t="s">
        <v>189</v>
      </c>
      <c r="H81" s="34" t="s">
        <v>190</v>
      </c>
    </row>
    <row r="82" customFormat="false" ht="23.85" hidden="false" customHeight="false" outlineLevel="0" collapsed="false">
      <c r="A82" s="34" t="s">
        <v>127</v>
      </c>
      <c r="B82" s="34" t="s">
        <v>46</v>
      </c>
      <c r="C82" s="34" t="s">
        <v>267</v>
      </c>
      <c r="D82" s="34" t="s">
        <v>186</v>
      </c>
      <c r="E82" s="34"/>
      <c r="F82" s="34" t="s">
        <v>188</v>
      </c>
      <c r="G82" s="34" t="s">
        <v>189</v>
      </c>
      <c r="H82" s="34" t="s">
        <v>190</v>
      </c>
    </row>
    <row r="83" customFormat="false" ht="23.85" hidden="false" customHeight="false" outlineLevel="0" collapsed="false">
      <c r="A83" s="34" t="s">
        <v>128</v>
      </c>
      <c r="B83" s="34" t="s">
        <v>46</v>
      </c>
      <c r="C83" s="34" t="s">
        <v>268</v>
      </c>
      <c r="D83" s="34" t="s">
        <v>165</v>
      </c>
      <c r="E83" s="34" t="s">
        <v>166</v>
      </c>
      <c r="F83" s="34" t="s">
        <v>252</v>
      </c>
      <c r="G83" s="34" t="s">
        <v>168</v>
      </c>
      <c r="H83" s="34"/>
    </row>
    <row r="84" customFormat="false" ht="15" hidden="false" customHeight="false" outlineLevel="0" collapsed="false">
      <c r="A84" s="34" t="s">
        <v>129</v>
      </c>
      <c r="B84" s="34" t="s">
        <v>46</v>
      </c>
      <c r="C84" s="34" t="s">
        <v>269</v>
      </c>
      <c r="D84" s="34" t="s">
        <v>165</v>
      </c>
      <c r="E84" s="34" t="s">
        <v>166</v>
      </c>
      <c r="F84" s="34" t="s">
        <v>252</v>
      </c>
      <c r="G84" s="34" t="s">
        <v>168</v>
      </c>
      <c r="H84" s="34"/>
    </row>
  </sheetData>
  <autoFilter ref="A1:H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22"/>
  </cols>
  <sheetData>
    <row r="1" customFormat="false" ht="17.35" hidden="false" customHeight="false" outlineLevel="0" collapsed="false">
      <c r="A1" s="35" t="s">
        <v>270</v>
      </c>
    </row>
    <row r="2" customFormat="false" ht="15" hidden="false" customHeight="false" outlineLevel="0" collapsed="false">
      <c r="A2" s="36" t="s">
        <v>271</v>
      </c>
    </row>
    <row r="4" customFormat="false" ht="15" hidden="false" customHeight="false" outlineLevel="0" collapsed="false">
      <c r="A4" s="37" t="s">
        <v>272</v>
      </c>
    </row>
    <row r="5" customFormat="false" ht="15" hidden="false" customHeight="false" outlineLevel="0" collapsed="false">
      <c r="A5" s="38" t="s">
        <v>273</v>
      </c>
      <c r="B5" s="38" t="s">
        <v>274</v>
      </c>
      <c r="C5" s="38" t="s">
        <v>275</v>
      </c>
      <c r="D5" s="38" t="s">
        <v>276</v>
      </c>
    </row>
    <row r="6" customFormat="false" ht="15" hidden="false" customHeight="false" outlineLevel="0" collapsed="false">
      <c r="A6" s="32" t="s">
        <v>277</v>
      </c>
      <c r="B6" s="39" t="n">
        <v>151</v>
      </c>
      <c r="C6" s="32" t="n">
        <f aca="false">COUNTIFS(Patient_Data!$C$4:$C$1003,"Yes",Patient_Data!$P$4:$P$1003,"Warfarin")</f>
        <v>0</v>
      </c>
      <c r="D6" s="40" t="n">
        <f aca="false">IF(B6&gt;0,C6/B6,0)</f>
        <v>0</v>
      </c>
    </row>
    <row r="7" customFormat="false" ht="15" hidden="false" customHeight="false" outlineLevel="0" collapsed="false">
      <c r="A7" s="32" t="s">
        <v>278</v>
      </c>
      <c r="B7" s="39" t="n">
        <v>302</v>
      </c>
      <c r="C7" s="32" t="n">
        <f aca="false">COUNTIFS(Patient_Data!$C$4:$C$1003,"Yes",Patient_Data!$P$4:$P$1003,"Alternative anticoagulant")+COUNTIFS(Patient_Data!$C$4:$C$1003,"Yes",Patient_Data!$P$4:$P$1003,"No anticoagulant")</f>
        <v>0</v>
      </c>
      <c r="D7" s="40" t="n">
        <f aca="false">IF(B7&gt;0,C7/B7,0)</f>
        <v>0</v>
      </c>
    </row>
    <row r="8" customFormat="false" ht="15" hidden="false" customHeight="false" outlineLevel="0" collapsed="false">
      <c r="A8" s="41" t="s">
        <v>279</v>
      </c>
      <c r="B8" s="41" t="n">
        <f aca="false">B6+B7</f>
        <v>453</v>
      </c>
      <c r="C8" s="41" t="n">
        <f aca="false">C6+C7</f>
        <v>0</v>
      </c>
      <c r="D8" s="42" t="n">
        <f aca="false">IF(B8&gt;0,C8/B8,0)</f>
        <v>0</v>
      </c>
    </row>
    <row r="9" customFormat="false" ht="15" hidden="false" customHeight="false" outlineLevel="0" collapsed="false">
      <c r="A9" s="36" t="s">
        <v>280</v>
      </c>
    </row>
    <row r="10" customFormat="false" ht="15" hidden="false" customHeight="false" outlineLevel="0" collapsed="false">
      <c r="A10" s="32" t="s">
        <v>281</v>
      </c>
      <c r="B10" s="32" t="n">
        <f aca="false">COUNTIF(Screening_Log!$C$3:$C$2001,"Yes")</f>
        <v>0</v>
      </c>
    </row>
    <row r="11" customFormat="false" ht="15" hidden="false" customHeight="false" outlineLevel="0" collapsed="false">
      <c r="A11" s="32" t="s">
        <v>282</v>
      </c>
      <c r="B11" s="32" t="n">
        <f aca="false">COUNTIF(Screening_Log!$H$3:$H$2001,"Yes")</f>
        <v>0</v>
      </c>
    </row>
    <row r="12" customFormat="false" ht="15" hidden="false" customHeight="false" outlineLevel="0" collapsed="false">
      <c r="A12" s="32" t="s">
        <v>283</v>
      </c>
      <c r="B12" s="32" t="n">
        <f aca="false">COUNTIF(Screening_Log!$H$3:$H$2001,"No")</f>
        <v>0</v>
      </c>
    </row>
    <row r="14" customFormat="false" ht="15" hidden="false" customHeight="false" outlineLevel="0" collapsed="false">
      <c r="A14" s="37" t="s">
        <v>284</v>
      </c>
    </row>
    <row r="15" customFormat="false" ht="26.85" hidden="false" customHeight="false" outlineLevel="0" collapsed="false">
      <c r="A15" s="38" t="s">
        <v>285</v>
      </c>
      <c r="B15" s="38" t="s">
        <v>138</v>
      </c>
      <c r="C15" s="38" t="s">
        <v>286</v>
      </c>
      <c r="D15" s="38" t="s">
        <v>287</v>
      </c>
      <c r="E15" s="38" t="s">
        <v>288</v>
      </c>
    </row>
    <row r="16" customFormat="false" ht="15" hidden="false" customHeight="false" outlineLevel="0" collapsed="false">
      <c r="A16" s="32" t="s">
        <v>289</v>
      </c>
      <c r="B16" s="43" t="n">
        <f aca="false">COUNTIFS(Patient_Data!$C$4:$C$1003,"Yes",Patient_Data!$P$4:$P$1003,"Warfarin")</f>
        <v>0</v>
      </c>
      <c r="C16" s="43" t="n">
        <f aca="false">COUNTIFS(Patient_Data!$C$4:$C$1003,"Yes",Patient_Data!$P$4:$P$1003,"Alternative anticoagulant")</f>
        <v>0</v>
      </c>
      <c r="D16" s="43" t="n">
        <f aca="false">COUNTIFS(Patient_Data!$C$4:$C$1003,"Yes",Patient_Data!$P$4:$P$1003,"No anticoagulant")</f>
        <v>0</v>
      </c>
      <c r="E16" s="43" t="n">
        <f aca="false">COUNTIFS(Patient_Data!$C$4:$C$1003,"Yes")</f>
        <v>0</v>
      </c>
    </row>
    <row r="17" customFormat="false" ht="15" hidden="false" customHeight="false" outlineLevel="0" collapsed="false">
      <c r="A17" s="32" t="s">
        <v>290</v>
      </c>
      <c r="B17" s="44" t="str">
        <f aca="false">IFERROR(AVERAGEIFS(Patient_Data!$E$4:$E$1003,Patient_Data!$C$4:$C$1003,"Yes",Patient_Data!$P$4:$P$1003,"Warfarin"),"-")</f>
        <v>-</v>
      </c>
      <c r="C17" s="44" t="str">
        <f aca="false">IFERROR(AVERAGEIFS(Patient_Data!$E$4:$E$1003,Patient_Data!$C$4:$C$1003,"Yes",Patient_Data!$P$4:$P$1003,"Alternative anticoagulant"),"-")</f>
        <v>-</v>
      </c>
      <c r="D17" s="44" t="str">
        <f aca="false">IFERROR(AVERAGEIFS(Patient_Data!$E$4:$E$1003,Patient_Data!$C$4:$C$1003,"Yes",Patient_Data!$P$4:$P$1003,"No anticoagulant"),"-")</f>
        <v>-</v>
      </c>
      <c r="E17" s="44" t="str">
        <f aca="false">IFERROR(AVERAGEIFS(Patient_Data!$E$4:$E$1003,Patient_Data!$C$4:$C$1003,"Yes"),"-")</f>
        <v>-</v>
      </c>
    </row>
    <row r="18" customFormat="false" ht="15" hidden="false" customHeight="false" outlineLevel="0" collapsed="false">
      <c r="A18" s="32" t="s">
        <v>291</v>
      </c>
      <c r="B18" s="43" t="n">
        <f aca="false">COUNTIFS(Patient_Data!$C$4:$C$1003,"Yes",Patient_Data!$P$4:$P$1003,"Warfarin",Patient_Data!$BZ$4:$BZ$1003,"≥65")</f>
        <v>0</v>
      </c>
      <c r="C18" s="43" t="n">
        <f aca="false">COUNTIFS(Patient_Data!$C$4:$C$1003,"Yes",Patient_Data!$P$4:$P$1003,"Alternative anticoagulant",Patient_Data!$BZ$4:$BZ$1003,"≥65")</f>
        <v>0</v>
      </c>
      <c r="D18" s="43" t="n">
        <f aca="false">COUNTIFS(Patient_Data!$C$4:$C$1003,"Yes",Patient_Data!$P$4:$P$1003,"No anticoagulant",Patient_Data!$BZ$4:$BZ$1003,"≥65")</f>
        <v>0</v>
      </c>
      <c r="E18" s="43" t="n">
        <f aca="false">COUNTIFS(Patient_Data!$C$4:$C$1003,"Yes",Patient_Data!$BZ$4:$BZ$1003,"≥65")</f>
        <v>0</v>
      </c>
    </row>
    <row r="19" customFormat="false" ht="15" hidden="false" customHeight="false" outlineLevel="0" collapsed="false">
      <c r="A19" s="32" t="s">
        <v>292</v>
      </c>
      <c r="B19" s="43" t="n">
        <f aca="false">COUNTIFS(Patient_Data!$C$4:$C$1003,"Yes",Patient_Data!$P$4:$P$1003,"Warfarin",Patient_Data!$F$4:$F$1003,"Female")</f>
        <v>0</v>
      </c>
      <c r="C19" s="43" t="n">
        <f aca="false">COUNTIFS(Patient_Data!$C$4:$C$1003,"Yes",Patient_Data!$P$4:$P$1003,"Alternative anticoagulant",Patient_Data!$F$4:$F$1003,"Female")</f>
        <v>0</v>
      </c>
      <c r="D19" s="43" t="n">
        <f aca="false">COUNTIFS(Patient_Data!$C$4:$C$1003,"Yes",Patient_Data!$P$4:$P$1003,"No anticoagulant",Patient_Data!$F$4:$F$1003,"Female")</f>
        <v>0</v>
      </c>
      <c r="E19" s="43" t="n">
        <f aca="false">COUNTIFS(Patient_Data!$C$4:$C$1003,"Yes",Patient_Data!$F$4:$F$1003,"Female")</f>
        <v>0</v>
      </c>
    </row>
    <row r="20" customFormat="false" ht="15" hidden="false" customHeight="false" outlineLevel="0" collapsed="false">
      <c r="A20" s="32" t="s">
        <v>293</v>
      </c>
      <c r="B20" s="44" t="str">
        <f aca="false">IFERROR(AVERAGEIFS(Patient_Data!$J$4:$J$1003,Patient_Data!$C$4:$C$1003,"Yes",Patient_Data!$P$4:$P$1003,"Warfarin"),"-")</f>
        <v>-</v>
      </c>
      <c r="C20" s="44" t="str">
        <f aca="false">IFERROR(AVERAGEIFS(Patient_Data!$J$4:$J$1003,Patient_Data!$C$4:$C$1003,"Yes",Patient_Data!$P$4:$P$1003,"Alternative anticoagulant"),"-")</f>
        <v>-</v>
      </c>
      <c r="D20" s="44" t="str">
        <f aca="false">IFERROR(AVERAGEIFS(Patient_Data!$J$4:$J$1003,Patient_Data!$C$4:$C$1003,"Yes",Patient_Data!$P$4:$P$1003,"No anticoagulant"),"-")</f>
        <v>-</v>
      </c>
      <c r="E20" s="44" t="str">
        <f aca="false">IFERROR(AVERAGEIFS(Patient_Data!$J$4:$J$1003,Patient_Data!$C$4:$C$1003,"Yes"),"-")</f>
        <v>-</v>
      </c>
    </row>
    <row r="21" customFormat="false" ht="15" hidden="false" customHeight="false" outlineLevel="0" collapsed="false">
      <c r="A21" s="32" t="s">
        <v>294</v>
      </c>
      <c r="B21" s="43" t="n">
        <f aca="false">COUNTIFS(Patient_Data!$C$4:$C$1003,"Yes",Patient_Data!$P$4:$P$1003,"Warfarin",Patient_Data!$K$4:$K$1003,"Current")</f>
        <v>0</v>
      </c>
      <c r="C21" s="43" t="n">
        <f aca="false">COUNTIFS(Patient_Data!$C$4:$C$1003,"Yes",Patient_Data!$P$4:$P$1003,"Alternative anticoagulant",Patient_Data!$K$4:$K$1003,"Current")</f>
        <v>0</v>
      </c>
      <c r="D21" s="43" t="n">
        <f aca="false">COUNTIFS(Patient_Data!$C$4:$C$1003,"Yes",Patient_Data!$P$4:$P$1003,"No anticoagulant",Patient_Data!$K$4:$K$1003,"Current")</f>
        <v>0</v>
      </c>
      <c r="E21" s="43" t="n">
        <f aca="false">COUNTIFS(Patient_Data!$C$4:$C$1003,"Yes",Patient_Data!$K$4:$K$1003,"Current")</f>
        <v>0</v>
      </c>
    </row>
    <row r="22" customFormat="false" ht="15" hidden="false" customHeight="false" outlineLevel="0" collapsed="false">
      <c r="A22" s="32" t="s">
        <v>295</v>
      </c>
      <c r="B22" s="43" t="n">
        <f aca="false">COUNTIFS(Patient_Data!$C$4:$C$1003,"Yes",Patient_Data!$P$4:$P$1003,"Warfarin",Patient_Data!$L$4:$L$1003,"Yes")</f>
        <v>0</v>
      </c>
      <c r="C22" s="43" t="n">
        <f aca="false">COUNTIFS(Patient_Data!$C$4:$C$1003,"Yes",Patient_Data!$P$4:$P$1003,"Alternative anticoagulant",Patient_Data!$L$4:$L$1003,"Yes")</f>
        <v>0</v>
      </c>
      <c r="D22" s="43" t="n">
        <f aca="false">COUNTIFS(Patient_Data!$C$4:$C$1003,"Yes",Patient_Data!$P$4:$P$1003,"No anticoagulant",Patient_Data!$L$4:$L$1003,"Yes")</f>
        <v>0</v>
      </c>
      <c r="E22" s="43" t="n">
        <f aca="false">COUNTIFS(Patient_Data!$C$4:$C$1003,"Yes",Patient_Data!$L$4:$L$1003,"Yes")</f>
        <v>0</v>
      </c>
    </row>
    <row r="23" customFormat="false" ht="15" hidden="false" customHeight="false" outlineLevel="0" collapsed="false">
      <c r="A23" s="32" t="s">
        <v>296</v>
      </c>
      <c r="B23" s="43" t="n">
        <f aca="false">COUNTIFS(Patient_Data!$C$4:$C$1003,"Yes",Patient_Data!$P$4:$P$1003,"Warfarin",Patient_Data!$M$4:$M$1003,"Yes")</f>
        <v>0</v>
      </c>
      <c r="C23" s="43" t="n">
        <f aca="false">COUNTIFS(Patient_Data!$C$4:$C$1003,"Yes",Patient_Data!$P$4:$P$1003,"Alternative anticoagulant",Patient_Data!$M$4:$M$1003,"Yes")</f>
        <v>0</v>
      </c>
      <c r="D23" s="43" t="n">
        <f aca="false">COUNTIFS(Patient_Data!$C$4:$C$1003,"Yes",Patient_Data!$P$4:$P$1003,"No anticoagulant",Patient_Data!$M$4:$M$1003,"Yes")</f>
        <v>0</v>
      </c>
      <c r="E23" s="43" t="n">
        <f aca="false">COUNTIFS(Patient_Data!$C$4:$C$1003,"Yes",Patient_Data!$M$4:$M$1003,"Yes")</f>
        <v>0</v>
      </c>
    </row>
    <row r="24" customFormat="false" ht="15" hidden="false" customHeight="false" outlineLevel="0" collapsed="false">
      <c r="A24" s="32" t="s">
        <v>297</v>
      </c>
      <c r="B24" s="43" t="n">
        <f aca="false">COUNTIFS(Patient_Data!$C$4:$C$1003,"Yes",Patient_Data!$P$4:$P$1003,"Warfarin",Patient_Data!$AC$4:$AC$1003,"Yes")</f>
        <v>0</v>
      </c>
      <c r="C24" s="43" t="n">
        <f aca="false">COUNTIFS(Patient_Data!$C$4:$C$1003,"Yes",Patient_Data!$P$4:$P$1003,"Alternative anticoagulant",Patient_Data!$AC$4:$AC$1003,"Yes")</f>
        <v>0</v>
      </c>
      <c r="D24" s="43" t="n">
        <f aca="false">COUNTIFS(Patient_Data!$C$4:$C$1003,"Yes",Patient_Data!$P$4:$P$1003,"No anticoagulant",Patient_Data!$AC$4:$AC$1003,"Yes")</f>
        <v>0</v>
      </c>
      <c r="E24" s="43" t="n">
        <f aca="false">COUNTIFS(Patient_Data!$C$4:$C$1003,"Yes",Patient_Data!$AC$4:$AC$1003,"Yes")</f>
        <v>0</v>
      </c>
    </row>
    <row r="25" customFormat="false" ht="15" hidden="false" customHeight="false" outlineLevel="0" collapsed="false">
      <c r="A25" s="32" t="s">
        <v>298</v>
      </c>
      <c r="B25" s="43" t="n">
        <f aca="false">COUNTIFS(Patient_Data!$C$4:$C$1003,"Yes",Patient_Data!$P$4:$P$1003,"Warfarin",Patient_Data!$AD$4:$AD$1003,"Yes")</f>
        <v>0</v>
      </c>
      <c r="C25" s="43" t="n">
        <f aca="false">COUNTIFS(Patient_Data!$C$4:$C$1003,"Yes",Patient_Data!$P$4:$P$1003,"Alternative anticoagulant",Patient_Data!$AD$4:$AD$1003,"Yes")</f>
        <v>0</v>
      </c>
      <c r="D25" s="43" t="n">
        <f aca="false">COUNTIFS(Patient_Data!$C$4:$C$1003,"Yes",Patient_Data!$P$4:$P$1003,"No anticoagulant",Patient_Data!$AD$4:$AD$1003,"Yes")</f>
        <v>0</v>
      </c>
      <c r="E25" s="43" t="n">
        <f aca="false">COUNTIFS(Patient_Data!$C$4:$C$1003,"Yes",Patient_Data!$AD$4:$AD$1003,"Yes")</f>
        <v>0</v>
      </c>
    </row>
    <row r="26" customFormat="false" ht="15" hidden="false" customHeight="false" outlineLevel="0" collapsed="false">
      <c r="A26" s="32" t="s">
        <v>299</v>
      </c>
      <c r="B26" s="43" t="n">
        <f aca="false">COUNTIFS(Patient_Data!$C$4:$C$1003,"Yes",Patient_Data!$P$4:$P$1003,"Warfarin",Patient_Data!$AE$4:$AE$1003,"Yes")</f>
        <v>0</v>
      </c>
      <c r="C26" s="43" t="n">
        <f aca="false">COUNTIFS(Patient_Data!$C$4:$C$1003,"Yes",Patient_Data!$P$4:$P$1003,"Alternative anticoagulant",Patient_Data!$AE$4:$AE$1003,"Yes")</f>
        <v>0</v>
      </c>
      <c r="D26" s="43" t="n">
        <f aca="false">COUNTIFS(Patient_Data!$C$4:$C$1003,"Yes",Patient_Data!$P$4:$P$1003,"No anticoagulant",Patient_Data!$AE$4:$AE$1003,"Yes")</f>
        <v>0</v>
      </c>
      <c r="E26" s="43" t="n">
        <f aca="false">COUNTIFS(Patient_Data!$C$4:$C$1003,"Yes",Patient_Data!$AE$4:$AE$1003,"Yes")</f>
        <v>0</v>
      </c>
    </row>
    <row r="27" customFormat="false" ht="15" hidden="false" customHeight="false" outlineLevel="0" collapsed="false">
      <c r="A27" s="32" t="s">
        <v>300</v>
      </c>
      <c r="B27" s="43" t="n">
        <f aca="false">COUNTIFS(Patient_Data!$C$4:$C$1003,"Yes",Patient_Data!$P$4:$P$1003,"Warfarin",Patient_Data!$AK$4:$AK$1003,"Yes")</f>
        <v>0</v>
      </c>
      <c r="C27" s="43" t="n">
        <f aca="false">COUNTIFS(Patient_Data!$C$4:$C$1003,"Yes",Patient_Data!$P$4:$P$1003,"Alternative anticoagulant",Patient_Data!$AK$4:$AK$1003,"Yes")</f>
        <v>0</v>
      </c>
      <c r="D27" s="43" t="n">
        <f aca="false">COUNTIFS(Patient_Data!$C$4:$C$1003,"Yes",Patient_Data!$P$4:$P$1003,"No anticoagulant",Patient_Data!$AK$4:$AK$1003,"Yes")</f>
        <v>0</v>
      </c>
      <c r="E27" s="43" t="n">
        <f aca="false">COUNTIFS(Patient_Data!$C$4:$C$1003,"Yes",Patient_Data!$AK$4:$AK$1003,"Yes")</f>
        <v>0</v>
      </c>
    </row>
    <row r="28" customFormat="false" ht="15" hidden="false" customHeight="false" outlineLevel="0" collapsed="false">
      <c r="A28" s="32" t="s">
        <v>301</v>
      </c>
      <c r="B28" s="43" t="n">
        <f aca="false">COUNTIFS(Patient_Data!$C$4:$C$1003,"Yes",Patient_Data!$P$4:$P$1003,"Warfarin",Patient_Data!$AQ$4:$AQ$1003,"Yes")</f>
        <v>0</v>
      </c>
      <c r="C28" s="43" t="n">
        <f aca="false">COUNTIFS(Patient_Data!$C$4:$C$1003,"Yes",Patient_Data!$P$4:$P$1003,"Alternative anticoagulant",Patient_Data!$AQ$4:$AQ$1003,"Yes")</f>
        <v>0</v>
      </c>
      <c r="D28" s="43" t="n">
        <f aca="false">COUNTIFS(Patient_Data!$C$4:$C$1003,"Yes",Patient_Data!$P$4:$P$1003,"No anticoagulant",Patient_Data!$AQ$4:$AQ$1003,"Yes")</f>
        <v>0</v>
      </c>
      <c r="E28" s="43" t="n">
        <f aca="false">COUNTIFS(Patient_Data!$C$4:$C$1003,"Yes",Patient_Data!$AQ$4:$AQ$1003,"Yes")</f>
        <v>0</v>
      </c>
    </row>
    <row r="29" customFormat="false" ht="15" hidden="false" customHeight="false" outlineLevel="0" collapsed="false">
      <c r="A29" s="32" t="s">
        <v>302</v>
      </c>
      <c r="B29" s="43" t="n">
        <f aca="false">COUNTIFS(Patient_Data!$C$4:$C$1003,"Yes",Patient_Data!$P$4:$P$1003,"Warfarin",Patient_Data!$AR$4:$AR$1003,"Yes")</f>
        <v>0</v>
      </c>
      <c r="C29" s="43" t="n">
        <f aca="false">COUNTIFS(Patient_Data!$C$4:$C$1003,"Yes",Patient_Data!$P$4:$P$1003,"Alternative anticoagulant",Patient_Data!$AR$4:$AR$1003,"Yes")</f>
        <v>0</v>
      </c>
      <c r="D29" s="43" t="n">
        <f aca="false">COUNTIFS(Patient_Data!$C$4:$C$1003,"Yes",Patient_Data!$P$4:$P$1003,"No anticoagulant",Patient_Data!$AR$4:$AR$1003,"Yes")</f>
        <v>0</v>
      </c>
      <c r="E29" s="43" t="n">
        <f aca="false">COUNTIFS(Patient_Data!$C$4:$C$1003,"Yes",Patient_Data!$AR$4:$AR$1003,"Yes")</f>
        <v>0</v>
      </c>
    </row>
    <row r="30" customFormat="false" ht="15" hidden="false" customHeight="false" outlineLevel="0" collapsed="false">
      <c r="A30" s="32" t="s">
        <v>303</v>
      </c>
      <c r="B30" s="43" t="n">
        <f aca="false">COUNTIFS(Patient_Data!$C$4:$C$1003,"Yes",Patient_Data!$P$4:$P$1003,"Warfarin",Patient_Data!$X$4:$X$1003,"Yes")</f>
        <v>0</v>
      </c>
      <c r="C30" s="43" t="n">
        <f aca="false">COUNTIFS(Patient_Data!$C$4:$C$1003,"Yes",Patient_Data!$P$4:$P$1003,"Alternative anticoagulant",Patient_Data!$X$4:$X$1003,"Yes")</f>
        <v>0</v>
      </c>
      <c r="D30" s="43" t="n">
        <f aca="false">COUNTIFS(Patient_Data!$C$4:$C$1003,"Yes",Patient_Data!$P$4:$P$1003,"No anticoagulant",Patient_Data!$X$4:$X$1003,"Yes")</f>
        <v>0</v>
      </c>
      <c r="E30" s="43" t="n">
        <f aca="false">COUNTIFS(Patient_Data!$C$4:$C$1003,"Yes",Patient_Data!$X$4:$X$1003,"Yes")</f>
        <v>0</v>
      </c>
    </row>
    <row r="31" customFormat="false" ht="15" hidden="false" customHeight="false" outlineLevel="0" collapsed="false">
      <c r="A31" s="36" t="s">
        <v>304</v>
      </c>
    </row>
    <row r="33" customFormat="false" ht="15" hidden="false" customHeight="false" outlineLevel="0" collapsed="false">
      <c r="A33" s="37" t="s">
        <v>305</v>
      </c>
    </row>
    <row r="34" customFormat="false" ht="26.85" hidden="false" customHeight="false" outlineLevel="0" collapsed="false">
      <c r="A34" s="38" t="s">
        <v>306</v>
      </c>
      <c r="B34" s="38" t="s">
        <v>138</v>
      </c>
      <c r="C34" s="38" t="s">
        <v>286</v>
      </c>
      <c r="D34" s="38" t="s">
        <v>287</v>
      </c>
      <c r="E34" s="38" t="s">
        <v>288</v>
      </c>
    </row>
    <row r="35" customFormat="false" ht="15" hidden="false" customHeight="false" outlineLevel="0" collapsed="false">
      <c r="A35" s="32" t="s">
        <v>307</v>
      </c>
      <c r="B35" s="44" t="n">
        <f aca="false">SUMIFS(Patient_Data!$BT$4:$BT$1003,Patient_Data!$C$4:$C$1003,"Yes",Patient_Data!$P$4:$P$1003,"Warfarin")</f>
        <v>0</v>
      </c>
      <c r="C35" s="44" t="n">
        <f aca="false">SUMIFS(Patient_Data!$BT$4:$BT$1003,Patient_Data!$C$4:$C$1003,"Yes",Patient_Data!$P$4:$P$1003,"Alternative anticoagulant")</f>
        <v>0</v>
      </c>
      <c r="D35" s="44" t="n">
        <f aca="false">SUMIFS(Patient_Data!$BT$4:$BT$1003,Patient_Data!$C$4:$C$1003,"Yes",Patient_Data!$P$4:$P$1003,"No anticoagulant")</f>
        <v>0</v>
      </c>
      <c r="E35" s="44" t="n">
        <f aca="false">SUMIFS(Patient_Data!$BT$4:$BT$1003,Patient_Data!$C$4:$C$1003,"Yes")</f>
        <v>0</v>
      </c>
    </row>
    <row r="36" customFormat="false" ht="15" hidden="false" customHeight="false" outlineLevel="0" collapsed="false">
      <c r="A36" s="32" t="s">
        <v>308</v>
      </c>
      <c r="B36" s="43" t="n">
        <f aca="false">COUNTIFS(Patient_Data!$C$4:$C$1003,"Yes",Patient_Data!$P$4:$P$1003,"Warfarin",Patient_Data!$AX$4:$AX$1003,"Yes")</f>
        <v>0</v>
      </c>
      <c r="C36" s="43" t="n">
        <f aca="false">COUNTIFS(Patient_Data!$C$4:$C$1003,"Yes",Patient_Data!$P$4:$P$1003,"Alternative anticoagulant",Patient_Data!$AX$4:$AX$1003,"Yes")</f>
        <v>0</v>
      </c>
      <c r="D36" s="43" t="n">
        <f aca="false">COUNTIFS(Patient_Data!$C$4:$C$1003,"Yes",Patient_Data!$P$4:$P$1003,"No anticoagulant",Patient_Data!$AX$4:$AX$1003,"Yes")</f>
        <v>0</v>
      </c>
      <c r="E36" s="43" t="n">
        <f aca="false">COUNTIFS(Patient_Data!$C$4:$C$1003,"Yes",Patient_Data!$AX$4:$AX$1003,"Yes")</f>
        <v>0</v>
      </c>
    </row>
    <row r="37" customFormat="false" ht="15" hidden="false" customHeight="false" outlineLevel="0" collapsed="false">
      <c r="A37" s="32" t="s">
        <v>309</v>
      </c>
      <c r="B37" s="44" t="str">
        <f aca="false">IF(B$35&gt;0,B36/B$35*1000,"-")</f>
        <v>-</v>
      </c>
      <c r="C37" s="44" t="str">
        <f aca="false">IF(C$35&gt;0,C36/C$35*1000,"-")</f>
        <v>-</v>
      </c>
      <c r="D37" s="44" t="str">
        <f aca="false">IF(D$35&gt;0,D36/D$35*1000,"-")</f>
        <v>-</v>
      </c>
      <c r="E37" s="44" t="str">
        <f aca="false">IF(E$35&gt;0,E36/E$35*1000,"-")</f>
        <v>-</v>
      </c>
    </row>
    <row r="38" customFormat="false" ht="15" hidden="false" customHeight="false" outlineLevel="0" collapsed="false">
      <c r="A38" s="32" t="s">
        <v>310</v>
      </c>
      <c r="B38" s="43" t="n">
        <f aca="false">COUNTIFS(Patient_Data!$C$4:$C$1003,"Yes",Patient_Data!$P$4:$P$1003,"Warfarin",Patient_Data!$BI$4:$BI$1003,"Yes")</f>
        <v>0</v>
      </c>
      <c r="C38" s="43" t="n">
        <f aca="false">COUNTIFS(Patient_Data!$C$4:$C$1003,"Yes",Patient_Data!$P$4:$P$1003,"Alternative anticoagulant",Patient_Data!$BI$4:$BI$1003,"Yes")</f>
        <v>0</v>
      </c>
      <c r="D38" s="43" t="n">
        <f aca="false">COUNTIFS(Patient_Data!$C$4:$C$1003,"Yes",Patient_Data!$P$4:$P$1003,"No anticoagulant",Patient_Data!$BI$4:$BI$1003,"Yes")</f>
        <v>0</v>
      </c>
      <c r="E38" s="43" t="n">
        <f aca="false">COUNTIFS(Patient_Data!$C$4:$C$1003,"Yes",Patient_Data!$BI$4:$BI$1003,"Yes")</f>
        <v>0</v>
      </c>
    </row>
    <row r="39" customFormat="false" ht="15" hidden="false" customHeight="false" outlineLevel="0" collapsed="false">
      <c r="A39" s="32" t="s">
        <v>311</v>
      </c>
      <c r="B39" s="44" t="str">
        <f aca="false">IF(B$35&gt;0,B38/B$35*1000,"-")</f>
        <v>-</v>
      </c>
      <c r="C39" s="44" t="str">
        <f aca="false">IF(C$35&gt;0,C38/C$35*1000,"-")</f>
        <v>-</v>
      </c>
      <c r="D39" s="44" t="str">
        <f aca="false">IF(D$35&gt;0,D38/D$35*1000,"-")</f>
        <v>-</v>
      </c>
      <c r="E39" s="44" t="str">
        <f aca="false">IF(E$35&gt;0,E38/E$35*1000,"-")</f>
        <v>-</v>
      </c>
    </row>
    <row r="40" customFormat="false" ht="15" hidden="false" customHeight="false" outlineLevel="0" collapsed="false">
      <c r="A40" s="32" t="s">
        <v>312</v>
      </c>
      <c r="B40" s="43" t="n">
        <f aca="false">COUNTIFS(Patient_Data!$C$4:$C$1003,"Yes",Patient_Data!$P$4:$P$1003,"Warfarin",Patient_Data!$BN$4:$BN$1003,"Yes")</f>
        <v>0</v>
      </c>
      <c r="C40" s="43" t="n">
        <f aca="false">COUNTIFS(Patient_Data!$C$4:$C$1003,"Yes",Patient_Data!$P$4:$P$1003,"Alternative anticoagulant",Patient_Data!$BN$4:$BN$1003,"Yes")</f>
        <v>0</v>
      </c>
      <c r="D40" s="43" t="n">
        <f aca="false">COUNTIFS(Patient_Data!$C$4:$C$1003,"Yes",Patient_Data!$P$4:$P$1003,"No anticoagulant",Patient_Data!$BN$4:$BN$1003,"Yes")</f>
        <v>0</v>
      </c>
      <c r="E40" s="43" t="n">
        <f aca="false">COUNTIFS(Patient_Data!$C$4:$C$1003,"Yes",Patient_Data!$BN$4:$BN$1003,"Yes")</f>
        <v>0</v>
      </c>
    </row>
    <row r="41" customFormat="false" ht="15" hidden="false" customHeight="false" outlineLevel="0" collapsed="false">
      <c r="A41" s="32" t="s">
        <v>313</v>
      </c>
      <c r="B41" s="44" t="str">
        <f aca="false">IF(B$35&gt;0,B40/B$35*1000,"-")</f>
        <v>-</v>
      </c>
      <c r="C41" s="44" t="str">
        <f aca="false">IF(C$35&gt;0,C40/C$35*1000,"-")</f>
        <v>-</v>
      </c>
      <c r="D41" s="44" t="str">
        <f aca="false">IF(D$35&gt;0,D40/D$35*1000,"-")</f>
        <v>-</v>
      </c>
      <c r="E41" s="44" t="str">
        <f aca="false">IF(E$35&gt;0,E40/E$35*1000,"-")</f>
        <v>-</v>
      </c>
    </row>
    <row r="42" customFormat="false" ht="15" hidden="false" customHeight="false" outlineLevel="0" collapsed="false">
      <c r="A42" s="32" t="s">
        <v>314</v>
      </c>
      <c r="B42" s="43" t="n">
        <f aca="false">COUNTIFS(Patient_Data!$C$4:$C$1003,"Yes",Patient_Data!$P$4:$P$1003,"Warfarin",Patient_Data!$BH$4:$BH$1003,"Yes")</f>
        <v>0</v>
      </c>
      <c r="C42" s="43" t="n">
        <f aca="false">COUNTIFS(Patient_Data!$C$4:$C$1003,"Yes",Patient_Data!$P$4:$P$1003,"Alternative anticoagulant",Patient_Data!$BH$4:$BH$1003,"Yes")</f>
        <v>0</v>
      </c>
      <c r="D42" s="43" t="n">
        <f aca="false">COUNTIFS(Patient_Data!$C$4:$C$1003,"Yes",Patient_Data!$P$4:$P$1003,"No anticoagulant",Patient_Data!$BH$4:$BH$1003,"Yes")</f>
        <v>0</v>
      </c>
      <c r="E42" s="43" t="n">
        <f aca="false">COUNTIFS(Patient_Data!$C$4:$C$1003,"Yes",Patient_Data!$BH$4:$BH$1003,"Yes")</f>
        <v>0</v>
      </c>
    </row>
    <row r="43" customFormat="false" ht="15" hidden="false" customHeight="false" outlineLevel="0" collapsed="false">
      <c r="A43" s="32" t="s">
        <v>315</v>
      </c>
      <c r="B43" s="43" t="n">
        <f aca="false">COUNTIFS(Patient_Data!$C$4:$C$1003,"Yes",Patient_Data!$P$4:$P$1003,"Warfarin",Patient_Data!$BU$4:$BU$1003,"Yes")</f>
        <v>0</v>
      </c>
      <c r="C43" s="43" t="n">
        <f aca="false">COUNTIFS(Patient_Data!$C$4:$C$1003,"Yes",Patient_Data!$P$4:$P$1003,"Alternative anticoagulant",Patient_Data!$BU$4:$BU$1003,"Yes")</f>
        <v>0</v>
      </c>
      <c r="D43" s="43" t="n">
        <f aca="false">COUNTIFS(Patient_Data!$C$4:$C$1003,"Yes",Patient_Data!$P$4:$P$1003,"No anticoagulant",Patient_Data!$BU$4:$BU$1003,"Yes")</f>
        <v>0</v>
      </c>
      <c r="E43" s="43" t="n">
        <f aca="false">COUNTIFS(Patient_Data!$C$4:$C$1003,"Yes",Patient_Data!$BU$4:$BU$1003,"Yes")</f>
        <v>0</v>
      </c>
    </row>
    <row r="44" customFormat="false" ht="15" hidden="false" customHeight="false" outlineLevel="0" collapsed="false">
      <c r="A44" s="36" t="s">
        <v>316</v>
      </c>
    </row>
    <row r="46" customFormat="false" ht="15" hidden="false" customHeight="false" outlineLevel="0" collapsed="false">
      <c r="A46" s="37" t="s">
        <v>317</v>
      </c>
    </row>
    <row r="47" customFormat="false" ht="15" hidden="false" customHeight="false" outlineLevel="0" collapsed="false">
      <c r="A47" s="38" t="s">
        <v>318</v>
      </c>
      <c r="B47" s="38" t="s">
        <v>289</v>
      </c>
      <c r="C47" s="38" t="s">
        <v>319</v>
      </c>
      <c r="D47" s="38" t="s">
        <v>320</v>
      </c>
      <c r="E47" s="38" t="s">
        <v>321</v>
      </c>
    </row>
    <row r="48" customFormat="false" ht="15" hidden="false" customHeight="false" outlineLevel="0" collapsed="false">
      <c r="A48" s="32" t="s">
        <v>322</v>
      </c>
      <c r="B48" s="43" t="n">
        <f aca="false">COUNTIFS(Patient_Data!$C$4:$C$1003,"Yes",Patient_Data!$P$4:$P$1003,"Warfarin",Patient_Data!$U$4:$U$1003,"12-35 months")</f>
        <v>0</v>
      </c>
      <c r="C48" s="43" t="n">
        <f aca="false">COUNTIFS(Patient_Data!$C$4:$C$1003,"Yes",Patient_Data!$P$4:$P$1003,"Warfarin",Patient_Data!$U$4:$U$1003,"12-35 months",Patient_Data!$AX$4:$AX$1003,"Yes")</f>
        <v>0</v>
      </c>
      <c r="D48" s="44" t="n">
        <f aca="false">SUMIFS(Patient_Data!$BT$4:$BT$1003,Patient_Data!$C$4:$C$1003,"Yes",Patient_Data!$P$4:$P$1003,"Warfarin",Patient_Data!$U$4:$U$1003,"12-35 months")</f>
        <v>0</v>
      </c>
      <c r="E48" s="44" t="str">
        <f aca="false">IF(D48&gt;0,C48/D48*1000,"-")</f>
        <v>-</v>
      </c>
    </row>
    <row r="49" customFormat="false" ht="15" hidden="false" customHeight="false" outlineLevel="0" collapsed="false">
      <c r="A49" s="32" t="s">
        <v>323</v>
      </c>
      <c r="B49" s="43" t="n">
        <f aca="false">COUNTIFS(Patient_Data!$C$4:$C$1003,"Yes",Patient_Data!$P$4:$P$1003,"Warfarin",Patient_Data!$U$4:$U$1003,"36-59 months")</f>
        <v>0</v>
      </c>
      <c r="C49" s="43" t="n">
        <f aca="false">COUNTIFS(Patient_Data!$C$4:$C$1003,"Yes",Patient_Data!$P$4:$P$1003,"Warfarin",Patient_Data!$U$4:$U$1003,"36-59 months",Patient_Data!$AX$4:$AX$1003,"Yes")</f>
        <v>0</v>
      </c>
      <c r="D49" s="44" t="n">
        <f aca="false">SUMIFS(Patient_Data!$BT$4:$BT$1003,Patient_Data!$C$4:$C$1003,"Yes",Patient_Data!$P$4:$P$1003,"Warfarin",Patient_Data!$U$4:$U$1003,"36-59 months")</f>
        <v>0</v>
      </c>
      <c r="E49" s="44" t="str">
        <f aca="false">IF(D49&gt;0,C49/D49*1000,"-")</f>
        <v>-</v>
      </c>
    </row>
    <row r="50" customFormat="false" ht="15" hidden="false" customHeight="false" outlineLevel="0" collapsed="false">
      <c r="A50" s="32" t="s">
        <v>324</v>
      </c>
      <c r="B50" s="43" t="n">
        <f aca="false">COUNTIFS(Patient_Data!$C$4:$C$1003,"Yes",Patient_Data!$P$4:$P$1003,"Warfarin",Patient_Data!$U$4:$U$1003,"≥60 months")</f>
        <v>0</v>
      </c>
      <c r="C50" s="43" t="n">
        <f aca="false">COUNTIFS(Patient_Data!$C$4:$C$1003,"Yes",Patient_Data!$P$4:$P$1003,"Warfarin",Patient_Data!$U$4:$U$1003,"≥60 months",Patient_Data!$AX$4:$AX$1003,"Yes")</f>
        <v>0</v>
      </c>
      <c r="D50" s="44" t="n">
        <f aca="false">SUMIFS(Patient_Data!$BT$4:$BT$1003,Patient_Data!$C$4:$C$1003,"Yes",Patient_Data!$P$4:$P$1003,"Warfarin",Patient_Data!$U$4:$U$1003,"≥60 months")</f>
        <v>0</v>
      </c>
      <c r="E50" s="44" t="str">
        <f aca="false">IF(D50&gt;0,C50/D50*1000,"-")</f>
        <v>-</v>
      </c>
    </row>
    <row r="51" customFormat="false" ht="15" hidden="false" customHeight="false" outlineLevel="0" collapsed="false">
      <c r="A51" s="32" t="s">
        <v>325</v>
      </c>
      <c r="B51" s="43" t="n">
        <f aca="false">COUNTIFS(Patient_Data!$C$4:$C$1003,"Yes",Patient_Data!$P$4:$P$1003,"Warfarin",Patient_Data!$U$4:$U$1003,"Under 12 months")</f>
        <v>0</v>
      </c>
      <c r="C51" s="43" t="n">
        <f aca="false">COUNTIFS(Patient_Data!$C$4:$C$1003,"Yes",Patient_Data!$P$4:$P$1003,"Warfarin",Patient_Data!$U$4:$U$1003,"Under 12 months",Patient_Data!$AX$4:$AX$1003,"Yes")</f>
        <v>0</v>
      </c>
      <c r="D51" s="44" t="n">
        <f aca="false">SUMIFS(Patient_Data!$BT$4:$BT$1003,Patient_Data!$C$4:$C$1003,"Yes",Patient_Data!$P$4:$P$1003,"Warfarin",Patient_Data!$U$4:$U$1003,"Under 12 months")</f>
        <v>0</v>
      </c>
      <c r="E51" s="44" t="str">
        <f aca="false">IF(D51&gt;0,C51/D51*1000,"-")</f>
        <v>-</v>
      </c>
    </row>
    <row r="53" customFormat="false" ht="15" hidden="false" customHeight="false" outlineLevel="0" collapsed="false">
      <c r="A53" s="37" t="s">
        <v>326</v>
      </c>
    </row>
    <row r="54" customFormat="false" ht="26.85" hidden="false" customHeight="false" outlineLevel="0" collapsed="false">
      <c r="A54" s="38" t="s">
        <v>327</v>
      </c>
      <c r="B54" s="38" t="s">
        <v>328</v>
      </c>
      <c r="C54" s="38" t="s">
        <v>329</v>
      </c>
      <c r="D54" s="38" t="s">
        <v>330</v>
      </c>
    </row>
    <row r="55" customFormat="false" ht="15" hidden="false" customHeight="false" outlineLevel="0" collapsed="false">
      <c r="A55" s="32" t="s">
        <v>51</v>
      </c>
      <c r="B55" s="43" t="n">
        <f aca="false">COUNTIFS(Patient_Data!$C$4:$C$1003,"Yes",Patient_Data!$E$4:$E$1003,"")+COUNTIFS(Patient_Data!$C$4:$C$1003,"Yes",Patient_Data!$E$4:$E$1003,"Unknown")</f>
        <v>0</v>
      </c>
      <c r="C55" s="40" t="n">
        <f aca="false">IF($E$16&gt;0,B55/$E$16,0)</f>
        <v>0</v>
      </c>
      <c r="D55" s="32" t="str">
        <f aca="false">IF($E$16=0,"-",IF(C55&lt;0.05,"&lt;5%: complete-case analysis","5%+: multiple imputation"))</f>
        <v>-</v>
      </c>
    </row>
    <row r="56" customFormat="false" ht="15" hidden="false" customHeight="false" outlineLevel="0" collapsed="false">
      <c r="A56" s="32" t="s">
        <v>52</v>
      </c>
      <c r="B56" s="43" t="n">
        <f aca="false">COUNTIFS(Patient_Data!$C$4:$C$1003,"Yes",Patient_Data!$F$4:$F$1003,"")+COUNTIFS(Patient_Data!$C$4:$C$1003,"Yes",Patient_Data!$F$4:$F$1003,"Unknown")</f>
        <v>0</v>
      </c>
      <c r="C56" s="40" t="n">
        <f aca="false">IF($E$16&gt;0,B56/$E$16,0)</f>
        <v>0</v>
      </c>
      <c r="D56" s="32" t="str">
        <f aca="false">IF($E$16=0,"-",IF(C56&lt;0.05,"&lt;5%: complete-case analysis","5%+: multiple imputation"))</f>
        <v>-</v>
      </c>
    </row>
    <row r="57" customFormat="false" ht="15" hidden="false" customHeight="false" outlineLevel="0" collapsed="false">
      <c r="A57" s="32" t="s">
        <v>56</v>
      </c>
      <c r="B57" s="43" t="n">
        <f aca="false">COUNTIFS(Patient_Data!$C$4:$C$1003,"Yes",Patient_Data!$J$4:$J$1003,"")+COUNTIFS(Patient_Data!$C$4:$C$1003,"Yes",Patient_Data!$J$4:$J$1003,"Unknown")</f>
        <v>0</v>
      </c>
      <c r="C57" s="40" t="n">
        <f aca="false">IF($E$16&gt;0,B57/$E$16,0)</f>
        <v>0</v>
      </c>
      <c r="D57" s="32" t="str">
        <f aca="false">IF($E$16=0,"-",IF(C57&lt;0.05,"&lt;5%: complete-case analysis","5%+: multiple imputation"))</f>
        <v>-</v>
      </c>
    </row>
    <row r="58" customFormat="false" ht="15" hidden="false" customHeight="false" outlineLevel="0" collapsed="false">
      <c r="A58" s="32" t="s">
        <v>57</v>
      </c>
      <c r="B58" s="43" t="n">
        <f aca="false">COUNTIFS(Patient_Data!$C$4:$C$1003,"Yes",Patient_Data!$K$4:$K$1003,"")+COUNTIFS(Patient_Data!$C$4:$C$1003,"Yes",Patient_Data!$K$4:$K$1003,"Unknown")</f>
        <v>0</v>
      </c>
      <c r="C58" s="40" t="n">
        <f aca="false">IF($E$16&gt;0,B58/$E$16,0)</f>
        <v>0</v>
      </c>
      <c r="D58" s="32" t="str">
        <f aca="false">IF($E$16=0,"-",IF(C58&lt;0.05,"&lt;5%: complete-case analysis","5%+: multiple imputation"))</f>
        <v>-</v>
      </c>
    </row>
    <row r="59" customFormat="false" ht="15" hidden="false" customHeight="false" outlineLevel="0" collapsed="false">
      <c r="A59" s="32" t="s">
        <v>58</v>
      </c>
      <c r="B59" s="43" t="n">
        <f aca="false">COUNTIFS(Patient_Data!$C$4:$C$1003,"Yes",Patient_Data!$L$4:$L$1003,"")+COUNTIFS(Patient_Data!$C$4:$C$1003,"Yes",Patient_Data!$L$4:$L$1003,"Unknown")</f>
        <v>0</v>
      </c>
      <c r="C59" s="40" t="n">
        <f aca="false">IF($E$16&gt;0,B59/$E$16,0)</f>
        <v>0</v>
      </c>
      <c r="D59" s="32" t="str">
        <f aca="false">IF($E$16=0,"-",IF(C59&lt;0.05,"&lt;5%: complete-case analysis","5%+: multiple imputation"))</f>
        <v>-</v>
      </c>
    </row>
    <row r="60" customFormat="false" ht="15" hidden="false" customHeight="false" outlineLevel="0" collapsed="false">
      <c r="A60" s="32" t="s">
        <v>75</v>
      </c>
      <c r="B60" s="43" t="n">
        <f aca="false">COUNTIFS(Patient_Data!$C$4:$C$1003,"Yes",Patient_Data!$AC$4:$AC$1003,"")+COUNTIFS(Patient_Data!$C$4:$C$1003,"Yes",Patient_Data!$AC$4:$AC$1003,"Unknown")</f>
        <v>0</v>
      </c>
      <c r="C60" s="40" t="n">
        <f aca="false">IF($E$16&gt;0,B60/$E$16,0)</f>
        <v>0</v>
      </c>
      <c r="D60" s="32" t="str">
        <f aca="false">IF($E$16=0,"-",IF(C60&lt;0.05,"&lt;5%: complete-case analysis","5%+: multiple imputation"))</f>
        <v>-</v>
      </c>
    </row>
    <row r="61" customFormat="false" ht="15" hidden="false" customHeight="false" outlineLevel="0" collapsed="false">
      <c r="A61" s="32" t="s">
        <v>76</v>
      </c>
      <c r="B61" s="43" t="n">
        <f aca="false">COUNTIFS(Patient_Data!$C$4:$C$1003,"Yes",Patient_Data!$AD$4:$AD$1003,"")+COUNTIFS(Patient_Data!$C$4:$C$1003,"Yes",Patient_Data!$AD$4:$AD$1003,"Unknown")</f>
        <v>0</v>
      </c>
      <c r="C61" s="40" t="n">
        <f aca="false">IF($E$16&gt;0,B61/$E$16,0)</f>
        <v>0</v>
      </c>
      <c r="D61" s="32" t="str">
        <f aca="false">IF($E$16=0,"-",IF(C61&lt;0.05,"&lt;5%: complete-case analysis","5%+: multiple imputation"))</f>
        <v>-</v>
      </c>
    </row>
    <row r="62" customFormat="false" ht="15" hidden="false" customHeight="false" outlineLevel="0" collapsed="false">
      <c r="A62" s="32" t="s">
        <v>74</v>
      </c>
      <c r="B62" s="43" t="n">
        <f aca="false">COUNTIFS(Patient_Data!$C$4:$C$1003,"Yes",Patient_Data!$AB$4:$AB$1003,"")+COUNTIFS(Patient_Data!$C$4:$C$1003,"Yes",Patient_Data!$AB$4:$AB$1003,"Unknown")</f>
        <v>0</v>
      </c>
      <c r="C62" s="40" t="n">
        <f aca="false">IF($E$16&gt;0,B62/$E$16,0)</f>
        <v>0</v>
      </c>
      <c r="D62" s="32" t="str">
        <f aca="false">IF($E$16=0,"-",IF(C62&lt;0.05,"&lt;5%: complete-case analysis","5%+: multiple imputation"))</f>
        <v>-</v>
      </c>
    </row>
    <row r="63" customFormat="false" ht="15" hidden="false" customHeight="false" outlineLevel="0" collapsed="false">
      <c r="A63" s="32" t="s">
        <v>81</v>
      </c>
      <c r="B63" s="43" t="n">
        <f aca="false">COUNTIFS(Patient_Data!$C$4:$C$1003,"Yes",Patient_Data!$AI$4:$AI$1003,"")+COUNTIFS(Patient_Data!$C$4:$C$1003,"Yes",Patient_Data!$AI$4:$AI$1003,"Unknown")</f>
        <v>0</v>
      </c>
      <c r="C63" s="40" t="n">
        <f aca="false">IF($E$16&gt;0,B63/$E$16,0)</f>
        <v>0</v>
      </c>
      <c r="D63" s="32" t="str">
        <f aca="false">IF($E$16=0,"-",IF(C63&lt;0.05,"&lt;5%: complete-case analysis","5%+: multiple imputation"))</f>
        <v>-</v>
      </c>
    </row>
    <row r="64" customFormat="false" ht="15" hidden="false" customHeight="false" outlineLevel="0" collapsed="false">
      <c r="A64" s="32" t="s">
        <v>82</v>
      </c>
      <c r="B64" s="43" t="n">
        <f aca="false">COUNTIFS(Patient_Data!$C$4:$C$1003,"Yes",Patient_Data!$AJ$4:$AJ$1003,"")+COUNTIFS(Patient_Data!$C$4:$C$1003,"Yes",Patient_Data!$AJ$4:$AJ$1003,"Unknown")</f>
        <v>0</v>
      </c>
      <c r="C64" s="40" t="n">
        <f aca="false">IF($E$16&gt;0,B64/$E$16,0)</f>
        <v>0</v>
      </c>
      <c r="D64" s="32" t="str">
        <f aca="false">IF($E$16=0,"-",IF(C64&lt;0.05,"&lt;5%: complete-case analysis","5%+: multiple imputation"))</f>
        <v>-</v>
      </c>
    </row>
    <row r="65" customFormat="false" ht="15" hidden="false" customHeight="false" outlineLevel="0" collapsed="false">
      <c r="A65" s="32" t="s">
        <v>83</v>
      </c>
      <c r="B65" s="43" t="n">
        <f aca="false">COUNTIFS(Patient_Data!$C$4:$C$1003,"Yes",Patient_Data!$AK$4:$AK$1003,"")+COUNTIFS(Patient_Data!$C$4:$C$1003,"Yes",Patient_Data!$AK$4:$AK$1003,"Unknown")</f>
        <v>0</v>
      </c>
      <c r="C65" s="40" t="n">
        <f aca="false">IF($E$16&gt;0,B65/$E$16,0)</f>
        <v>0</v>
      </c>
      <c r="D65" s="32" t="str">
        <f aca="false">IF($E$16=0,"-",IF(C65&lt;0.05,"&lt;5%: complete-case analysis","5%+: multiple imputation"))</f>
        <v>-</v>
      </c>
    </row>
    <row r="66" customFormat="false" ht="15" hidden="false" customHeight="false" outlineLevel="0" collapsed="false">
      <c r="A66" s="32" t="s">
        <v>66</v>
      </c>
      <c r="B66" s="43" t="n">
        <f aca="false">COUNTIFS(Patient_Data!$C$4:$C$1003,"Yes",Patient_Data!$T$4:$T$1003,"")+COUNTIFS(Patient_Data!$C$4:$C$1003,"Yes",Patient_Data!$T$4:$T$1003,"Unknown")</f>
        <v>0</v>
      </c>
      <c r="C66" s="40" t="n">
        <f aca="false">IF($E$16&gt;0,B66/$E$16,0)</f>
        <v>0</v>
      </c>
      <c r="D66" s="32" t="str">
        <f aca="false">IF($E$16=0,"-",IF(C66&lt;0.05,"&lt;5%: complete-case analysis","5%+: multiple imputation"))</f>
        <v>-</v>
      </c>
    </row>
    <row r="67" customFormat="false" ht="15" hidden="false" customHeight="false" outlineLevel="0" collapsed="false">
      <c r="A67" s="32" t="s">
        <v>96</v>
      </c>
      <c r="B67" s="43" t="n">
        <f aca="false">COUNTIFS(Patient_Data!$C$4:$C$1003,"Yes",Patient_Data!$AX$4:$AX$1003,"")+COUNTIFS(Patient_Data!$C$4:$C$1003,"Yes",Patient_Data!$AX$4:$AX$1003,"Unknown")</f>
        <v>0</v>
      </c>
      <c r="C67" s="40" t="n">
        <f aca="false">IF($E$16&gt;0,B67/$E$16,0)</f>
        <v>0</v>
      </c>
      <c r="D67" s="32" t="str">
        <f aca="false">IF($E$16=0,"-",IF(C67&lt;0.05,"&lt;5%: complete-case analysis","5%+: multiple imputation"))</f>
        <v>-</v>
      </c>
    </row>
    <row r="68" customFormat="false" ht="15" hidden="false" customHeight="false" outlineLevel="0" collapsed="false">
      <c r="A68" s="32" t="s">
        <v>107</v>
      </c>
      <c r="B68" s="43" t="n">
        <f aca="false">COUNTIFS(Patient_Data!$C$4:$C$1003,"Yes",Patient_Data!$BI$4:$BI$1003,"")+COUNTIFS(Patient_Data!$C$4:$C$1003,"Yes",Patient_Data!$BI$4:$BI$1003,"Unknown")</f>
        <v>0</v>
      </c>
      <c r="C68" s="40" t="n">
        <f aca="false">IF($E$16&gt;0,B68/$E$16,0)</f>
        <v>0</v>
      </c>
      <c r="D68" s="32" t="str">
        <f aca="false">IF($E$16=0,"-",IF(C68&lt;0.05,"&lt;5%: complete-case analysis","5%+: multiple imputation"))</f>
        <v>-</v>
      </c>
    </row>
    <row r="69" customFormat="false" ht="15" hidden="false" customHeight="false" outlineLevel="0" collapsed="false">
      <c r="A69" s="32" t="s">
        <v>114</v>
      </c>
      <c r="B69" s="43" t="n">
        <f aca="false">COUNTIFS(Patient_Data!$C$4:$C$1003,"Yes",Patient_Data!$BP$4:$BP$1003,"")+COUNTIFS(Patient_Data!$C$4:$C$1003,"Yes",Patient_Data!$BP$4:$BP$1003,"Unknown")</f>
        <v>0</v>
      </c>
      <c r="C69" s="40" t="n">
        <f aca="false">IF($E$16&gt;0,B69/$E$16,0)</f>
        <v>0</v>
      </c>
      <c r="D69" s="32" t="str">
        <f aca="false">IF($E$16=0,"-",IF(C69&lt;0.05,"&lt;5%: complete-case analysis","5%+: multiple imputation"))</f>
        <v>-</v>
      </c>
    </row>
    <row r="70" customFormat="false" ht="15" hidden="false" customHeight="false" outlineLevel="0" collapsed="false">
      <c r="A70" s="32" t="s">
        <v>116</v>
      </c>
      <c r="B70" s="43" t="n">
        <f aca="false">COUNTIFS(Patient_Data!$C$4:$C$1003,"Yes",Patient_Data!$BR$4:$BR$1003,"")+COUNTIFS(Patient_Data!$C$4:$C$1003,"Yes",Patient_Data!$BR$4:$BR$1003,"Unknown")</f>
        <v>0</v>
      </c>
      <c r="C70" s="40" t="n">
        <f aca="false">IF($E$16&gt;0,B70/$E$16,0)</f>
        <v>0</v>
      </c>
      <c r="D70" s="32" t="str">
        <f aca="false">IF($E$16=0,"-",IF(C70&lt;0.05,"&lt;5%: complete-case analysis","5%+: multiple imputation"))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80"/>
    <col collapsed="false" customWidth="true" hidden="false" outlineLevel="0" max="4" min="4" style="0" width="3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45" t="s">
        <v>331</v>
      </c>
      <c r="B1" s="45" t="s">
        <v>332</v>
      </c>
      <c r="C1" s="45" t="s">
        <v>333</v>
      </c>
      <c r="D1" s="45" t="s">
        <v>334</v>
      </c>
      <c r="E1" s="45" t="s">
        <v>335</v>
      </c>
    </row>
    <row r="2" customFormat="false" ht="35.05" hidden="false" customHeight="false" outlineLevel="0" collapsed="false">
      <c r="A2" s="34" t="n">
        <v>1</v>
      </c>
      <c r="B2" s="34" t="s">
        <v>336</v>
      </c>
      <c r="C2" s="34" t="s">
        <v>337</v>
      </c>
      <c r="D2" s="46"/>
      <c r="E2" s="47"/>
    </row>
    <row r="3" customFormat="false" ht="35.05" hidden="false" customHeight="false" outlineLevel="0" collapsed="false">
      <c r="A3" s="34" t="n">
        <v>2</v>
      </c>
      <c r="B3" s="34" t="s">
        <v>338</v>
      </c>
      <c r="C3" s="34" t="s">
        <v>339</v>
      </c>
      <c r="D3" s="46"/>
      <c r="E3" s="47"/>
    </row>
    <row r="4" customFormat="false" ht="23.85" hidden="false" customHeight="false" outlineLevel="0" collapsed="false">
      <c r="A4" s="34" t="n">
        <v>3</v>
      </c>
      <c r="B4" s="34" t="s">
        <v>340</v>
      </c>
      <c r="C4" s="34" t="s">
        <v>341</v>
      </c>
      <c r="D4" s="46"/>
      <c r="E4" s="47"/>
    </row>
    <row r="5" customFormat="false" ht="23.85" hidden="false" customHeight="false" outlineLevel="0" collapsed="false">
      <c r="A5" s="34" t="n">
        <v>4</v>
      </c>
      <c r="B5" s="34" t="s">
        <v>342</v>
      </c>
      <c r="C5" s="34" t="s">
        <v>343</v>
      </c>
      <c r="D5" s="46"/>
      <c r="E5" s="47"/>
    </row>
    <row r="6" customFormat="false" ht="23.85" hidden="false" customHeight="false" outlineLevel="0" collapsed="false">
      <c r="A6" s="34" t="n">
        <v>5</v>
      </c>
      <c r="B6" s="34" t="s">
        <v>344</v>
      </c>
      <c r="C6" s="34" t="s">
        <v>345</v>
      </c>
      <c r="D6" s="46"/>
      <c r="E6" s="47"/>
    </row>
    <row r="7" customFormat="false" ht="23.85" hidden="false" customHeight="false" outlineLevel="0" collapsed="false">
      <c r="A7" s="34" t="n">
        <v>6</v>
      </c>
      <c r="B7" s="34" t="s">
        <v>346</v>
      </c>
      <c r="C7" s="34" t="s">
        <v>347</v>
      </c>
      <c r="D7" s="46"/>
      <c r="E7" s="47"/>
    </row>
    <row r="8" customFormat="false" ht="15" hidden="false" customHeight="false" outlineLevel="0" collapsed="false">
      <c r="A8" s="34" t="n">
        <v>7</v>
      </c>
      <c r="B8" s="34" t="s">
        <v>348</v>
      </c>
      <c r="C8" s="34" t="s">
        <v>349</v>
      </c>
      <c r="D8" s="46"/>
      <c r="E8" s="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8" t="s">
        <v>350</v>
      </c>
      <c r="B1" s="48" t="s">
        <v>351</v>
      </c>
      <c r="C1" s="48" t="s">
        <v>352</v>
      </c>
      <c r="D1" s="48" t="s">
        <v>52</v>
      </c>
      <c r="E1" s="48" t="s">
        <v>353</v>
      </c>
      <c r="F1" s="48" t="s">
        <v>354</v>
      </c>
      <c r="G1" s="48" t="s">
        <v>273</v>
      </c>
      <c r="H1" s="48" t="s">
        <v>355</v>
      </c>
      <c r="I1" s="48" t="s">
        <v>356</v>
      </c>
      <c r="J1" s="48" t="s">
        <v>357</v>
      </c>
      <c r="K1" s="48" t="s">
        <v>358</v>
      </c>
      <c r="L1" s="48" t="s">
        <v>359</v>
      </c>
      <c r="M1" s="48" t="s">
        <v>360</v>
      </c>
    </row>
    <row r="2" customFormat="false" ht="15" hidden="false" customHeight="false" outlineLevel="0" collapsed="false">
      <c r="A2" s="49" t="s">
        <v>132</v>
      </c>
      <c r="B2" s="49" t="s">
        <v>132</v>
      </c>
      <c r="C2" s="49" t="s">
        <v>131</v>
      </c>
      <c r="D2" s="49" t="s">
        <v>361</v>
      </c>
      <c r="E2" s="49" t="s">
        <v>362</v>
      </c>
      <c r="F2" s="49" t="s">
        <v>137</v>
      </c>
      <c r="G2" s="49" t="s">
        <v>138</v>
      </c>
      <c r="H2" s="49" t="s">
        <v>138</v>
      </c>
      <c r="I2" s="49" t="s">
        <v>143</v>
      </c>
      <c r="J2" s="49" t="s">
        <v>363</v>
      </c>
      <c r="K2" s="49" t="s">
        <v>364</v>
      </c>
      <c r="L2" s="49" t="s">
        <v>365</v>
      </c>
      <c r="M2" s="49" t="s">
        <v>366</v>
      </c>
    </row>
    <row r="3" customFormat="false" ht="15" hidden="false" customHeight="false" outlineLevel="0" collapsed="false">
      <c r="A3" s="49" t="s">
        <v>136</v>
      </c>
      <c r="B3" s="49" t="s">
        <v>136</v>
      </c>
      <c r="C3" s="49" t="s">
        <v>367</v>
      </c>
      <c r="D3" s="49" t="s">
        <v>133</v>
      </c>
      <c r="E3" s="49" t="s">
        <v>368</v>
      </c>
      <c r="F3" s="49" t="s">
        <v>369</v>
      </c>
      <c r="G3" s="49" t="s">
        <v>286</v>
      </c>
      <c r="H3" s="49" t="s">
        <v>370</v>
      </c>
      <c r="I3" s="49" t="s">
        <v>371</v>
      </c>
      <c r="J3" s="49" t="s">
        <v>372</v>
      </c>
      <c r="K3" s="49" t="s">
        <v>373</v>
      </c>
      <c r="L3" s="49" t="s">
        <v>374</v>
      </c>
      <c r="M3" s="49" t="s">
        <v>375</v>
      </c>
    </row>
    <row r="4" customFormat="false" ht="15" hidden="false" customHeight="false" outlineLevel="0" collapsed="false">
      <c r="B4" s="49" t="s">
        <v>141</v>
      </c>
      <c r="E4" s="49" t="s">
        <v>135</v>
      </c>
      <c r="F4" s="49" t="s">
        <v>376</v>
      </c>
      <c r="G4" s="49" t="s">
        <v>287</v>
      </c>
      <c r="H4" s="49" t="s">
        <v>377</v>
      </c>
      <c r="I4" s="49" t="s">
        <v>378</v>
      </c>
      <c r="J4" s="49" t="s">
        <v>379</v>
      </c>
      <c r="K4" s="49" t="s">
        <v>380</v>
      </c>
      <c r="L4" s="49" t="s">
        <v>381</v>
      </c>
      <c r="M4" s="49" t="s">
        <v>382</v>
      </c>
    </row>
    <row r="5" customFormat="false" ht="15" hidden="false" customHeight="false" outlineLevel="0" collapsed="false">
      <c r="E5" s="49" t="s">
        <v>141</v>
      </c>
      <c r="F5" s="49" t="s">
        <v>383</v>
      </c>
      <c r="H5" s="49" t="s">
        <v>384</v>
      </c>
      <c r="I5" s="49" t="s">
        <v>380</v>
      </c>
      <c r="J5" s="49" t="s">
        <v>383</v>
      </c>
      <c r="L5" s="49" t="s">
        <v>383</v>
      </c>
      <c r="M5" s="49" t="s">
        <v>385</v>
      </c>
    </row>
    <row r="6" customFormat="false" ht="15" hidden="false" customHeight="false" outlineLevel="0" collapsed="false">
      <c r="F6" s="49" t="s">
        <v>141</v>
      </c>
      <c r="H6" s="49" t="s">
        <v>386</v>
      </c>
      <c r="M6" s="49" t="s">
        <v>383</v>
      </c>
    </row>
    <row r="7" customFormat="false" ht="15" hidden="false" customHeight="false" outlineLevel="0" collapsed="false">
      <c r="H7" s="49" t="s">
        <v>387</v>
      </c>
    </row>
    <row r="8" customFormat="false" ht="15" hidden="false" customHeight="false" outlineLevel="0" collapsed="false">
      <c r="H8" s="49" t="s">
        <v>388</v>
      </c>
    </row>
    <row r="9" customFormat="false" ht="15" hidden="false" customHeight="false" outlineLevel="0" collapsed="false">
      <c r="H9" s="49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2026-10-12T16:35:30Z</dcterms:created>
  <dc:creator>openpyxl</dc:creator>
  <dc:description/>
  <dc:language>en-US</dc:language>
  <cp:lastModifiedBy/>
  <dcterms:modified xsi:type="dcterms:W3CDTF">2026-10-12T16:35:34Z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